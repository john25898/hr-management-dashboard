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patrick\Documents\Jamii tekelezi\Analytics\"/>
    </mc:Choice>
  </mc:AlternateContent>
  <xr:revisionPtr revIDLastSave="0" documentId="8_{7FB80700-F274-474F-8F8D-6DA958D93261}" xr6:coauthVersionLast="47" xr6:coauthVersionMax="47" xr10:uidLastSave="{00000000-0000-0000-0000-000000000000}"/>
  <bookViews>
    <workbookView xWindow="-110" yWindow="-110" windowWidth="19420" windowHeight="10420" activeTab="1" xr2:uid="{00000000-000D-0000-FFFF-FFFF00000000}"/>
  </bookViews>
  <sheets>
    <sheet name="HRH Timesheets Tracker (JTP)" sheetId="1" r:id="rId1"/>
    <sheet name="All" sheetId="9" r:id="rId2"/>
    <sheet name="Embu" sheetId="5" r:id="rId3"/>
    <sheet name="Meru" sheetId="2" r:id="rId4"/>
    <sheet name="Sheet2" sheetId="8" r:id="rId5"/>
    <sheet name="Nyandarua" sheetId="3" r:id="rId6"/>
    <sheet name="Tharaka Nithi" sheetId="4" r:id="rId7"/>
    <sheet name="Layworkers" sheetId="7" r:id="rId8"/>
    <sheet name="Sheet5" sheetId="14" r:id="rId9"/>
    <sheet name="Summary" sheetId="6" r:id="rId10"/>
    <sheet name="Analytics May 26" sheetId="16" r:id="rId11"/>
    <sheet name="Analytics" sheetId="15" r:id="rId12"/>
    <sheet name="Program " sheetId="10" r:id="rId13"/>
  </sheets>
  <definedNames>
    <definedName name="_xlnm._FilterDatabase" localSheetId="1" hidden="1">All!$A$2:$T$283</definedName>
    <definedName name="_xlnm._FilterDatabase" localSheetId="2" hidden="1">Embu!$A$2:$T$50</definedName>
    <definedName name="_xlnm._FilterDatabase" localSheetId="0" hidden="1">'HRH Timesheets Tracker (JTP)'!$A$3:$T$253</definedName>
    <definedName name="_xlnm._FilterDatabase" localSheetId="7" hidden="1">Layworkers!$A$1:$I$156</definedName>
    <definedName name="_xlnm._FilterDatabase" localSheetId="3" hidden="1">Meru!$A$1:$U$110</definedName>
    <definedName name="_xlnm._FilterDatabase" localSheetId="5" hidden="1">Nyandarua!$A$2:$U$85</definedName>
    <definedName name="_xlnm._FilterDatabase" localSheetId="12" hidden="1">'Program '!$B$2:$G$46</definedName>
    <definedName name="_xlnm._FilterDatabase" localSheetId="9" hidden="1">Summary!$A$1:$D$195</definedName>
    <definedName name="_xlnm._FilterDatabase" localSheetId="6" hidden="1">'Tharaka Nithi'!$A$1:$J$36</definedName>
    <definedName name="_xlnm.Print_Titles" localSheetId="1">All!$2:$2</definedName>
    <definedName name="_xlnm.Print_Titles" localSheetId="2">Embu!$2:$2</definedName>
    <definedName name="_xlnm.Print_Titles" localSheetId="0">'HRH Timesheets Tracker (JTP)'!$3:$3</definedName>
    <definedName name="_xlnm.Print_Titles" localSheetId="3">Meru!$1:$1</definedName>
    <definedName name="_xlnm.Print_Titles" localSheetId="5">Nyandarua!$2:$2</definedName>
    <definedName name="_xlnm.Print_Titles" localSheetId="6">'Tharaka Nithi'!$1:$1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6" l="1"/>
  <c r="F20" i="16"/>
  <c r="E20" i="16"/>
  <c r="D20" i="16"/>
  <c r="C20" i="16"/>
  <c r="F16" i="16"/>
  <c r="F21" i="16" s="1"/>
  <c r="E16" i="16"/>
  <c r="E21" i="16" s="1"/>
  <c r="D16" i="16"/>
  <c r="D21" i="16" s="1"/>
  <c r="C16" i="16"/>
  <c r="C21" i="16" s="1"/>
  <c r="G15" i="16"/>
  <c r="G14" i="16"/>
  <c r="G13" i="16"/>
  <c r="G12" i="16"/>
  <c r="G11" i="16"/>
  <c r="G10" i="16"/>
  <c r="G9" i="16"/>
  <c r="G8" i="16"/>
  <c r="G7" i="16"/>
  <c r="G6" i="16"/>
  <c r="G5" i="16"/>
  <c r="G4" i="16"/>
  <c r="G3" i="16"/>
  <c r="Z283" i="9"/>
  <c r="Z282" i="9"/>
  <c r="Z281" i="9"/>
  <c r="F21" i="15"/>
  <c r="G20" i="15"/>
  <c r="F20" i="15"/>
  <c r="E20" i="15"/>
  <c r="D20" i="15"/>
  <c r="C20" i="15"/>
  <c r="C21" i="15" s="1"/>
  <c r="F16" i="15"/>
  <c r="E16" i="15"/>
  <c r="E21" i="15" s="1"/>
  <c r="D16" i="15"/>
  <c r="D21" i="15" s="1"/>
  <c r="C16" i="15"/>
  <c r="G15" i="15"/>
  <c r="G14" i="15"/>
  <c r="G13" i="15"/>
  <c r="G12" i="15"/>
  <c r="G11" i="15"/>
  <c r="G10" i="15"/>
  <c r="G9" i="15"/>
  <c r="G8" i="15"/>
  <c r="G7" i="15"/>
  <c r="G6" i="15"/>
  <c r="G5" i="15"/>
  <c r="G4" i="15"/>
  <c r="G16" i="15" s="1"/>
  <c r="G21" i="15" s="1"/>
  <c r="G3" i="15"/>
  <c r="M50" i="9"/>
  <c r="N50" i="9" s="1"/>
  <c r="Z50" i="9"/>
  <c r="Y50" i="9"/>
  <c r="X50" i="9"/>
  <c r="M245" i="9"/>
  <c r="N245" i="9" s="1"/>
  <c r="M182" i="9"/>
  <c r="N182" i="9" s="1"/>
  <c r="M50" i="5"/>
  <c r="N50" i="5" s="1"/>
  <c r="M85" i="3"/>
  <c r="N85" i="3" s="1"/>
  <c r="G16" i="16" l="1"/>
  <c r="G21" i="16" s="1"/>
  <c r="K9" i="10"/>
  <c r="G46" i="10"/>
  <c r="V160" i="9"/>
  <c r="M156" i="9"/>
  <c r="N156" i="9" s="1"/>
  <c r="M197" i="9"/>
  <c r="N197" i="9" s="1"/>
  <c r="X187" i="9"/>
  <c r="Y187" i="9"/>
  <c r="M187" i="9"/>
  <c r="N187" i="9" s="1"/>
  <c r="Y4" i="9" l="1"/>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4" i="9"/>
  <c r="Y45" i="9"/>
  <c r="Y46" i="9"/>
  <c r="Y47" i="9"/>
  <c r="Y48" i="9"/>
  <c r="Y49"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8" i="9"/>
  <c r="Y189" i="9"/>
  <c r="Y190" i="9"/>
  <c r="Y191" i="9"/>
  <c r="Y192" i="9"/>
  <c r="Y193" i="9"/>
  <c r="Y194" i="9"/>
  <c r="Y195" i="9"/>
  <c r="Y196"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3" i="9"/>
  <c r="X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4" i="9"/>
  <c r="X45" i="9"/>
  <c r="X46" i="9"/>
  <c r="X47" i="9"/>
  <c r="X48" i="9"/>
  <c r="X49"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X83" i="9"/>
  <c r="X84" i="9"/>
  <c r="X85" i="9"/>
  <c r="X86" i="9"/>
  <c r="X87" i="9"/>
  <c r="X88" i="9"/>
  <c r="X89" i="9"/>
  <c r="X90" i="9"/>
  <c r="X91" i="9"/>
  <c r="X92" i="9"/>
  <c r="X93" i="9"/>
  <c r="X94" i="9"/>
  <c r="X95" i="9"/>
  <c r="X96" i="9"/>
  <c r="X97" i="9"/>
  <c r="X98" i="9"/>
  <c r="X99" i="9"/>
  <c r="X100" i="9"/>
  <c r="X101" i="9"/>
  <c r="X102" i="9"/>
  <c r="X103" i="9"/>
  <c r="X104" i="9"/>
  <c r="X105" i="9"/>
  <c r="X106" i="9"/>
  <c r="X107" i="9"/>
  <c r="X108" i="9"/>
  <c r="X109" i="9"/>
  <c r="X110" i="9"/>
  <c r="X111" i="9"/>
  <c r="X112" i="9"/>
  <c r="X113" i="9"/>
  <c r="X114" i="9"/>
  <c r="X115" i="9"/>
  <c r="X116" i="9"/>
  <c r="X117" i="9"/>
  <c r="X118" i="9"/>
  <c r="X119" i="9"/>
  <c r="X120" i="9"/>
  <c r="X121" i="9"/>
  <c r="X122" i="9"/>
  <c r="X123" i="9"/>
  <c r="X124" i="9"/>
  <c r="X125" i="9"/>
  <c r="X126" i="9"/>
  <c r="X127" i="9"/>
  <c r="X128" i="9"/>
  <c r="X129" i="9"/>
  <c r="X130" i="9"/>
  <c r="X131" i="9"/>
  <c r="X132" i="9"/>
  <c r="X133" i="9"/>
  <c r="X134" i="9"/>
  <c r="X135" i="9"/>
  <c r="X136" i="9"/>
  <c r="X137" i="9"/>
  <c r="X138" i="9"/>
  <c r="X139" i="9"/>
  <c r="X140" i="9"/>
  <c r="X141" i="9"/>
  <c r="X142" i="9"/>
  <c r="X143" i="9"/>
  <c r="X144" i="9"/>
  <c r="X145" i="9"/>
  <c r="X146" i="9"/>
  <c r="X147" i="9"/>
  <c r="X148" i="9"/>
  <c r="X149" i="9"/>
  <c r="X150" i="9"/>
  <c r="X151" i="9"/>
  <c r="X152" i="9"/>
  <c r="X153" i="9"/>
  <c r="X154" i="9"/>
  <c r="X155" i="9"/>
  <c r="X156" i="9"/>
  <c r="X157" i="9"/>
  <c r="X158" i="9"/>
  <c r="X159" i="9"/>
  <c r="X160" i="9"/>
  <c r="X161" i="9"/>
  <c r="X162" i="9"/>
  <c r="X163" i="9"/>
  <c r="X164" i="9"/>
  <c r="X165" i="9"/>
  <c r="X166" i="9"/>
  <c r="X167" i="9"/>
  <c r="X168" i="9"/>
  <c r="X169" i="9"/>
  <c r="X170" i="9"/>
  <c r="X171" i="9"/>
  <c r="X172" i="9"/>
  <c r="X173" i="9"/>
  <c r="X174" i="9"/>
  <c r="X175" i="9"/>
  <c r="X176" i="9"/>
  <c r="X177" i="9"/>
  <c r="X178" i="9"/>
  <c r="X179" i="9"/>
  <c r="X180" i="9"/>
  <c r="X181" i="9"/>
  <c r="X182" i="9"/>
  <c r="X183" i="9"/>
  <c r="X184" i="9"/>
  <c r="X185" i="9"/>
  <c r="X186" i="9"/>
  <c r="X188" i="9"/>
  <c r="X189" i="9"/>
  <c r="X190" i="9"/>
  <c r="X191" i="9"/>
  <c r="X192" i="9"/>
  <c r="X193" i="9"/>
  <c r="X194" i="9"/>
  <c r="X195" i="9"/>
  <c r="X196" i="9"/>
  <c r="X198" i="9"/>
  <c r="X199" i="9"/>
  <c r="X200" i="9"/>
  <c r="X201" i="9"/>
  <c r="X202" i="9"/>
  <c r="X203" i="9"/>
  <c r="X204" i="9"/>
  <c r="X205" i="9"/>
  <c r="X206" i="9"/>
  <c r="X207" i="9"/>
  <c r="X208" i="9"/>
  <c r="X209" i="9"/>
  <c r="X210" i="9"/>
  <c r="X211" i="9"/>
  <c r="X212" i="9"/>
  <c r="X213" i="9"/>
  <c r="X214" i="9"/>
  <c r="X215" i="9"/>
  <c r="X216" i="9"/>
  <c r="X217" i="9"/>
  <c r="X218" i="9"/>
  <c r="X219" i="9"/>
  <c r="X220" i="9"/>
  <c r="X221" i="9"/>
  <c r="X222" i="9"/>
  <c r="X223" i="9"/>
  <c r="X224" i="9"/>
  <c r="X225" i="9"/>
  <c r="X226" i="9"/>
  <c r="X227" i="9"/>
  <c r="X228" i="9"/>
  <c r="X229" i="9"/>
  <c r="X230" i="9"/>
  <c r="X231" i="9"/>
  <c r="X232" i="9"/>
  <c r="X233" i="9"/>
  <c r="X234" i="9"/>
  <c r="X235" i="9"/>
  <c r="X236" i="9"/>
  <c r="X237" i="9"/>
  <c r="X238" i="9"/>
  <c r="X239" i="9"/>
  <c r="X240" i="9"/>
  <c r="X241" i="9"/>
  <c r="X242" i="9"/>
  <c r="X243" i="9"/>
  <c r="X244" i="9"/>
  <c r="X245" i="9"/>
  <c r="X246" i="9"/>
  <c r="X247" i="9"/>
  <c r="X248" i="9"/>
  <c r="X249" i="9"/>
  <c r="X250" i="9"/>
  <c r="X251" i="9"/>
  <c r="X252" i="9"/>
  <c r="X253" i="9"/>
  <c r="X254" i="9"/>
  <c r="X255" i="9"/>
  <c r="X256" i="9"/>
  <c r="X257" i="9"/>
  <c r="X258" i="9"/>
  <c r="X259" i="9"/>
  <c r="X260" i="9"/>
  <c r="X261" i="9"/>
  <c r="X262" i="9"/>
  <c r="X263" i="9"/>
  <c r="X264" i="9"/>
  <c r="X265" i="9"/>
  <c r="X266" i="9"/>
  <c r="X267" i="9"/>
  <c r="X268" i="9"/>
  <c r="X269" i="9"/>
  <c r="X270" i="9"/>
  <c r="X271" i="9"/>
  <c r="X272" i="9"/>
  <c r="X273" i="9"/>
  <c r="X274" i="9"/>
  <c r="X275" i="9"/>
  <c r="X276" i="9"/>
  <c r="X277" i="9"/>
  <c r="X278" i="9"/>
  <c r="X279" i="9"/>
  <c r="X280" i="9"/>
  <c r="X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4" i="9"/>
  <c r="Z45" i="9"/>
  <c r="Z46" i="9"/>
  <c r="Z47" i="9"/>
  <c r="Z48" i="9"/>
  <c r="Z49"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8" i="9"/>
  <c r="Z189" i="9"/>
  <c r="Z190" i="9"/>
  <c r="Z191" i="9"/>
  <c r="Z192" i="9"/>
  <c r="Z193" i="9"/>
  <c r="Z194" i="9"/>
  <c r="Z195" i="9"/>
  <c r="Z196"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3" i="9"/>
  <c r="AA64" i="9"/>
  <c r="M280" i="9"/>
  <c r="N280" i="9" s="1"/>
  <c r="M279" i="9"/>
  <c r="N279" i="9" s="1"/>
  <c r="M103" i="9"/>
  <c r="N103" i="9" s="1"/>
  <c r="M277" i="9"/>
  <c r="N277" i="9" s="1"/>
  <c r="M276" i="9"/>
  <c r="N276" i="9" s="1"/>
  <c r="M95" i="9"/>
  <c r="N95" i="9" s="1"/>
  <c r="M274" i="9"/>
  <c r="N274" i="9" s="1"/>
  <c r="M273" i="9"/>
  <c r="N273" i="9" s="1"/>
  <c r="M272" i="9"/>
  <c r="N272" i="9" s="1"/>
  <c r="M271" i="9"/>
  <c r="N271" i="9" s="1"/>
  <c r="M270" i="9"/>
  <c r="N270" i="9" s="1"/>
  <c r="M269" i="9"/>
  <c r="N269" i="9" s="1"/>
  <c r="M268" i="9"/>
  <c r="N268" i="9" s="1"/>
  <c r="M86" i="9"/>
  <c r="N86" i="9" s="1"/>
  <c r="M81" i="9"/>
  <c r="N81" i="9" s="1"/>
  <c r="M265" i="9"/>
  <c r="N265" i="9" s="1"/>
  <c r="M264" i="9"/>
  <c r="N264" i="9" s="1"/>
  <c r="M263" i="9"/>
  <c r="N263" i="9" s="1"/>
  <c r="M74" i="9"/>
  <c r="N74" i="9" s="1"/>
  <c r="M261" i="9"/>
  <c r="N261" i="9" s="1"/>
  <c r="M260" i="9"/>
  <c r="N260" i="9" s="1"/>
  <c r="M278" i="9"/>
  <c r="N278" i="9" s="1"/>
  <c r="M258" i="9"/>
  <c r="N258" i="9" s="1"/>
  <c r="M257" i="9"/>
  <c r="N257" i="9" s="1"/>
  <c r="M72" i="9"/>
  <c r="N72" i="9" s="1"/>
  <c r="M275" i="9"/>
  <c r="N275" i="9" s="1"/>
  <c r="M254" i="9"/>
  <c r="N254" i="9" s="1"/>
  <c r="M253" i="9"/>
  <c r="N253" i="9" s="1"/>
  <c r="M252" i="9"/>
  <c r="N252" i="9" s="1"/>
  <c r="M71" i="9"/>
  <c r="N71" i="9" s="1"/>
  <c r="M267" i="9"/>
  <c r="N267" i="9" s="1"/>
  <c r="M249" i="9"/>
  <c r="N249" i="9" s="1"/>
  <c r="M248" i="9"/>
  <c r="N248" i="9" s="1"/>
  <c r="M247" i="9"/>
  <c r="N247" i="9" s="1"/>
  <c r="M246" i="9"/>
  <c r="N246" i="9" s="1"/>
  <c r="M244" i="9"/>
  <c r="N244" i="9" s="1"/>
  <c r="M243" i="9"/>
  <c r="N243" i="9" s="1"/>
  <c r="M266" i="9"/>
  <c r="N266" i="9" s="1"/>
  <c r="M262" i="9"/>
  <c r="N262" i="9" s="1"/>
  <c r="M240" i="9"/>
  <c r="N240" i="9" s="1"/>
  <c r="M259" i="9"/>
  <c r="N259" i="9" s="1"/>
  <c r="M238" i="9"/>
  <c r="N238" i="9" s="1"/>
  <c r="M237" i="9"/>
  <c r="N237" i="9" s="1"/>
  <c r="M236" i="9"/>
  <c r="N236" i="9" s="1"/>
  <c r="M235" i="9"/>
  <c r="N235" i="9" s="1"/>
  <c r="M234" i="9"/>
  <c r="N234" i="9" s="1"/>
  <c r="M233" i="9"/>
  <c r="N233" i="9" s="1"/>
  <c r="M232" i="9"/>
  <c r="N232" i="9" s="1"/>
  <c r="M231" i="9"/>
  <c r="N231" i="9" s="1"/>
  <c r="M256" i="9"/>
  <c r="N256" i="9" s="1"/>
  <c r="M229" i="9"/>
  <c r="N229" i="9" s="1"/>
  <c r="M228" i="9"/>
  <c r="N228" i="9" s="1"/>
  <c r="M227" i="9"/>
  <c r="N227" i="9" s="1"/>
  <c r="M226" i="9"/>
  <c r="N226" i="9" s="1"/>
  <c r="M225" i="9"/>
  <c r="N225" i="9" s="1"/>
  <c r="M224" i="9"/>
  <c r="N224" i="9" s="1"/>
  <c r="M255" i="9"/>
  <c r="N255" i="9" s="1"/>
  <c r="M251" i="9"/>
  <c r="N251" i="9" s="1"/>
  <c r="M221" i="9"/>
  <c r="N221" i="9" s="1"/>
  <c r="M250" i="9"/>
  <c r="N250" i="9" s="1"/>
  <c r="M219" i="9"/>
  <c r="N219" i="9" s="1"/>
  <c r="M218" i="9"/>
  <c r="N218" i="9" s="1"/>
  <c r="M217" i="9"/>
  <c r="N217" i="9" s="1"/>
  <c r="M216" i="9"/>
  <c r="N216" i="9" s="1"/>
  <c r="M215" i="9"/>
  <c r="N215" i="9" s="1"/>
  <c r="M214" i="9"/>
  <c r="N214" i="9" s="1"/>
  <c r="M213" i="9"/>
  <c r="N213" i="9" s="1"/>
  <c r="M212" i="9"/>
  <c r="N212" i="9" s="1"/>
  <c r="M242" i="9"/>
  <c r="N242" i="9" s="1"/>
  <c r="M241" i="9"/>
  <c r="N241" i="9" s="1"/>
  <c r="M209" i="9"/>
  <c r="N209" i="9" s="1"/>
  <c r="M208" i="9"/>
  <c r="N208" i="9" s="1"/>
  <c r="M207" i="9"/>
  <c r="N207" i="9" s="1"/>
  <c r="M206" i="9"/>
  <c r="N206" i="9" s="1"/>
  <c r="M205" i="9"/>
  <c r="N205" i="9" s="1"/>
  <c r="M204" i="9"/>
  <c r="N204" i="9" s="1"/>
  <c r="M203" i="9"/>
  <c r="N203" i="9" s="1"/>
  <c r="M202" i="9"/>
  <c r="N202" i="9" s="1"/>
  <c r="M201" i="9"/>
  <c r="N201" i="9" s="1"/>
  <c r="M200" i="9"/>
  <c r="N200" i="9" s="1"/>
  <c r="M239" i="9"/>
  <c r="N239" i="9" s="1"/>
  <c r="M230" i="9"/>
  <c r="N230" i="9" s="1"/>
  <c r="M196" i="9"/>
  <c r="N196" i="9" s="1"/>
  <c r="M195" i="9"/>
  <c r="N195" i="9" s="1"/>
  <c r="M194" i="9"/>
  <c r="N194" i="9" s="1"/>
  <c r="M193" i="9"/>
  <c r="N193" i="9" s="1"/>
  <c r="M192" i="9"/>
  <c r="N192" i="9" s="1"/>
  <c r="M191" i="9"/>
  <c r="N191" i="9" s="1"/>
  <c r="M223" i="9"/>
  <c r="N223" i="9" s="1"/>
  <c r="M222" i="9"/>
  <c r="N222" i="9" s="1"/>
  <c r="M188" i="9"/>
  <c r="N188" i="9" s="1"/>
  <c r="M186" i="9"/>
  <c r="N186" i="9" s="1"/>
  <c r="M185" i="9"/>
  <c r="N185" i="9" s="1"/>
  <c r="M184" i="9"/>
  <c r="N184" i="9" s="1"/>
  <c r="M183" i="9"/>
  <c r="N183" i="9" s="1"/>
  <c r="M220" i="9"/>
  <c r="N220" i="9" s="1"/>
  <c r="M211" i="9"/>
  <c r="N211" i="9" s="1"/>
  <c r="M180" i="9"/>
  <c r="N180" i="9" s="1"/>
  <c r="M179" i="9"/>
  <c r="N179" i="9" s="1"/>
  <c r="M210" i="9"/>
  <c r="N210" i="9" s="1"/>
  <c r="M177" i="9"/>
  <c r="N177" i="9" s="1"/>
  <c r="M176" i="9"/>
  <c r="N176" i="9" s="1"/>
  <c r="M175" i="9"/>
  <c r="N175" i="9" s="1"/>
  <c r="M174" i="9"/>
  <c r="N174" i="9" s="1"/>
  <c r="M199" i="9"/>
  <c r="N199" i="9" s="1"/>
  <c r="M172" i="9"/>
  <c r="N172" i="9" s="1"/>
  <c r="M171" i="9"/>
  <c r="N171" i="9" s="1"/>
  <c r="M198" i="9"/>
  <c r="N198" i="9" s="1"/>
  <c r="M190" i="9"/>
  <c r="N190" i="9" s="1"/>
  <c r="M168" i="9"/>
  <c r="N168" i="9" s="1"/>
  <c r="M167" i="9"/>
  <c r="N167" i="9" s="1"/>
  <c r="M166" i="9"/>
  <c r="N166" i="9" s="1"/>
  <c r="M165" i="9"/>
  <c r="N165" i="9" s="1"/>
  <c r="M164" i="9"/>
  <c r="N164" i="9" s="1"/>
  <c r="M163" i="9"/>
  <c r="N163" i="9" s="1"/>
  <c r="M162" i="9"/>
  <c r="N162" i="9" s="1"/>
  <c r="M189" i="9"/>
  <c r="N189" i="9" s="1"/>
  <c r="V159" i="9"/>
  <c r="M159" i="9"/>
  <c r="N159" i="9" s="1"/>
  <c r="V158" i="9"/>
  <c r="M70" i="9"/>
  <c r="N70" i="9" s="1"/>
  <c r="V157" i="9"/>
  <c r="M69" i="9"/>
  <c r="N69" i="9" s="1"/>
  <c r="V156" i="9"/>
  <c r="M181" i="9"/>
  <c r="N181" i="9" s="1"/>
  <c r="V155" i="9"/>
  <c r="M155" i="9"/>
  <c r="N155" i="9" s="1"/>
  <c r="V154" i="9"/>
  <c r="M178" i="9"/>
  <c r="N178" i="9" s="1"/>
  <c r="V153" i="9"/>
  <c r="M153" i="9"/>
  <c r="N153" i="9" s="1"/>
  <c r="V152" i="9"/>
  <c r="M57" i="9"/>
  <c r="N57" i="9" s="1"/>
  <c r="V151" i="9"/>
  <c r="M151" i="9"/>
  <c r="N151" i="9" s="1"/>
  <c r="V150" i="9"/>
  <c r="M150" i="9"/>
  <c r="N150" i="9" s="1"/>
  <c r="V149" i="9"/>
  <c r="M149" i="9"/>
  <c r="N149" i="9" s="1"/>
  <c r="V148" i="9"/>
  <c r="M148" i="9"/>
  <c r="N148" i="9" s="1"/>
  <c r="V147" i="9"/>
  <c r="M147" i="9"/>
  <c r="N147" i="9" s="1"/>
  <c r="V146" i="9"/>
  <c r="M146" i="9"/>
  <c r="N146" i="9" s="1"/>
  <c r="V145" i="9"/>
  <c r="M145" i="9"/>
  <c r="N145" i="9" s="1"/>
  <c r="V144" i="9"/>
  <c r="M144" i="9"/>
  <c r="N144" i="9" s="1"/>
  <c r="V143" i="9"/>
  <c r="M143" i="9"/>
  <c r="N143" i="9" s="1"/>
  <c r="V142" i="9"/>
  <c r="M52" i="9"/>
  <c r="N52" i="9" s="1"/>
  <c r="V141" i="9"/>
  <c r="M63" i="9"/>
  <c r="N63" i="9" s="1"/>
  <c r="V140" i="9"/>
  <c r="M140" i="9"/>
  <c r="N140" i="9" s="1"/>
  <c r="V139" i="9"/>
  <c r="M139" i="9"/>
  <c r="N139" i="9" s="1"/>
  <c r="V138" i="9"/>
  <c r="M131" i="9"/>
  <c r="N131" i="9" s="1"/>
  <c r="V137" i="9"/>
  <c r="M55" i="9"/>
  <c r="N55" i="9" s="1"/>
  <c r="V136" i="9"/>
  <c r="M54" i="9"/>
  <c r="N54" i="9" s="1"/>
  <c r="V135" i="9"/>
  <c r="M42" i="9"/>
  <c r="N42" i="9" s="1"/>
  <c r="V134" i="9"/>
  <c r="M134" i="9"/>
  <c r="N134" i="9" s="1"/>
  <c r="V133" i="9"/>
  <c r="M133" i="9"/>
  <c r="N133" i="9" s="1"/>
  <c r="V132" i="9"/>
  <c r="M49" i="9"/>
  <c r="N49" i="9" s="1"/>
  <c r="V131" i="9"/>
  <c r="M34" i="9"/>
  <c r="N34" i="9" s="1"/>
  <c r="V130" i="9"/>
  <c r="M130" i="9"/>
  <c r="N130" i="9" s="1"/>
  <c r="V129" i="9"/>
  <c r="M129" i="9"/>
  <c r="N129" i="9" s="1"/>
  <c r="V128" i="9"/>
  <c r="M128" i="9"/>
  <c r="N128" i="9" s="1"/>
  <c r="V127" i="9"/>
  <c r="M43" i="9"/>
  <c r="N43" i="9" s="1"/>
  <c r="V126" i="9"/>
  <c r="M107" i="9"/>
  <c r="N107" i="9" s="1"/>
  <c r="V125" i="9"/>
  <c r="M39" i="9"/>
  <c r="N39" i="9" s="1"/>
  <c r="V124" i="9"/>
  <c r="M124" i="9"/>
  <c r="N124" i="9" s="1"/>
  <c r="V123" i="9"/>
  <c r="M123" i="9"/>
  <c r="N123" i="9" s="1"/>
  <c r="V122" i="9"/>
  <c r="M122" i="9"/>
  <c r="N122" i="9" s="1"/>
  <c r="V121" i="9"/>
  <c r="M121" i="9"/>
  <c r="N121" i="9" s="1"/>
  <c r="V120" i="9"/>
  <c r="M120" i="9"/>
  <c r="N120" i="9" s="1"/>
  <c r="V119" i="9"/>
  <c r="M119" i="9"/>
  <c r="N119" i="9" s="1"/>
  <c r="V118" i="9"/>
  <c r="M118" i="9"/>
  <c r="N118" i="9" s="1"/>
  <c r="V117" i="9"/>
  <c r="N117" i="9"/>
  <c r="V116" i="9"/>
  <c r="N32" i="9"/>
  <c r="V115" i="9"/>
  <c r="M33" i="9"/>
  <c r="N33" i="9" s="1"/>
  <c r="V114" i="9"/>
  <c r="M114" i="9"/>
  <c r="N114" i="9" s="1"/>
  <c r="V113" i="9"/>
  <c r="M113" i="9"/>
  <c r="N113" i="9" s="1"/>
  <c r="V112" i="9"/>
  <c r="M112" i="9"/>
  <c r="N112" i="9" s="1"/>
  <c r="V111" i="9"/>
  <c r="M111" i="9"/>
  <c r="N111" i="9" s="1"/>
  <c r="V110" i="9"/>
  <c r="M110" i="9"/>
  <c r="N110" i="9" s="1"/>
  <c r="V109" i="9"/>
  <c r="M109" i="9"/>
  <c r="N109" i="9" s="1"/>
  <c r="V108" i="9"/>
  <c r="M108" i="9"/>
  <c r="N108" i="9" s="1"/>
  <c r="V107" i="9"/>
  <c r="M84" i="9"/>
  <c r="N84" i="9" s="1"/>
  <c r="V106" i="9"/>
  <c r="M106" i="9"/>
  <c r="N106" i="9" s="1"/>
  <c r="V105" i="9"/>
  <c r="M105" i="9"/>
  <c r="N105" i="9" s="1"/>
  <c r="V104" i="9"/>
  <c r="M104" i="9"/>
  <c r="N104" i="9" s="1"/>
  <c r="V103" i="9"/>
  <c r="M169" i="9"/>
  <c r="N169" i="9" s="1"/>
  <c r="V102" i="9"/>
  <c r="M102" i="9"/>
  <c r="N102" i="9" s="1"/>
  <c r="V101" i="9"/>
  <c r="M101" i="9"/>
  <c r="N101" i="9" s="1"/>
  <c r="V100" i="9"/>
  <c r="M100" i="9"/>
  <c r="N100" i="9" s="1"/>
  <c r="V99" i="9"/>
  <c r="M99" i="9"/>
  <c r="N99" i="9" s="1"/>
  <c r="V98" i="9"/>
  <c r="M98" i="9"/>
  <c r="N98" i="9" s="1"/>
  <c r="V97" i="9"/>
  <c r="M97" i="9"/>
  <c r="N97" i="9" s="1"/>
  <c r="V96" i="9"/>
  <c r="M96" i="9"/>
  <c r="N96" i="9" s="1"/>
  <c r="M173" i="9"/>
  <c r="N173" i="9" s="1"/>
  <c r="V94" i="9"/>
  <c r="M94" i="9"/>
  <c r="N94" i="9" s="1"/>
  <c r="V93" i="9"/>
  <c r="M93" i="9"/>
  <c r="N93" i="9" s="1"/>
  <c r="V92" i="9"/>
  <c r="M92" i="9"/>
  <c r="N92" i="9" s="1"/>
  <c r="V91" i="9"/>
  <c r="M91" i="9"/>
  <c r="N91" i="9" s="1"/>
  <c r="V90" i="9"/>
  <c r="M90" i="9"/>
  <c r="N90" i="9" s="1"/>
  <c r="V89" i="9"/>
  <c r="M89" i="9"/>
  <c r="N89" i="9" s="1"/>
  <c r="V88" i="9"/>
  <c r="M88" i="9"/>
  <c r="N88" i="9" s="1"/>
  <c r="V87" i="9"/>
  <c r="M87" i="9"/>
  <c r="N87" i="9" s="1"/>
  <c r="V86" i="9"/>
  <c r="M28" i="9"/>
  <c r="N28" i="9" s="1"/>
  <c r="V85" i="9"/>
  <c r="M85" i="9"/>
  <c r="N85" i="9" s="1"/>
  <c r="V84" i="9"/>
  <c r="M73" i="9"/>
  <c r="N73" i="9" s="1"/>
  <c r="V83" i="9"/>
  <c r="M83" i="9"/>
  <c r="N83" i="9" s="1"/>
  <c r="V82" i="9"/>
  <c r="M82" i="9"/>
  <c r="N82" i="9" s="1"/>
  <c r="V81" i="9"/>
  <c r="M26" i="9"/>
  <c r="N26" i="9" s="1"/>
  <c r="V80" i="9"/>
  <c r="M80" i="9"/>
  <c r="N80" i="9" s="1"/>
  <c r="V79" i="9"/>
  <c r="M79" i="9"/>
  <c r="N79" i="9" s="1"/>
  <c r="V78" i="9"/>
  <c r="M78" i="9"/>
  <c r="N78" i="9" s="1"/>
  <c r="V77" i="9"/>
  <c r="M77" i="9"/>
  <c r="N77" i="9" s="1"/>
  <c r="V76" i="9"/>
  <c r="M76" i="9"/>
  <c r="N76" i="9" s="1"/>
  <c r="M75" i="9"/>
  <c r="N75" i="9" s="1"/>
  <c r="V74" i="9"/>
  <c r="M21" i="9"/>
  <c r="N21" i="9" s="1"/>
  <c r="V73" i="9"/>
  <c r="M18" i="9"/>
  <c r="N18" i="9" s="1"/>
  <c r="V72" i="9"/>
  <c r="M161" i="9"/>
  <c r="N161" i="9" s="1"/>
  <c r="V71" i="9"/>
  <c r="M160" i="9"/>
  <c r="N160" i="9" s="1"/>
  <c r="V70" i="9"/>
  <c r="M16" i="9"/>
  <c r="N16" i="9" s="1"/>
  <c r="V69" i="9"/>
  <c r="M64" i="9"/>
  <c r="N64" i="9" s="1"/>
  <c r="V68" i="9"/>
  <c r="M68" i="9"/>
  <c r="N68" i="9" s="1"/>
  <c r="V67" i="9"/>
  <c r="M67" i="9"/>
  <c r="N67" i="9" s="1"/>
  <c r="V66" i="9"/>
  <c r="M66" i="9"/>
  <c r="N66" i="9" s="1"/>
  <c r="V65" i="9"/>
  <c r="M65" i="9"/>
  <c r="N65" i="9" s="1"/>
  <c r="V64" i="9"/>
  <c r="M12" i="9"/>
  <c r="N12" i="9" s="1"/>
  <c r="V63" i="9"/>
  <c r="M61" i="9"/>
  <c r="N61" i="9" s="1"/>
  <c r="V62" i="9"/>
  <c r="M62" i="9"/>
  <c r="N62" i="9" s="1"/>
  <c r="V61" i="9"/>
  <c r="M58" i="9"/>
  <c r="N58" i="9" s="1"/>
  <c r="V60" i="9"/>
  <c r="M60" i="9"/>
  <c r="N60" i="9" s="1"/>
  <c r="V59" i="9"/>
  <c r="M59" i="9"/>
  <c r="N59" i="9" s="1"/>
  <c r="V58" i="9"/>
  <c r="M11" i="9"/>
  <c r="N11" i="9" s="1"/>
  <c r="V57" i="9"/>
  <c r="M170" i="9"/>
  <c r="N170" i="9" s="1"/>
  <c r="V56" i="9"/>
  <c r="M56" i="9"/>
  <c r="N56" i="9" s="1"/>
  <c r="V55" i="9"/>
  <c r="M10" i="9"/>
  <c r="N10" i="9" s="1"/>
  <c r="V54" i="9"/>
  <c r="M53" i="9"/>
  <c r="N53" i="9" s="1"/>
  <c r="V52" i="9"/>
  <c r="M4" i="9"/>
  <c r="N4" i="9" s="1"/>
  <c r="M51" i="9"/>
  <c r="N51" i="9" s="1"/>
  <c r="M157" i="9"/>
  <c r="N157" i="9" s="1"/>
  <c r="M48" i="9"/>
  <c r="N48" i="9" s="1"/>
  <c r="M47" i="9"/>
  <c r="N47" i="9" s="1"/>
  <c r="M46" i="9"/>
  <c r="N46" i="9" s="1"/>
  <c r="M45" i="9"/>
  <c r="N45" i="9" s="1"/>
  <c r="M44" i="9"/>
  <c r="N44" i="9" s="1"/>
  <c r="M154" i="9"/>
  <c r="N154" i="9" s="1"/>
  <c r="M41" i="9"/>
  <c r="N41" i="9" s="1"/>
  <c r="M40" i="9"/>
  <c r="N40" i="9" s="1"/>
  <c r="M152" i="9"/>
  <c r="N152" i="9" s="1"/>
  <c r="M38" i="9"/>
  <c r="N38" i="9" s="1"/>
  <c r="M37" i="9"/>
  <c r="N37" i="9" s="1"/>
  <c r="M36" i="9"/>
  <c r="N36" i="9" s="1"/>
  <c r="M35" i="9"/>
  <c r="N35" i="9" s="1"/>
  <c r="M142" i="9"/>
  <c r="N142" i="9" s="1"/>
  <c r="M141" i="9"/>
  <c r="N141" i="9" s="1"/>
  <c r="M138" i="9"/>
  <c r="N138" i="9" s="1"/>
  <c r="M31" i="9"/>
  <c r="N31" i="9" s="1"/>
  <c r="M30" i="9"/>
  <c r="N30" i="9" s="1"/>
  <c r="M29" i="9"/>
  <c r="N29" i="9" s="1"/>
  <c r="M137" i="9"/>
  <c r="N137" i="9" s="1"/>
  <c r="M27" i="9"/>
  <c r="N27" i="9" s="1"/>
  <c r="M136" i="9"/>
  <c r="N136" i="9" s="1"/>
  <c r="M25" i="9"/>
  <c r="N25" i="9" s="1"/>
  <c r="M24" i="9"/>
  <c r="N24" i="9" s="1"/>
  <c r="M23" i="9"/>
  <c r="N23" i="9" s="1"/>
  <c r="M22" i="9"/>
  <c r="N22" i="9" s="1"/>
  <c r="M135" i="9"/>
  <c r="N135" i="9" s="1"/>
  <c r="M20" i="9"/>
  <c r="N20" i="9" s="1"/>
  <c r="M19" i="9"/>
  <c r="N19" i="9" s="1"/>
  <c r="M132" i="9"/>
  <c r="N132" i="9" s="1"/>
  <c r="M17" i="9"/>
  <c r="N17" i="9" s="1"/>
  <c r="M127" i="9"/>
  <c r="N127" i="9" s="1"/>
  <c r="M15" i="9"/>
  <c r="N15" i="9" s="1"/>
  <c r="M14" i="9"/>
  <c r="N14" i="9" s="1"/>
  <c r="M13" i="9"/>
  <c r="N13" i="9" s="1"/>
  <c r="M126" i="9"/>
  <c r="N126" i="9" s="1"/>
  <c r="M125" i="9"/>
  <c r="N125" i="9" s="1"/>
  <c r="M116" i="9"/>
  <c r="N116" i="9" s="1"/>
  <c r="M9" i="9"/>
  <c r="N9" i="9" s="1"/>
  <c r="M8" i="9"/>
  <c r="N8" i="9" s="1"/>
  <c r="M7" i="9"/>
  <c r="N7" i="9" s="1"/>
  <c r="M6" i="9"/>
  <c r="N6" i="9" s="1"/>
  <c r="M5" i="9"/>
  <c r="N5" i="9" s="1"/>
  <c r="M115" i="9"/>
  <c r="N115" i="9" s="1"/>
  <c r="M3" i="9"/>
  <c r="N3" i="9" s="1"/>
  <c r="M35" i="5"/>
  <c r="N35" i="5" s="1"/>
  <c r="M59" i="3"/>
  <c r="N59" i="3" s="1"/>
  <c r="V67" i="2"/>
  <c r="M27" i="3"/>
  <c r="N27" i="3" s="1"/>
  <c r="M15" i="3"/>
  <c r="N15" i="3" s="1"/>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7" i="2"/>
  <c r="V48" i="2"/>
  <c r="V49" i="2"/>
  <c r="V50" i="2"/>
  <c r="V51" i="2"/>
  <c r="V52" i="2"/>
  <c r="V53" i="2"/>
  <c r="V54" i="2"/>
  <c r="V55" i="2"/>
  <c r="V56" i="2"/>
  <c r="V57" i="2"/>
  <c r="V58" i="2"/>
  <c r="V59" i="2"/>
  <c r="V60" i="2"/>
  <c r="V61" i="2"/>
  <c r="V62" i="2"/>
  <c r="V63" i="2"/>
  <c r="V64" i="2"/>
  <c r="V65" i="2"/>
  <c r="V66"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M39" i="5"/>
  <c r="N39" i="5" s="1"/>
  <c r="M20" i="3" l="1"/>
  <c r="N20" i="3" s="1"/>
  <c r="M48" i="3"/>
  <c r="N48" i="3" s="1"/>
  <c r="M3" i="4"/>
  <c r="N3" i="4" s="1"/>
  <c r="M4" i="4"/>
  <c r="N4" i="4" s="1"/>
  <c r="M5" i="4"/>
  <c r="N5" i="4" s="1"/>
  <c r="M6" i="4"/>
  <c r="N6" i="4" s="1"/>
  <c r="M7" i="4"/>
  <c r="N7" i="4" s="1"/>
  <c r="M8" i="4"/>
  <c r="N8" i="4" s="1"/>
  <c r="M9" i="4"/>
  <c r="N9" i="4" s="1"/>
  <c r="M10" i="4"/>
  <c r="N10" i="4" s="1"/>
  <c r="M11" i="4"/>
  <c r="N11" i="4" s="1"/>
  <c r="M12" i="4"/>
  <c r="N12" i="4" s="1"/>
  <c r="M13" i="4"/>
  <c r="N13" i="4" s="1"/>
  <c r="M14" i="4"/>
  <c r="N14" i="4" s="1"/>
  <c r="M15" i="4"/>
  <c r="N15" i="4" s="1"/>
  <c r="M16" i="4"/>
  <c r="N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2" i="4"/>
  <c r="N2" i="4" s="1"/>
  <c r="M3" i="3"/>
  <c r="N3" i="3" s="1"/>
  <c r="M10" i="3"/>
  <c r="N10" i="3" s="1"/>
  <c r="M19" i="3"/>
  <c r="N19" i="3" s="1"/>
  <c r="M25" i="3"/>
  <c r="N25" i="3" s="1"/>
  <c r="M35" i="3"/>
  <c r="N35" i="3" s="1"/>
  <c r="M36" i="3"/>
  <c r="N36" i="3" s="1"/>
  <c r="M40" i="3"/>
  <c r="N40" i="3" s="1"/>
  <c r="M45" i="3"/>
  <c r="N45" i="3" s="1"/>
  <c r="M55" i="3"/>
  <c r="N55" i="3" s="1"/>
  <c r="M75" i="3"/>
  <c r="N75" i="3" s="1"/>
  <c r="M76" i="3"/>
  <c r="N76" i="3" s="1"/>
  <c r="M78" i="3"/>
  <c r="N78" i="3" s="1"/>
  <c r="M64" i="3"/>
  <c r="N64" i="3" s="1"/>
  <c r="M66" i="3"/>
  <c r="N66" i="3" s="1"/>
  <c r="M16" i="3"/>
  <c r="N16" i="3" s="1"/>
  <c r="M42" i="3"/>
  <c r="N42" i="3" s="1"/>
  <c r="M28" i="3"/>
  <c r="N28" i="3" s="1"/>
  <c r="M14" i="3"/>
  <c r="N14" i="3" s="1"/>
  <c r="M61" i="3"/>
  <c r="N61" i="3" s="1"/>
  <c r="M70" i="3"/>
  <c r="N70" i="3" s="1"/>
  <c r="M74" i="3"/>
  <c r="N74" i="3" s="1"/>
  <c r="M12" i="3"/>
  <c r="N12" i="3" s="1"/>
  <c r="M13" i="3"/>
  <c r="N13" i="3" s="1"/>
  <c r="M46" i="3"/>
  <c r="N46" i="3" s="1"/>
  <c r="M47" i="3"/>
  <c r="N47" i="3" s="1"/>
  <c r="M80" i="3"/>
  <c r="N80" i="3" s="1"/>
  <c r="M32" i="3"/>
  <c r="N32" i="3" s="1"/>
  <c r="M79" i="3"/>
  <c r="N79" i="3" s="1"/>
  <c r="M38" i="3"/>
  <c r="N38" i="3" s="1"/>
  <c r="M7" i="3"/>
  <c r="N7" i="3" s="1"/>
  <c r="M62" i="3"/>
  <c r="N62" i="3" s="1"/>
  <c r="M4" i="3"/>
  <c r="N4" i="3" s="1"/>
  <c r="M69" i="3"/>
  <c r="N69" i="3" s="1"/>
  <c r="M5" i="3"/>
  <c r="N5" i="3" s="1"/>
  <c r="M49" i="3"/>
  <c r="N49" i="3" s="1"/>
  <c r="M18" i="3"/>
  <c r="N18" i="3" s="1"/>
  <c r="M84" i="3"/>
  <c r="N84" i="3" s="1"/>
  <c r="M65" i="3"/>
  <c r="N65" i="3" s="1"/>
  <c r="M29" i="3"/>
  <c r="N29" i="3" s="1"/>
  <c r="M73" i="3"/>
  <c r="N73" i="3" s="1"/>
  <c r="M24" i="3"/>
  <c r="N24" i="3" s="1"/>
  <c r="M37" i="3"/>
  <c r="N37" i="3" s="1"/>
  <c r="M26" i="3"/>
  <c r="N26" i="3" s="1"/>
  <c r="M22" i="3"/>
  <c r="N22" i="3" s="1"/>
  <c r="M43" i="3"/>
  <c r="N43" i="3" s="1"/>
  <c r="M44" i="3"/>
  <c r="N44" i="3" s="1"/>
  <c r="M9" i="3"/>
  <c r="N9" i="3" s="1"/>
  <c r="M71" i="3"/>
  <c r="N71" i="3" s="1"/>
  <c r="M81" i="3"/>
  <c r="N81" i="3" s="1"/>
  <c r="M82" i="3"/>
  <c r="N82" i="3" s="1"/>
  <c r="M58" i="3"/>
  <c r="N58" i="3" s="1"/>
  <c r="M34" i="3"/>
  <c r="N34" i="3" s="1"/>
  <c r="M63" i="3"/>
  <c r="N63" i="3" s="1"/>
  <c r="M6" i="3"/>
  <c r="N6" i="3" s="1"/>
  <c r="M52" i="3"/>
  <c r="N52" i="3" s="1"/>
  <c r="M57" i="3"/>
  <c r="N57" i="3" s="1"/>
  <c r="M67" i="3"/>
  <c r="N67" i="3" s="1"/>
  <c r="M39" i="3"/>
  <c r="N39" i="3" s="1"/>
  <c r="M23" i="3"/>
  <c r="N23" i="3" s="1"/>
  <c r="M60" i="3"/>
  <c r="N60" i="3" s="1"/>
  <c r="M30" i="3"/>
  <c r="N30" i="3" s="1"/>
  <c r="M31" i="3"/>
  <c r="N31" i="3" s="1"/>
  <c r="M83" i="3"/>
  <c r="N83" i="3" s="1"/>
  <c r="M68" i="3"/>
  <c r="N68" i="3" s="1"/>
  <c r="M21" i="3"/>
  <c r="N21" i="3" s="1"/>
  <c r="M11" i="3"/>
  <c r="N11" i="3" s="1"/>
  <c r="M50" i="3"/>
  <c r="N50" i="3" s="1"/>
  <c r="M51" i="3"/>
  <c r="N51" i="3" s="1"/>
  <c r="M17" i="3"/>
  <c r="N17" i="3" s="1"/>
  <c r="M33" i="3"/>
  <c r="N33" i="3" s="1"/>
  <c r="M41" i="3"/>
  <c r="N41" i="3" s="1"/>
  <c r="M53" i="3"/>
  <c r="N53" i="3" s="1"/>
  <c r="M54" i="3"/>
  <c r="N54" i="3" s="1"/>
  <c r="M56" i="3"/>
  <c r="N56" i="3" s="1"/>
  <c r="M72" i="3"/>
  <c r="N72" i="3" s="1"/>
  <c r="M77" i="3"/>
  <c r="N77" i="3" s="1"/>
  <c r="M8" i="3"/>
  <c r="N8" i="3" s="1"/>
  <c r="M79" i="2"/>
  <c r="N79" i="2" s="1"/>
  <c r="M81" i="2"/>
  <c r="N81" i="2" s="1"/>
  <c r="M82" i="2"/>
  <c r="N82" i="2" s="1"/>
  <c r="M4" i="2"/>
  <c r="N4" i="2" s="1"/>
  <c r="M5" i="2"/>
  <c r="N5" i="2" s="1"/>
  <c r="M6" i="2"/>
  <c r="N6" i="2" s="1"/>
  <c r="M7" i="2"/>
  <c r="N7" i="2" s="1"/>
  <c r="M83" i="2"/>
  <c r="N83" i="2" s="1"/>
  <c r="M84" i="2"/>
  <c r="N84" i="2" s="1"/>
  <c r="M10" i="2"/>
  <c r="N10" i="2" s="1"/>
  <c r="M11" i="2"/>
  <c r="N11" i="2" s="1"/>
  <c r="M12" i="2"/>
  <c r="N12" i="2" s="1"/>
  <c r="M13" i="2"/>
  <c r="N13" i="2" s="1"/>
  <c r="M14" i="2"/>
  <c r="N14" i="2" s="1"/>
  <c r="M85" i="2"/>
  <c r="N85" i="2" s="1"/>
  <c r="M86" i="2"/>
  <c r="N86" i="2" s="1"/>
  <c r="M15" i="2"/>
  <c r="N15" i="2" s="1"/>
  <c r="M16" i="2"/>
  <c r="N16" i="2" s="1"/>
  <c r="M87" i="2"/>
  <c r="N87" i="2" s="1"/>
  <c r="M17" i="2"/>
  <c r="N17" i="2" s="1"/>
  <c r="M18" i="2"/>
  <c r="N18" i="2" s="1"/>
  <c r="M19" i="2"/>
  <c r="N19" i="2" s="1"/>
  <c r="M20" i="2"/>
  <c r="N20" i="2" s="1"/>
  <c r="M21" i="2"/>
  <c r="N21" i="2" s="1"/>
  <c r="M22" i="2"/>
  <c r="N22" i="2" s="1"/>
  <c r="M23" i="2"/>
  <c r="N23" i="2" s="1"/>
  <c r="M88" i="2"/>
  <c r="N88" i="2" s="1"/>
  <c r="M24" i="2"/>
  <c r="N24" i="2" s="1"/>
  <c r="M25" i="2"/>
  <c r="N25" i="2" s="1"/>
  <c r="M26" i="2"/>
  <c r="N26" i="2" s="1"/>
  <c r="M27" i="2"/>
  <c r="N27" i="2" s="1"/>
  <c r="M89" i="2"/>
  <c r="N89" i="2" s="1"/>
  <c r="M28" i="2"/>
  <c r="N28" i="2" s="1"/>
  <c r="M29" i="2"/>
  <c r="N29" i="2" s="1"/>
  <c r="M30" i="2"/>
  <c r="N30" i="2" s="1"/>
  <c r="M31" i="2"/>
  <c r="N31" i="2" s="1"/>
  <c r="M73" i="2"/>
  <c r="N73" i="2" s="1"/>
  <c r="M32" i="2"/>
  <c r="N32" i="2" s="1"/>
  <c r="M33" i="2"/>
  <c r="N33" i="2" s="1"/>
  <c r="M90" i="2"/>
  <c r="N90" i="2" s="1"/>
  <c r="M91" i="2"/>
  <c r="N91" i="2" s="1"/>
  <c r="M34" i="2"/>
  <c r="N34" i="2" s="1"/>
  <c r="M35" i="2"/>
  <c r="N35" i="2" s="1"/>
  <c r="M36" i="2"/>
  <c r="N36" i="2" s="1"/>
  <c r="M99" i="2"/>
  <c r="N99" i="2" s="1"/>
  <c r="M92" i="2"/>
  <c r="N92" i="2" s="1"/>
  <c r="M37" i="2"/>
  <c r="N37" i="2" s="1"/>
  <c r="M93" i="2"/>
  <c r="N93" i="2" s="1"/>
  <c r="M94" i="2"/>
  <c r="N94" i="2" s="1"/>
  <c r="M38" i="2"/>
  <c r="N38" i="2" s="1"/>
  <c r="M95" i="2"/>
  <c r="N95" i="2" s="1"/>
  <c r="M39" i="2"/>
  <c r="N39" i="2" s="1"/>
  <c r="M96" i="2"/>
  <c r="N96" i="2" s="1"/>
  <c r="M41" i="2"/>
  <c r="N41" i="2" s="1"/>
  <c r="M97" i="2"/>
  <c r="N97" i="2" s="1"/>
  <c r="M98" i="2"/>
  <c r="N98" i="2" s="1"/>
  <c r="M42" i="2"/>
  <c r="N42" i="2" s="1"/>
  <c r="M40" i="2"/>
  <c r="N40" i="2" s="1"/>
  <c r="M100" i="2"/>
  <c r="N100" i="2" s="1"/>
  <c r="M101" i="2"/>
  <c r="N101" i="2" s="1"/>
  <c r="N43" i="2"/>
  <c r="N44" i="2"/>
  <c r="M45" i="2"/>
  <c r="N45" i="2" s="1"/>
  <c r="M46" i="2"/>
  <c r="N46" i="2" s="1"/>
  <c r="M47" i="2"/>
  <c r="N47" i="2" s="1"/>
  <c r="M48" i="2"/>
  <c r="N48" i="2" s="1"/>
  <c r="M102" i="2"/>
  <c r="N102" i="2" s="1"/>
  <c r="M49" i="2"/>
  <c r="N49" i="2" s="1"/>
  <c r="M50" i="2"/>
  <c r="N50" i="2" s="1"/>
  <c r="M103" i="2"/>
  <c r="N103" i="2" s="1"/>
  <c r="M104" i="2"/>
  <c r="N104" i="2" s="1"/>
  <c r="M52" i="2"/>
  <c r="N52" i="2" s="1"/>
  <c r="M105" i="2"/>
  <c r="N105" i="2" s="1"/>
  <c r="M53" i="2"/>
  <c r="N53" i="2" s="1"/>
  <c r="M54" i="2"/>
  <c r="N54" i="2" s="1"/>
  <c r="M55" i="2"/>
  <c r="N55" i="2" s="1"/>
  <c r="M106" i="2"/>
  <c r="N106" i="2" s="1"/>
  <c r="M56" i="2"/>
  <c r="N56" i="2" s="1"/>
  <c r="M57" i="2"/>
  <c r="N57" i="2" s="1"/>
  <c r="M58" i="2"/>
  <c r="N58" i="2" s="1"/>
  <c r="M59" i="2"/>
  <c r="N59" i="2" s="1"/>
  <c r="M60" i="2"/>
  <c r="N60" i="2" s="1"/>
  <c r="M61" i="2"/>
  <c r="N61" i="2" s="1"/>
  <c r="M107" i="2"/>
  <c r="N107" i="2" s="1"/>
  <c r="M62" i="2"/>
  <c r="N62" i="2" s="1"/>
  <c r="M63" i="2"/>
  <c r="N63" i="2" s="1"/>
  <c r="M64" i="2"/>
  <c r="N64" i="2" s="1"/>
  <c r="M108" i="2"/>
  <c r="N108" i="2" s="1"/>
  <c r="M65" i="2"/>
  <c r="N65" i="2" s="1"/>
  <c r="M66" i="2"/>
  <c r="N66" i="2" s="1"/>
  <c r="M68" i="2"/>
  <c r="N68" i="2" s="1"/>
  <c r="M67" i="2"/>
  <c r="N67" i="2" s="1"/>
  <c r="M69" i="2"/>
  <c r="N69" i="2" s="1"/>
  <c r="M70" i="2"/>
  <c r="N70" i="2" s="1"/>
  <c r="M71" i="2"/>
  <c r="N71" i="2" s="1"/>
  <c r="M72" i="2"/>
  <c r="N72" i="2" s="1"/>
  <c r="M109" i="2"/>
  <c r="N109" i="2" s="1"/>
  <c r="M74" i="2"/>
  <c r="N74" i="2" s="1"/>
  <c r="M110" i="2"/>
  <c r="N110" i="2" s="1"/>
  <c r="M75" i="2"/>
  <c r="N75" i="2" s="1"/>
  <c r="M76" i="2"/>
  <c r="N76" i="2" s="1"/>
  <c r="M77" i="2"/>
  <c r="N77" i="2" s="1"/>
  <c r="M51" i="2"/>
  <c r="N51" i="2" s="1"/>
  <c r="M3" i="2"/>
  <c r="N3" i="2" s="1"/>
  <c r="M8" i="2"/>
  <c r="N8" i="2" s="1"/>
  <c r="M9" i="2"/>
  <c r="N9" i="2" s="1"/>
  <c r="M2" i="2"/>
  <c r="N2" i="2" s="1"/>
  <c r="M4" i="5"/>
  <c r="N4" i="5" s="1"/>
  <c r="M5" i="5"/>
  <c r="N5" i="5" s="1"/>
  <c r="M6" i="5"/>
  <c r="N6" i="5" s="1"/>
  <c r="M7" i="5"/>
  <c r="N7" i="5" s="1"/>
  <c r="M8" i="5"/>
  <c r="N8" i="5" s="1"/>
  <c r="M9" i="5"/>
  <c r="N9" i="5" s="1"/>
  <c r="M11" i="5"/>
  <c r="N11" i="5" s="1"/>
  <c r="M12" i="5"/>
  <c r="N12" i="5" s="1"/>
  <c r="M14" i="5"/>
  <c r="N14" i="5" s="1"/>
  <c r="M15" i="5"/>
  <c r="N15" i="5" s="1"/>
  <c r="M16" i="5"/>
  <c r="N16" i="5" s="1"/>
  <c r="M17" i="5"/>
  <c r="N17" i="5" s="1"/>
  <c r="M18" i="5"/>
  <c r="N18" i="5" s="1"/>
  <c r="M19" i="5"/>
  <c r="N19" i="5" s="1"/>
  <c r="M20" i="5"/>
  <c r="N20" i="5" s="1"/>
  <c r="M21" i="5"/>
  <c r="N21" i="5" s="1"/>
  <c r="M22" i="5"/>
  <c r="N22" i="5" s="1"/>
  <c r="M23" i="5"/>
  <c r="N23" i="5" s="1"/>
  <c r="M24" i="5"/>
  <c r="N24" i="5" s="1"/>
  <c r="M25" i="5"/>
  <c r="N25" i="5" s="1"/>
  <c r="M26" i="5"/>
  <c r="N26" i="5" s="1"/>
  <c r="M27" i="5"/>
  <c r="N27" i="5" s="1"/>
  <c r="M29" i="5"/>
  <c r="N29" i="5" s="1"/>
  <c r="M30" i="5"/>
  <c r="N30" i="5" s="1"/>
  <c r="M31" i="5"/>
  <c r="N31" i="5" s="1"/>
  <c r="M32" i="5"/>
  <c r="N32" i="5" s="1"/>
  <c r="M33" i="5"/>
  <c r="N33" i="5" s="1"/>
  <c r="M34" i="5"/>
  <c r="N34" i="5" s="1"/>
  <c r="M36" i="5"/>
  <c r="N36" i="5" s="1"/>
  <c r="M38" i="5"/>
  <c r="N38" i="5" s="1"/>
  <c r="M40" i="5"/>
  <c r="N40" i="5" s="1"/>
  <c r="M41" i="5"/>
  <c r="N41" i="5" s="1"/>
  <c r="M42" i="5"/>
  <c r="N42" i="5" s="1"/>
  <c r="M43" i="5"/>
  <c r="N43" i="5" s="1"/>
  <c r="M44" i="5"/>
  <c r="N44" i="5" s="1"/>
  <c r="M45" i="5"/>
  <c r="N45" i="5" s="1"/>
  <c r="M46" i="5"/>
  <c r="N46" i="5" s="1"/>
  <c r="M47" i="5"/>
  <c r="N47" i="5" s="1"/>
  <c r="M48" i="5"/>
  <c r="N48" i="5" s="1"/>
  <c r="M49" i="5"/>
  <c r="N49" i="5" s="1"/>
  <c r="M37" i="5"/>
  <c r="N37" i="5" s="1"/>
  <c r="M10" i="5"/>
  <c r="N10" i="5" s="1"/>
  <c r="M13" i="5"/>
  <c r="N13" i="5" s="1"/>
  <c r="M28" i="5"/>
  <c r="N28" i="5" s="1"/>
  <c r="M3" i="5"/>
  <c r="N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tc={1ACC24D8-F878-4A34-96A7-F300D0892CD5}</author>
  </authors>
  <commentList>
    <comment ref="U24" authorId="0" shapeId="0" xr:uid="{1ACC24D8-F878-4A34-96A7-F300D0892CD5}">
      <text>
        <t xml:space="preserve">[Threaded comment]
Your version of Excel allows you to read this threaded comment; however, any edits to it will get removed if the file is opened in a newer version of Excel. Learn more: https://go.microsoft.com/fwlink/?linkid=870924
Comment:
    Staff requested non renewal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Edith Gitobu</author>
    <author>tc={35946FAA-D183-43AC-AB9A-FDCE527A8B8B}</author>
    <author>tc={5EC88E29-071C-4FE3-B068-4A1CE727F987}</author>
    <author>tc={D3ACB857-8690-4AD1-B6E2-00945C69679C}</author>
    <author>tc={DCBAF967-28D1-4081-9516-5079665CC182}</author>
    <author>tc={DCC4C345-CB76-4796-80DF-7B34487004A4}</author>
    <author>tc={09FD72B6-22DC-4DC8-ABB6-DDC741FEAF29}</author>
    <author>tc={CF51F969-457D-4790-BF07-7A2A6EBDAA4E}</author>
    <author>tc={337396F7-9226-4D0B-8DE7-19ED85A46AFD}</author>
    <author>tc={F628CBD5-FE80-4510-A034-34143216C11B}</author>
  </authors>
  <commentList>
    <comment ref="B21" authorId="0" shapeId="0" xr:uid="{836B36B9-389B-4BA8-A525-931817EC0CC4}">
      <text>
        <r>
          <rPr>
            <b/>
            <sz val="9"/>
            <color indexed="81"/>
            <rFont val="Tahoma"/>
            <family val="2"/>
          </rPr>
          <t>Edith Gitobu:</t>
        </r>
        <r>
          <rPr>
            <sz val="9"/>
            <color indexed="81"/>
            <rFont val="Tahoma"/>
            <family val="2"/>
          </rPr>
          <t xml:space="preserve">
Redesignated as Clinical Mentor effective 1st February 2025</t>
        </r>
      </text>
    </comment>
    <comment ref="B23" authorId="0" shapeId="0" xr:uid="{7F8B7089-AE55-44FD-B1A6-42BF9913932C}">
      <text>
        <r>
          <rPr>
            <b/>
            <sz val="9"/>
            <color indexed="81"/>
            <rFont val="Tahoma"/>
            <family val="2"/>
          </rPr>
          <t>Edith Gitobu:</t>
        </r>
        <r>
          <rPr>
            <sz val="9"/>
            <color indexed="81"/>
            <rFont val="Tahoma"/>
            <family val="2"/>
          </rPr>
          <t xml:space="preserve">
Redesignated as Clinical Mentor effective 1st February 2025</t>
        </r>
      </text>
    </comment>
    <comment ref="B56" authorId="1" shapeId="0" xr:uid="{35946FAA-D183-43AC-AB9A-FDCE527A8B8B}">
      <text>
        <t xml:space="preserve">[Threaded comment]
Your version of Excel allows you to read this threaded comment; however, any edits to it will get removed if the file is opened in a newer version of Excel. Learn more: https://go.microsoft.com/fwlink/?linkid=870924
Comment:
    Pay through Yetu Sacco Society Ltd
Member No:123226
</t>
      </text>
    </comment>
    <comment ref="B66" authorId="0" shapeId="0" xr:uid="{21B1F896-A52C-4348-A842-8FA996807337}">
      <text>
        <r>
          <rPr>
            <b/>
            <sz val="9"/>
            <color indexed="81"/>
            <rFont val="Tahoma"/>
            <family val="2"/>
          </rPr>
          <t>Edith Gitobu:</t>
        </r>
        <r>
          <rPr>
            <sz val="9"/>
            <color indexed="81"/>
            <rFont val="Tahoma"/>
            <family val="2"/>
          </rPr>
          <t xml:space="preserve">
Pay via trans Nation SACCO A/c '68260203109001</t>
        </r>
      </text>
    </comment>
    <comment ref="B79" authorId="2" shapeId="0" xr:uid="{5EC88E29-071C-4FE3-B068-4A1CE727F987}">
      <text>
        <t>[Threaded comment]
Your version of Excel allows you to read this threaded comment; however, any edits to it will get removed if the file is opened in a newer version of Excel. Learn more: https://go.microsoft.com/fwlink/?linkid=870924
Comment:
    Pay via Jamii yetu SACCO Ltd - Mebership No. 79238</t>
      </text>
    </comment>
    <comment ref="B80" authorId="0" shapeId="0" xr:uid="{70A0B275-4BAC-460F-8FE1-56603149B6DB}">
      <text>
        <r>
          <rPr>
            <b/>
            <sz val="9"/>
            <color indexed="81"/>
            <rFont val="Tahoma"/>
            <family val="2"/>
          </rPr>
          <t>Edith Gitobu:</t>
        </r>
        <r>
          <rPr>
            <sz val="9"/>
            <color indexed="81"/>
            <rFont val="Tahoma"/>
            <family val="2"/>
          </rPr>
          <t xml:space="preserve">
Pay via trans Nation SACCO A/c '68260204777001</t>
        </r>
      </text>
    </comment>
    <comment ref="B113" authorId="3" shapeId="0" xr:uid="{D3ACB857-8690-4AD1-B6E2-00945C69679C}">
      <text>
        <t>[Threaded comment]
Your version of Excel allows you to read this threaded comment; however, any edits to it will get removed if the file is opened in a newer version of Excel. Learn more: https://go.microsoft.com/fwlink/?linkid=870924
Comment:
    Redesignated as clinical mentor wef 1st March2025
Reply:
    Reinstated as C.O effective May1</t>
      </text>
    </comment>
    <comment ref="B141" authorId="4" shapeId="0" xr:uid="{DCBAF967-28D1-4081-9516-5079665CC182}">
      <text>
        <t>[Threaded comment]
Your version of Excel allows you to read this threaded comment; however, any edits to it will get removed if the file is opened in a newer version of Excel. Learn more: https://go.microsoft.com/fwlink/?linkid=870924
Comment:
    Pay via YETU SACCO SOCIETY LTD
11125655/30124661</t>
      </text>
    </comment>
    <comment ref="B161" authorId="5" shapeId="0" xr:uid="{DCC4C345-CB76-4796-80DF-7B34487004A4}">
      <text>
        <t>[Threaded comment]
Your version of Excel allows you to read this threaded comment; however, any edits to it will get removed if the file is opened in a newer version of Excel. Learn more: https://go.microsoft.com/fwlink/?linkid=870924
Comment:
    Pay salary prorated from 4/12/23</t>
      </text>
    </comment>
    <comment ref="B162" authorId="6" shapeId="0" xr:uid="{09FD72B6-22DC-4DC8-ABB6-DDC741FEAF29}">
      <text>
        <t>[Threaded comment]
Your version of Excel allows you to read this threaded comment; however, any edits to it will get removed if the file is opened in a newer version of Excel. Learn more: https://go.microsoft.com/fwlink/?linkid=870924
Comment:
    pay salary prorated from 5/12/23</t>
      </text>
    </comment>
    <comment ref="B163" authorId="7" shapeId="0" xr:uid="{CF51F969-457D-4790-BF07-7A2A6EBDAA4E}">
      <text>
        <t>[Threaded comment]
Your version of Excel allows you to read this threaded comment; however, any edits to it will get removed if the file is opened in a newer version of Excel. Learn more: https://go.microsoft.com/fwlink/?linkid=870924
Comment:
    pay salary prorated from 5/12/23</t>
      </text>
    </comment>
    <comment ref="B164" authorId="8" shapeId="0" xr:uid="{337396F7-9226-4D0B-8DE7-19ED85A46AFD}">
      <text>
        <t>[Threaded comment]
Your version of Excel allows you to read this threaded comment; however, any edits to it will get removed if the file is opened in a newer version of Excel. Learn more: https://go.microsoft.com/fwlink/?linkid=870924
Comment:
    pay salary prorated from18/12/23</t>
      </text>
    </comment>
    <comment ref="B174" authorId="9" shapeId="0" xr:uid="{F628CBD5-FE80-4510-A034-34143216C11B}">
      <text>
        <t>[Threaded comment]
Your version of Excel allows you to read this threaded comment; however, any edits to it will get removed if the file is opened in a newer version of Excel. Learn more: https://go.microsoft.com/fwlink/?linkid=870924
Comment:
    Upto 30th Sep 2024</t>
      </text>
    </comment>
    <comment ref="B175" authorId="0" shapeId="0" xr:uid="{C1F10E31-1779-4589-904B-04B066D86B85}">
      <text>
        <r>
          <rPr>
            <b/>
            <sz val="9"/>
            <color indexed="81"/>
            <rFont val="Tahoma"/>
            <family val="2"/>
          </rPr>
          <t>Edith Gitobu:</t>
        </r>
        <r>
          <rPr>
            <sz val="9"/>
            <color indexed="81"/>
            <rFont val="Tahoma"/>
            <family val="2"/>
          </rPr>
          <t xml:space="preserve">
Engaged from Locum to annual contract</t>
        </r>
      </text>
    </comment>
  </commentList>
</comments>
</file>

<file path=xl/sharedStrings.xml><?xml version="1.0" encoding="utf-8"?>
<sst xmlns="http://schemas.openxmlformats.org/spreadsheetml/2006/main" count="28067" uniqueCount="3340">
  <si>
    <t>UJTP HRH MONTHLY TIMESHEET TRACKER  FY 2022/2023</t>
  </si>
  <si>
    <t>PROPOSED  TIMESHEETS TRACKERS</t>
  </si>
  <si>
    <t>S/No</t>
  </si>
  <si>
    <t>P/ROLL  NO</t>
  </si>
  <si>
    <t>EMPLOYEE NAME</t>
  </si>
  <si>
    <t xml:space="preserve">DESIGNATION </t>
  </si>
  <si>
    <t>COUNTY</t>
  </si>
  <si>
    <t>STATION</t>
  </si>
  <si>
    <t>CONTACTS</t>
  </si>
  <si>
    <t>Remarks</t>
  </si>
  <si>
    <t>1</t>
  </si>
  <si>
    <t>SALOME NJOKI NGUYU</t>
  </si>
  <si>
    <t>MEDICAL LABORATORY TECHNOLOGIST</t>
  </si>
  <si>
    <t>Embu</t>
  </si>
  <si>
    <t>EMBU COUNTY REFERRAL HOSPITAL</t>
  </si>
  <si>
    <t>0707800435</t>
  </si>
  <si>
    <t>YES</t>
  </si>
  <si>
    <t>NO</t>
  </si>
  <si>
    <t>APRIL/MAY NOT SUBMITTED</t>
  </si>
  <si>
    <t>2</t>
  </si>
  <si>
    <t>CAROLINE MUKAMI MURIITHI</t>
  </si>
  <si>
    <t>HTS COUNSELOR</t>
  </si>
  <si>
    <t>EMBU PGH</t>
  </si>
  <si>
    <t>0712514642</t>
  </si>
  <si>
    <t>INCORRECT</t>
  </si>
  <si>
    <t>APRIL DATED BEFORE MONTH END</t>
  </si>
  <si>
    <t>3</t>
  </si>
  <si>
    <t>EMILY MUTHONI KIRANGO</t>
  </si>
  <si>
    <t>0757343467</t>
  </si>
  <si>
    <t>N/A</t>
  </si>
  <si>
    <t>JOINED IN FEB 2023</t>
  </si>
  <si>
    <t>4</t>
  </si>
  <si>
    <t>FESTUS MUGENDI FRANCIS</t>
  </si>
  <si>
    <t>0724463709</t>
  </si>
  <si>
    <t>5</t>
  </si>
  <si>
    <t>GLADYS WAKIO MUGO</t>
  </si>
  <si>
    <t>RUNYENJES DISTRICT HOSPITAL</t>
  </si>
  <si>
    <t>0729734188</t>
  </si>
  <si>
    <t>6</t>
  </si>
  <si>
    <t>HILDAH NJOKI NJIRU</t>
  </si>
  <si>
    <t>KIAMBERE DAM</t>
  </si>
  <si>
    <t>0705434987</t>
  </si>
  <si>
    <t>7</t>
  </si>
  <si>
    <t>IRENE KARIMI NJERU</t>
  </si>
  <si>
    <t>ISHIARA LEVEL 4 HOSPITAL</t>
  </si>
  <si>
    <t>0715438496</t>
  </si>
  <si>
    <t>8</t>
  </si>
  <si>
    <t>JANE GAKII MURIUNGI</t>
  </si>
  <si>
    <t>KITHIMU HC</t>
  </si>
  <si>
    <t>0723771798</t>
  </si>
  <si>
    <t>9</t>
  </si>
  <si>
    <t>JACINTA MUTHONI JUSTUS</t>
  </si>
  <si>
    <t>NEMBURE HEALTH CENTER</t>
  </si>
  <si>
    <t>0727319245</t>
  </si>
  <si>
    <t>10</t>
  </si>
  <si>
    <t>JOYCE WANGOI KANG'ETHE</t>
  </si>
  <si>
    <t>0728722601</t>
  </si>
  <si>
    <t>11</t>
  </si>
  <si>
    <t>KELLEN WANJIRU NDAMBIRI</t>
  </si>
  <si>
    <t>0721117682</t>
  </si>
  <si>
    <t>12</t>
  </si>
  <si>
    <t>KIMANI PETERSON CHOMBA</t>
  </si>
  <si>
    <t>0704947945</t>
  </si>
  <si>
    <t>13</t>
  </si>
  <si>
    <t>LYDIA WAWIRA NGARI</t>
  </si>
  <si>
    <t>ACEF ENA HEALTH CENTER</t>
  </si>
  <si>
    <t>0717587937</t>
  </si>
  <si>
    <t>14</t>
  </si>
  <si>
    <t>PASCALIA MBEKE MWILU</t>
  </si>
  <si>
    <t>KIRITIRI HC</t>
  </si>
  <si>
    <t>0717570330</t>
  </si>
  <si>
    <t>15</t>
  </si>
  <si>
    <t>POLLY WAWIRA NYAGA</t>
  </si>
  <si>
    <t>0723735960</t>
  </si>
  <si>
    <t>16</t>
  </si>
  <si>
    <t>RUTH WAIRIMU NDICHU</t>
  </si>
  <si>
    <t>0725244022</t>
  </si>
  <si>
    <t>17</t>
  </si>
  <si>
    <t>WENDY WAWIRA KAHUTHIA</t>
  </si>
  <si>
    <t>ST. MICHAEL</t>
  </si>
  <si>
    <t>0726801673</t>
  </si>
  <si>
    <t>18</t>
  </si>
  <si>
    <t>HARRISON MUCHIRI RAINGO</t>
  </si>
  <si>
    <t>HEALTH RECORDS INFORMATION OFFICER</t>
  </si>
  <si>
    <t>0724575493</t>
  </si>
  <si>
    <t>19</t>
  </si>
  <si>
    <t>BENTA NYAWIRA NGARI</t>
  </si>
  <si>
    <t>GATEGI HC</t>
  </si>
  <si>
    <t>0759450844</t>
  </si>
  <si>
    <t>20</t>
  </si>
  <si>
    <t>FRANCIS TAJEU RIMOINE</t>
  </si>
  <si>
    <t>MBEERE DH</t>
  </si>
  <si>
    <t>0702608936</t>
  </si>
  <si>
    <t>21</t>
  </si>
  <si>
    <t>ROSE NDINDA NJERU</t>
  </si>
  <si>
    <t>KARURUMO HEALTH CENTER</t>
  </si>
  <si>
    <t>0729147276</t>
  </si>
  <si>
    <t>22</t>
  </si>
  <si>
    <t>ATHANASIO NJIRU MWANGANGI</t>
  </si>
  <si>
    <t>ISHIARA SUB-DISTRICT HOSPITAL</t>
  </si>
  <si>
    <t>0795162146</t>
  </si>
  <si>
    <t>23</t>
  </si>
  <si>
    <t>CAROLINE WANJIRU NJERU</t>
  </si>
  <si>
    <t>0708502540</t>
  </si>
  <si>
    <t>24</t>
  </si>
  <si>
    <t>DOROTHY WANJIRA MUCHIRA</t>
  </si>
  <si>
    <t>0704899727</t>
  </si>
  <si>
    <t>25</t>
  </si>
  <si>
    <t>PURITY WAWIRA NDAMBIRI</t>
  </si>
  <si>
    <t>KARURUMO HEALTH  CENTRE</t>
  </si>
  <si>
    <t>0721597807</t>
  </si>
  <si>
    <t>26</t>
  </si>
  <si>
    <t xml:space="preserve">BEATRICE MUTHONI </t>
  </si>
  <si>
    <t>EPGH</t>
  </si>
  <si>
    <t>0724574336</t>
  </si>
  <si>
    <t>27</t>
  </si>
  <si>
    <t>LEONARD NJERU</t>
  </si>
  <si>
    <t>0722562875</t>
  </si>
  <si>
    <t>28</t>
  </si>
  <si>
    <t>0715308633</t>
  </si>
  <si>
    <t>29</t>
  </si>
  <si>
    <t>0715187764</t>
  </si>
  <si>
    <t>30</t>
  </si>
  <si>
    <t>JACINTA MUTHANJE NJERU</t>
  </si>
  <si>
    <t>CLINICAL OFFICER</t>
  </si>
  <si>
    <t>0717295922</t>
  </si>
  <si>
    <t>31</t>
  </si>
  <si>
    <t>KENNETH MUGAMBI</t>
  </si>
  <si>
    <t>0700530702</t>
  </si>
  <si>
    <t>32</t>
  </si>
  <si>
    <t>LUCY MBAIKA MBINDYE</t>
  </si>
  <si>
    <t>KIAMBERE DAM HC</t>
  </si>
  <si>
    <t>0722619167</t>
  </si>
  <si>
    <t>33</t>
  </si>
  <si>
    <t>BETH NDUTA NJERI</t>
  </si>
  <si>
    <t>0768994620</t>
  </si>
  <si>
    <t>34</t>
  </si>
  <si>
    <t>PETER KIVUTI KABUI</t>
  </si>
  <si>
    <t>RUNYENJES D/H</t>
  </si>
  <si>
    <t>0724477745</t>
  </si>
  <si>
    <t>35</t>
  </si>
  <si>
    <t>NURSE</t>
  </si>
  <si>
    <t>0717764498</t>
  </si>
  <si>
    <t>36</t>
  </si>
  <si>
    <t>STEPHEN WANYOIKE KIGOTHO</t>
  </si>
  <si>
    <t>RUNYENJES DISTRICT HOPSITAL</t>
  </si>
  <si>
    <t>0715733660</t>
  </si>
  <si>
    <t>37</t>
  </si>
  <si>
    <t>JAMES KARIBU MUCHERU</t>
  </si>
  <si>
    <t>0705067677</t>
  </si>
  <si>
    <t>38</t>
  </si>
  <si>
    <t>PATIENCE NJOKI KURIA</t>
  </si>
  <si>
    <t>KIBUNGU H/C</t>
  </si>
  <si>
    <t>0700045406</t>
  </si>
  <si>
    <t>39</t>
  </si>
  <si>
    <t>DAVID NDWIGA NGAI</t>
  </si>
  <si>
    <t>0703473065</t>
  </si>
  <si>
    <t>40</t>
  </si>
  <si>
    <t>DENNIS MURITHI</t>
  </si>
  <si>
    <t>PHARMACY TECHNOLOGIST</t>
  </si>
  <si>
    <t>0717774290</t>
  </si>
  <si>
    <t>41</t>
  </si>
  <si>
    <t>MILLICENT MARIGU MWANGI</t>
  </si>
  <si>
    <t>Nembure H/C</t>
  </si>
  <si>
    <t>42</t>
  </si>
  <si>
    <t>FRIDAH WANJA</t>
  </si>
  <si>
    <t>Meru</t>
  </si>
  <si>
    <t>MERU LEVEL 5</t>
  </si>
  <si>
    <t>0742312931</t>
  </si>
  <si>
    <t>43</t>
  </si>
  <si>
    <t>INOKOBIA RUTH PHILIP</t>
  </si>
  <si>
    <t>NYAMBENE DH</t>
  </si>
  <si>
    <t>0720041787</t>
  </si>
  <si>
    <t>44</t>
  </si>
  <si>
    <t>AARON MWENDA ANAMPIU</t>
  </si>
  <si>
    <t>KIRAONE DISP</t>
  </si>
  <si>
    <t>0705069847</t>
  </si>
  <si>
    <t>45</t>
  </si>
  <si>
    <t>ANN KAMAMI</t>
  </si>
  <si>
    <t>0727398657</t>
  </si>
  <si>
    <t>46</t>
  </si>
  <si>
    <t>DOREEN KAGENDO</t>
  </si>
  <si>
    <t>ST. THERESA KIRUA</t>
  </si>
  <si>
    <t>0712828126</t>
  </si>
  <si>
    <t>47</t>
  </si>
  <si>
    <t>DOREEN KAWIRA MICHUBU</t>
  </si>
  <si>
    <t>KINA DISPENSARY</t>
  </si>
  <si>
    <t>0716413394</t>
  </si>
  <si>
    <t>48</t>
  </si>
  <si>
    <t>DOREEN NJURA GUTETA</t>
  </si>
  <si>
    <t>0720846145</t>
  </si>
  <si>
    <t>49</t>
  </si>
  <si>
    <t>EMMANUEL MWENDA M'MAUTA</t>
  </si>
  <si>
    <t>0712407080</t>
  </si>
  <si>
    <t>50</t>
  </si>
  <si>
    <t>EVA KARIMI KIMAITA</t>
  </si>
  <si>
    <t>0727221877</t>
  </si>
  <si>
    <t>51</t>
  </si>
  <si>
    <t>FRIDA MAKENA</t>
  </si>
  <si>
    <t>MUTUATI DH</t>
  </si>
  <si>
    <t>0715171135</t>
  </si>
  <si>
    <t>52</t>
  </si>
  <si>
    <t>FRIDAH KINYA</t>
  </si>
  <si>
    <t>0717527139</t>
  </si>
  <si>
    <t>53</t>
  </si>
  <si>
    <t>FRIDAH WANGARI GITHENDU</t>
  </si>
  <si>
    <t>KINORU</t>
  </si>
  <si>
    <t>0723074705</t>
  </si>
  <si>
    <t>54</t>
  </si>
  <si>
    <t xml:space="preserve">GLADYS MAKENA MUREA </t>
  </si>
  <si>
    <t xml:space="preserve">MIKINDURI </t>
  </si>
  <si>
    <t>0707802288</t>
  </si>
  <si>
    <t>55</t>
  </si>
  <si>
    <t>HALIMA ABDI HASSAN</t>
  </si>
  <si>
    <t>0720088047</t>
  </si>
  <si>
    <t>56</t>
  </si>
  <si>
    <t>JACINTA KANARIO MPEKETHU</t>
  </si>
  <si>
    <t>NTHAMBIRO</t>
  </si>
  <si>
    <t>0713544537</t>
  </si>
  <si>
    <t>57</t>
  </si>
  <si>
    <t xml:space="preserve">JACKLINE JEROTICH CHEPTUM </t>
  </si>
  <si>
    <t>0729622662</t>
  </si>
  <si>
    <t>58</t>
  </si>
  <si>
    <t>JANE MUKWANJERU</t>
  </si>
  <si>
    <t>0724224175</t>
  </si>
  <si>
    <t>59</t>
  </si>
  <si>
    <t>JENIFFER MWIHAKI MIGWI</t>
  </si>
  <si>
    <t>MUTHARA DH</t>
  </si>
  <si>
    <t>0700712253</t>
  </si>
  <si>
    <t>60</t>
  </si>
  <si>
    <t>JOY GATUGI</t>
  </si>
  <si>
    <t>MITUNGUU HEALTH CENTRE</t>
  </si>
  <si>
    <t>0723727954</t>
  </si>
  <si>
    <t>61</t>
  </si>
  <si>
    <t>KEDDY KANANA NGEERA</t>
  </si>
  <si>
    <t>AKACHIU HC</t>
  </si>
  <si>
    <t>0723247024</t>
  </si>
  <si>
    <t>62</t>
  </si>
  <si>
    <t>LENAH MWAROMO JULIUS</t>
  </si>
  <si>
    <t>TUURU MISSION HOSP</t>
  </si>
  <si>
    <t>0714130703</t>
  </si>
  <si>
    <t>63</t>
  </si>
  <si>
    <t>NELSON KAMANDE</t>
  </si>
  <si>
    <t>0704908340</t>
  </si>
  <si>
    <t>64</t>
  </si>
  <si>
    <t>NJAGI RUTERE JAMES</t>
  </si>
  <si>
    <t>KANGETA HC</t>
  </si>
  <si>
    <t>0727559880</t>
  </si>
  <si>
    <t>65</t>
  </si>
  <si>
    <t>NORAH MWENDWA RINGERA</t>
  </si>
  <si>
    <t>KIBIRICHIA</t>
  </si>
  <si>
    <t>0721310066</t>
  </si>
  <si>
    <t>66</t>
  </si>
  <si>
    <t>PENINAH GATWIRI KUBANIA</t>
  </si>
  <si>
    <t>RUIRI H C</t>
  </si>
  <si>
    <t>0706147596</t>
  </si>
  <si>
    <t>67</t>
  </si>
  <si>
    <t>SALOME KINYA ABDI</t>
  </si>
  <si>
    <t>TIMAU SDH</t>
  </si>
  <si>
    <t>0724700929</t>
  </si>
  <si>
    <t>68</t>
  </si>
  <si>
    <t>SARAH MITHIKA KAGWIRIA</t>
  </si>
  <si>
    <t>THEERA</t>
  </si>
  <si>
    <t>0720242280</t>
  </si>
  <si>
    <t>69</t>
  </si>
  <si>
    <t>SHARON KENDI MBAE</t>
  </si>
  <si>
    <t>GAKOROMONE DISP</t>
  </si>
  <si>
    <t>0705312861</t>
  </si>
  <si>
    <t>70</t>
  </si>
  <si>
    <t>STEPHEN KIMANI MWONGERA</t>
  </si>
  <si>
    <t>GITHONGO DH</t>
  </si>
  <si>
    <t>0725880364</t>
  </si>
  <si>
    <t>71</t>
  </si>
  <si>
    <t>SUSAN KENDI JOSEPH</t>
  </si>
  <si>
    <t>ST JOHN OF GOD</t>
  </si>
  <si>
    <t>0701598948</t>
  </si>
  <si>
    <t>72</t>
  </si>
  <si>
    <t>TONUI K HILLARY</t>
  </si>
  <si>
    <t>TIMAU SUB COUNTY HOSPITAL</t>
  </si>
  <si>
    <t>0757133100</t>
  </si>
  <si>
    <t>73</t>
  </si>
  <si>
    <t>ITABARI JOY KANANA</t>
  </si>
  <si>
    <t>NYAMBENE SCH</t>
  </si>
  <si>
    <t>0718868674</t>
  </si>
  <si>
    <t>74</t>
  </si>
  <si>
    <t>PAUL THURANIRA</t>
  </si>
  <si>
    <t>MERU L5</t>
  </si>
  <si>
    <t>0713915375</t>
  </si>
  <si>
    <t>75</t>
  </si>
  <si>
    <t>JOSEPHINE KATHURE</t>
  </si>
  <si>
    <t>KANYAKINE SCH</t>
  </si>
  <si>
    <t>0726203214</t>
  </si>
  <si>
    <t>76</t>
  </si>
  <si>
    <t>GACHERI STELLA</t>
  </si>
  <si>
    <t>ST TERESAS KIIRUA</t>
  </si>
  <si>
    <t>0703624466</t>
  </si>
  <si>
    <t>77</t>
  </si>
  <si>
    <t>CAROLINE GACHUI MUTHEE</t>
  </si>
  <si>
    <t>GATIMBI SCH</t>
  </si>
  <si>
    <t>0758617562</t>
  </si>
  <si>
    <t>78</t>
  </si>
  <si>
    <t>TONNY KIMATHI PETER</t>
  </si>
  <si>
    <t>KUNATI DISP</t>
  </si>
  <si>
    <t>0718938110</t>
  </si>
  <si>
    <t>79</t>
  </si>
  <si>
    <t>RAEL MUKIRIA ARIMBA</t>
  </si>
  <si>
    <t>MUTUATI</t>
  </si>
  <si>
    <t>0724631497</t>
  </si>
  <si>
    <t>80</t>
  </si>
  <si>
    <t>BANIS KATHOMI MUTEMBEI</t>
  </si>
  <si>
    <t>MERU TRH</t>
  </si>
  <si>
    <t>0718329287</t>
  </si>
  <si>
    <t>81</t>
  </si>
  <si>
    <t>BETH WANJIRU KAHUHA</t>
  </si>
  <si>
    <t>0716125571</t>
  </si>
  <si>
    <t>82</t>
  </si>
  <si>
    <t>PETER RIUNGU GIKUNDI</t>
  </si>
  <si>
    <t>MIATHENE HOSPITAL</t>
  </si>
  <si>
    <t>0729952177</t>
  </si>
  <si>
    <t>83</t>
  </si>
  <si>
    <t>STANLEY MUTHAURA MUGAMBI</t>
  </si>
  <si>
    <t>0713271962</t>
  </si>
  <si>
    <t>84</t>
  </si>
  <si>
    <t>ATHANASIUS MUGAMBI MWITI</t>
  </si>
  <si>
    <t>NYAMBENE DISTRICT HOSPITAL</t>
  </si>
  <si>
    <t>0722394293</t>
  </si>
  <si>
    <t>85</t>
  </si>
  <si>
    <t>ANTHONY GITONGA KAILIKIA</t>
  </si>
  <si>
    <t>TIMAU SCH</t>
  </si>
  <si>
    <t>0707377829</t>
  </si>
  <si>
    <t>86</t>
  </si>
  <si>
    <t>PENINAH GACHERI KOBIA</t>
  </si>
  <si>
    <t>KANGETA SCH</t>
  </si>
  <si>
    <t>0715666774</t>
  </si>
  <si>
    <t>87</t>
  </si>
  <si>
    <t>GODFREY MONORU</t>
  </si>
  <si>
    <t>THAMBIRO HC</t>
  </si>
  <si>
    <t>0790541357</t>
  </si>
  <si>
    <t>88</t>
  </si>
  <si>
    <t>DENNIS MURANGIRI</t>
  </si>
  <si>
    <t>MITUNGUU HC</t>
  </si>
  <si>
    <t>0728707447</t>
  </si>
  <si>
    <t>89</t>
  </si>
  <si>
    <t>MORRIS MUTUMA</t>
  </si>
  <si>
    <t>THEERA HC</t>
  </si>
  <si>
    <t>0708454877</t>
  </si>
  <si>
    <t>90</t>
  </si>
  <si>
    <t>PAUL MUTWIRI KIRIMI</t>
  </si>
  <si>
    <t>0726300291</t>
  </si>
  <si>
    <t>91</t>
  </si>
  <si>
    <t>PETER MURIUKI ANAMPIU</t>
  </si>
  <si>
    <t>0723860085</t>
  </si>
  <si>
    <t>92</t>
  </si>
  <si>
    <t>FAITH NCUGUNE KIAMBI</t>
  </si>
  <si>
    <t>METRH</t>
  </si>
  <si>
    <t>0729387826</t>
  </si>
  <si>
    <t>93</t>
  </si>
  <si>
    <t>SOPHIA NKATHA</t>
  </si>
  <si>
    <t xml:space="preserve">MIATHENE HOSPITAL </t>
  </si>
  <si>
    <t>0713955248</t>
  </si>
  <si>
    <t>94</t>
  </si>
  <si>
    <t>DAVIS ALUCHERI JILLO</t>
  </si>
  <si>
    <t>0718546881</t>
  </si>
  <si>
    <t>95</t>
  </si>
  <si>
    <t>DYNA MUTHONI</t>
  </si>
  <si>
    <t xml:space="preserve">NYAMBENE  </t>
  </si>
  <si>
    <t>0721833218</t>
  </si>
  <si>
    <t>96</t>
  </si>
  <si>
    <t>FRANCIS MUGAMBI WILSON</t>
  </si>
  <si>
    <t>MUTUATI SUB COUNTY</t>
  </si>
  <si>
    <t>0721837030</t>
  </si>
  <si>
    <t>97</t>
  </si>
  <si>
    <t>FRIDAH NAITORE</t>
  </si>
  <si>
    <t>KINORU H/C/MTRH</t>
  </si>
  <si>
    <t>0708291295</t>
  </si>
  <si>
    <t>98</t>
  </si>
  <si>
    <t>CAROLINE KANANU THAMBURA</t>
  </si>
  <si>
    <t>GIAKI/MBEU</t>
  </si>
  <si>
    <t>0712079508</t>
  </si>
  <si>
    <t>99</t>
  </si>
  <si>
    <t>JACKLINE GATWIRI KIMENCU</t>
  </si>
  <si>
    <t>NYAMBENE,   ST JOHN OF GOD</t>
  </si>
  <si>
    <t>0700154171</t>
  </si>
  <si>
    <t>100</t>
  </si>
  <si>
    <t>LENITY MUKAMI KIRIMI</t>
  </si>
  <si>
    <t>KANYAKINE SUB COUNTY HOSPITAL, MITUNGUU DISP</t>
  </si>
  <si>
    <t>0701296365</t>
  </si>
  <si>
    <t>101</t>
  </si>
  <si>
    <t>LYNETTE GAKII MUTUA</t>
  </si>
  <si>
    <t>MUTHARA</t>
  </si>
  <si>
    <t>0717674647</t>
  </si>
  <si>
    <t>102</t>
  </si>
  <si>
    <t>DICKENS KOOME</t>
  </si>
  <si>
    <t>GITHONGO SCH</t>
  </si>
  <si>
    <t>0707425917</t>
  </si>
  <si>
    <t>103</t>
  </si>
  <si>
    <t>FAITH KANJA KAMAIRUU</t>
  </si>
  <si>
    <t>MAUA DICE</t>
  </si>
  <si>
    <t>0705280440</t>
  </si>
  <si>
    <t>104</t>
  </si>
  <si>
    <t>DAWN OKELO</t>
  </si>
  <si>
    <t>0721833419</t>
  </si>
  <si>
    <t>105</t>
  </si>
  <si>
    <t>PENINA MWENDWA</t>
  </si>
  <si>
    <t>0748977146</t>
  </si>
  <si>
    <t>106</t>
  </si>
  <si>
    <t>AGNES GAKII G</t>
  </si>
  <si>
    <t>SOCIAL WORKER</t>
  </si>
  <si>
    <t>0707351761</t>
  </si>
  <si>
    <t>107</t>
  </si>
  <si>
    <t>MAGDALENE MUEKE MUTUA</t>
  </si>
  <si>
    <t>MERU DICE</t>
  </si>
  <si>
    <t>0743255285</t>
  </si>
  <si>
    <t>108</t>
  </si>
  <si>
    <t>WINFRED MWIRABUA</t>
  </si>
  <si>
    <t>0714817641</t>
  </si>
  <si>
    <t>109</t>
  </si>
  <si>
    <t>FRIDAH KENDI</t>
  </si>
  <si>
    <t>0706489117</t>
  </si>
  <si>
    <t>110</t>
  </si>
  <si>
    <t>JUSTER KENDI</t>
  </si>
  <si>
    <t>0713282819</t>
  </si>
  <si>
    <t>111</t>
  </si>
  <si>
    <t>MILLICENT  JEPKORIR  KIPTOO</t>
  </si>
  <si>
    <t>0701109459</t>
  </si>
  <si>
    <t>112</t>
  </si>
  <si>
    <t>PAMELA NKUBU</t>
  </si>
  <si>
    <t>MUTUATI SCH</t>
  </si>
  <si>
    <t>0790010940</t>
  </si>
  <si>
    <t>113</t>
  </si>
  <si>
    <t>ROSELYN KENDI</t>
  </si>
  <si>
    <t>0799859041</t>
  </si>
  <si>
    <t>114</t>
  </si>
  <si>
    <t>BETH KENDI</t>
  </si>
  <si>
    <t>MERU TEACHING AND RH</t>
  </si>
  <si>
    <t>0723856161</t>
  </si>
  <si>
    <t>115</t>
  </si>
  <si>
    <t>JOY KAGWIRIA KAUNGA</t>
  </si>
  <si>
    <t>0724152719</t>
  </si>
  <si>
    <t>116</t>
  </si>
  <si>
    <t>KESTINE KAGWENI PHARES</t>
  </si>
  <si>
    <t>KANYAKINE SUB-COUNTY HOSPITAL</t>
  </si>
  <si>
    <t>0723339446</t>
  </si>
  <si>
    <t>117</t>
  </si>
  <si>
    <t>CAROLINE WANJA KIBETU</t>
  </si>
  <si>
    <t>0726475249</t>
  </si>
  <si>
    <t>118</t>
  </si>
  <si>
    <t xml:space="preserve">MERCY  NKATHA </t>
  </si>
  <si>
    <t>KINORO SCH</t>
  </si>
  <si>
    <t>0724414826</t>
  </si>
  <si>
    <t>119</t>
  </si>
  <si>
    <t>LUCYLINE GATWIRI NKONGE</t>
  </si>
  <si>
    <t>0710784604</t>
  </si>
  <si>
    <t>120</t>
  </si>
  <si>
    <t>GRACE KINYA</t>
  </si>
  <si>
    <t>MIKINDURI SCH</t>
  </si>
  <si>
    <t>0719331563</t>
  </si>
  <si>
    <t>121</t>
  </si>
  <si>
    <t>MILLICENT MUKAMI</t>
  </si>
  <si>
    <t>0702481404</t>
  </si>
  <si>
    <t>122</t>
  </si>
  <si>
    <t>EVERLYNE NYATICHI</t>
  </si>
  <si>
    <t>0718920777</t>
  </si>
  <si>
    <t>123</t>
  </si>
  <si>
    <t>ROSE VIVIAN MUGURE</t>
  </si>
  <si>
    <t>CASE MANAGER</t>
  </si>
  <si>
    <t>MERU</t>
  </si>
  <si>
    <t>0722991060</t>
  </si>
  <si>
    <t>124</t>
  </si>
  <si>
    <t>MARTIN KIMATHI</t>
  </si>
  <si>
    <t>0721789404</t>
  </si>
  <si>
    <t>125</t>
  </si>
  <si>
    <t>PATRICK MUTUA KARUTI</t>
  </si>
  <si>
    <t>MUTUATI SUB DISTRICT HOSPITAL</t>
  </si>
  <si>
    <t>0721220174</t>
  </si>
  <si>
    <t>126</t>
  </si>
  <si>
    <t>DOROTHY NTINYARI</t>
  </si>
  <si>
    <t>MTRH</t>
  </si>
  <si>
    <t>0743545383</t>
  </si>
  <si>
    <t>127</t>
  </si>
  <si>
    <t>KENNEDY KAUNDA KISILU</t>
  </si>
  <si>
    <t>0706494646</t>
  </si>
  <si>
    <t>128</t>
  </si>
  <si>
    <t>KANANU JOSPHINE</t>
  </si>
  <si>
    <t>ST. JOHN OF GOD</t>
  </si>
  <si>
    <t>0719876410</t>
  </si>
  <si>
    <t>129</t>
  </si>
  <si>
    <t>LEAH MUTHONI MUCHORI</t>
  </si>
  <si>
    <t>0711479371</t>
  </si>
  <si>
    <t>130</t>
  </si>
  <si>
    <t>WILLY GICHUGE MAERIA</t>
  </si>
  <si>
    <t>131</t>
  </si>
  <si>
    <t>DORCAS AMATINE ORANGE</t>
  </si>
  <si>
    <t>DATA ASSISTANT</t>
  </si>
  <si>
    <t>DIAMOND TRUST BANK</t>
  </si>
  <si>
    <t>0716402418</t>
  </si>
  <si>
    <t>132</t>
  </si>
  <si>
    <t>LOIS MULEKYO KYALO</t>
  </si>
  <si>
    <t>EQUITY BANK</t>
  </si>
  <si>
    <t>0702022059</t>
  </si>
  <si>
    <t>133</t>
  </si>
  <si>
    <t>YVONNE KENDI</t>
  </si>
  <si>
    <t>Meru Dice</t>
  </si>
  <si>
    <t>0722235618</t>
  </si>
  <si>
    <t>134</t>
  </si>
  <si>
    <t>KELVIN MWENDWA</t>
  </si>
  <si>
    <t>0705160913</t>
  </si>
  <si>
    <t>135</t>
  </si>
  <si>
    <t>IMMACULATE NJERI MWANGI</t>
  </si>
  <si>
    <t>0721803270</t>
  </si>
  <si>
    <t>136</t>
  </si>
  <si>
    <t xml:space="preserve">MOREEN KENDI </t>
  </si>
  <si>
    <t>Miathene Hospital</t>
  </si>
  <si>
    <t>0713146874</t>
  </si>
  <si>
    <t>137</t>
  </si>
  <si>
    <t>ROSE CHRISTINER WATETU</t>
  </si>
  <si>
    <t>Mikumbune SCH</t>
  </si>
  <si>
    <t>0724245036</t>
  </si>
  <si>
    <t>138</t>
  </si>
  <si>
    <t>CAROLINE KATHURE KOOME</t>
  </si>
  <si>
    <t>Muthara SCH</t>
  </si>
  <si>
    <t>0727788015</t>
  </si>
  <si>
    <t>139</t>
  </si>
  <si>
    <t>GLORIA MUKAMI NJUE</t>
  </si>
  <si>
    <t>Meru UJTP Office</t>
  </si>
  <si>
    <t>0726429723</t>
  </si>
  <si>
    <t>140</t>
  </si>
  <si>
    <t>EVANS MUCHUMBE NYAECHA</t>
  </si>
  <si>
    <t>ICT &amp; SYSTEM OFFICER</t>
  </si>
  <si>
    <t>0719284339</t>
  </si>
  <si>
    <t>141</t>
  </si>
  <si>
    <t>POLLY KAGWIRIA MURITHI</t>
  </si>
  <si>
    <t>Mikinduri Sub county Hospital</t>
  </si>
  <si>
    <t>142</t>
  </si>
  <si>
    <t>CHRISTINE WANJOKU GICHANGI</t>
  </si>
  <si>
    <t>REGISTERED CLINICAL OFFICER</t>
  </si>
  <si>
    <t>143</t>
  </si>
  <si>
    <t>CAROLINE NYAKIO WANJOVI</t>
  </si>
  <si>
    <t>Nyandarua</t>
  </si>
  <si>
    <t>BAMBOO HC</t>
  </si>
  <si>
    <t>0723899236</t>
  </si>
  <si>
    <t>144</t>
  </si>
  <si>
    <t>CECILIA KAGURE WACHIRA</t>
  </si>
  <si>
    <t>GATIMU HC</t>
  </si>
  <si>
    <t>0710525548</t>
  </si>
  <si>
    <t>145</t>
  </si>
  <si>
    <t>EUNICE WAITHERA NGUGI</t>
  </si>
  <si>
    <t>NDARAGWA HC</t>
  </si>
  <si>
    <t>0796874930</t>
  </si>
  <si>
    <t>146</t>
  </si>
  <si>
    <t>GLADYS JEPCHUMBA BIWOTT</t>
  </si>
  <si>
    <t>MIRANGINE H/C</t>
  </si>
  <si>
    <t>0720660542</t>
  </si>
  <si>
    <t>147</t>
  </si>
  <si>
    <t>IRENE MUTHOKI MUTUKU</t>
  </si>
  <si>
    <t>GETABUSH DISPENSARY</t>
  </si>
  <si>
    <t>0715278233</t>
  </si>
  <si>
    <t>148</t>
  </si>
  <si>
    <t>JANE WANJIKU WAITHERERO</t>
  </si>
  <si>
    <t>KAHEMBE HC</t>
  </si>
  <si>
    <t>0718243033</t>
  </si>
  <si>
    <t>149</t>
  </si>
  <si>
    <t>JANET AMOIT OKIRU</t>
  </si>
  <si>
    <t>SHAMATA HC</t>
  </si>
  <si>
    <t>0716653547</t>
  </si>
  <si>
    <t>150</t>
  </si>
  <si>
    <t>JOYCE WAIRIMU</t>
  </si>
  <si>
    <t>BAARI H/C</t>
  </si>
  <si>
    <t>0725704215</t>
  </si>
  <si>
    <t>151</t>
  </si>
  <si>
    <t>LUCY WAITHIRA NGIGI</t>
  </si>
  <si>
    <t>MURUNGARU H/C</t>
  </si>
  <si>
    <t>0725254297</t>
  </si>
  <si>
    <t>152</t>
  </si>
  <si>
    <t>MERCY ACHIENG OGOLA</t>
  </si>
  <si>
    <t>MANUNGA HC</t>
  </si>
  <si>
    <t>0713106512</t>
  </si>
  <si>
    <t>153</t>
  </si>
  <si>
    <t>PETER GITAU MWANGI</t>
  </si>
  <si>
    <t>CHAMUKA HC</t>
  </si>
  <si>
    <t>0727832060</t>
  </si>
  <si>
    <t>154</t>
  </si>
  <si>
    <t>TERESIA WAMBUI KAGO</t>
  </si>
  <si>
    <t>NDUNYU NJERU</t>
  </si>
  <si>
    <t>0725950417</t>
  </si>
  <si>
    <t>155</t>
  </si>
  <si>
    <t>TERESIA WAMBUI MANJANE</t>
  </si>
  <si>
    <t>OLBOLOSAT DISPENSARY</t>
  </si>
  <si>
    <t>0710627929</t>
  </si>
  <si>
    <t>156</t>
  </si>
  <si>
    <t>VELLA OKEYO</t>
  </si>
  <si>
    <t>WANJOHI HC</t>
  </si>
  <si>
    <t>0714098108</t>
  </si>
  <si>
    <t>157</t>
  </si>
  <si>
    <t>KINGARA PRISCILLAH WANJIRA</t>
  </si>
  <si>
    <t>OLJORO OROK SUB COUNTY</t>
  </si>
  <si>
    <t>0707450208</t>
  </si>
  <si>
    <t>158</t>
  </si>
  <si>
    <t>PURITY MUKAMI MUGENDI</t>
  </si>
  <si>
    <t>OLKALOU SUB COUNTY</t>
  </si>
  <si>
    <t>0702439106</t>
  </si>
  <si>
    <t>159</t>
  </si>
  <si>
    <t>ELFRIDAH KATHAMBI MUKETHA</t>
  </si>
  <si>
    <t>0705328659</t>
  </si>
  <si>
    <t>160</t>
  </si>
  <si>
    <t>JUDY JEPKEMBOI TOMNO</t>
  </si>
  <si>
    <t>0710350611</t>
  </si>
  <si>
    <t>161</t>
  </si>
  <si>
    <t>GRACE MUKAMI  IKINYA</t>
  </si>
  <si>
    <t xml:space="preserve">NGORIKA HC </t>
  </si>
  <si>
    <t>0718310360</t>
  </si>
  <si>
    <t>162</t>
  </si>
  <si>
    <t>DIANA MORAA OBIRI</t>
  </si>
  <si>
    <t>0720499518</t>
  </si>
  <si>
    <t>163</t>
  </si>
  <si>
    <t xml:space="preserve">JEDIDAH NYAMBURA </t>
  </si>
  <si>
    <t>0702893073</t>
  </si>
  <si>
    <t>164</t>
  </si>
  <si>
    <t xml:space="preserve">NELLY NJERI </t>
  </si>
  <si>
    <t>BAARI HC</t>
  </si>
  <si>
    <t>0726172382</t>
  </si>
  <si>
    <t>165</t>
  </si>
  <si>
    <t>SAMUEL NDERITU</t>
  </si>
  <si>
    <t>SILIBWET HC</t>
  </si>
  <si>
    <t>0715794492</t>
  </si>
  <si>
    <t>166</t>
  </si>
  <si>
    <t xml:space="preserve">SWEEN MOGESIA </t>
  </si>
  <si>
    <t>0702206253</t>
  </si>
  <si>
    <t>167</t>
  </si>
  <si>
    <t xml:space="preserve">DAVID RICHU  KURIA </t>
  </si>
  <si>
    <t>0727614430</t>
  </si>
  <si>
    <t>168</t>
  </si>
  <si>
    <t xml:space="preserve">DIANA KWAMBOKA KANGWANA </t>
  </si>
  <si>
    <t>0712304374</t>
  </si>
  <si>
    <t>169</t>
  </si>
  <si>
    <t xml:space="preserve">LUCY WANJA </t>
  </si>
  <si>
    <t>0717748737</t>
  </si>
  <si>
    <t>170</t>
  </si>
  <si>
    <t xml:space="preserve">MAGDALEINE MBAITI </t>
  </si>
  <si>
    <t>WERU HC</t>
  </si>
  <si>
    <t>0711998615</t>
  </si>
  <si>
    <t>171</t>
  </si>
  <si>
    <t>VIOLET NDERITU</t>
  </si>
  <si>
    <t>SILBWET HC</t>
  </si>
  <si>
    <t>0728779877</t>
  </si>
  <si>
    <t>172</t>
  </si>
  <si>
    <t>MOMANYI EDWARD MAKORI</t>
  </si>
  <si>
    <t>0745533198</t>
  </si>
  <si>
    <t>173</t>
  </si>
  <si>
    <t>JANE MUENI NJOGU</t>
  </si>
  <si>
    <t>174</t>
  </si>
  <si>
    <t>VICTOR NJUGUNA KIBUI</t>
  </si>
  <si>
    <t>JM KARIUKI</t>
  </si>
  <si>
    <t>0721954150</t>
  </si>
  <si>
    <t>175</t>
  </si>
  <si>
    <t>JOHN KAMAU NJERI</t>
  </si>
  <si>
    <t>NJABINI HC</t>
  </si>
  <si>
    <t>0705660020</t>
  </si>
  <si>
    <t>176</t>
  </si>
  <si>
    <t>CANDY GAKI MAINA</t>
  </si>
  <si>
    <t>ENGINEER DISTRICK HOSP</t>
  </si>
  <si>
    <t>0719638003</t>
  </si>
  <si>
    <t>177</t>
  </si>
  <si>
    <t>PETER KAMORE WANGUI</t>
  </si>
  <si>
    <t>OLD MAWINGU HC</t>
  </si>
  <si>
    <t>0727119192</t>
  </si>
  <si>
    <t>178</t>
  </si>
  <si>
    <t>ALICE WANJIKU WAMUYU</t>
  </si>
  <si>
    <t xml:space="preserve">KASUKU HC </t>
  </si>
  <si>
    <t>0714463615</t>
  </si>
  <si>
    <t>179</t>
  </si>
  <si>
    <t>SALOME MUTHOMI MUCHEMI</t>
  </si>
  <si>
    <t>JN KARIUKI COUNTY REFERRAL HOSP</t>
  </si>
  <si>
    <t>0725404456</t>
  </si>
  <si>
    <t>180</t>
  </si>
  <si>
    <t>ANNMERRY KINYA KABURU</t>
  </si>
  <si>
    <t>OLD MAWINGI HC</t>
  </si>
  <si>
    <t>0725816918</t>
  </si>
  <si>
    <t>181</t>
  </si>
  <si>
    <t>MARTHA KASAVI MAINA</t>
  </si>
  <si>
    <t>NANDARASI DISPENSARY</t>
  </si>
  <si>
    <t>0791874102</t>
  </si>
  <si>
    <t>182</t>
  </si>
  <si>
    <t>EMILY WANGUI NJENGA</t>
  </si>
  <si>
    <t>0727021514</t>
  </si>
  <si>
    <t>183</t>
  </si>
  <si>
    <t>ZIPORA NYOKABI KIHIU</t>
  </si>
  <si>
    <t>0726035225</t>
  </si>
  <si>
    <t>184</t>
  </si>
  <si>
    <t>PRUDENCE JEPKURUI KORIR</t>
  </si>
  <si>
    <t>0712106286</t>
  </si>
  <si>
    <t>185</t>
  </si>
  <si>
    <t>IRENE MWENDE KYULE</t>
  </si>
  <si>
    <t>0700923796</t>
  </si>
  <si>
    <t>186</t>
  </si>
  <si>
    <t>SUSAN WANGUI NGUGI</t>
  </si>
  <si>
    <t>ENGINEER COUNTY REFERRAL HOSPITAL</t>
  </si>
  <si>
    <t>0720862867</t>
  </si>
  <si>
    <t>187</t>
  </si>
  <si>
    <t>GEORGE NGANGA KIMANI</t>
  </si>
  <si>
    <t>NJAMBINI HC</t>
  </si>
  <si>
    <t>0716150130</t>
  </si>
  <si>
    <t>188</t>
  </si>
  <si>
    <t>JANETH JEBET KIPRONO</t>
  </si>
  <si>
    <t>0726042330</t>
  </si>
  <si>
    <t>189</t>
  </si>
  <si>
    <t>GLADYS CHEPKOECH KAMUREN</t>
  </si>
  <si>
    <t>0712773044</t>
  </si>
  <si>
    <t>190</t>
  </si>
  <si>
    <t>FIDELIS MUKAMI MUTURI</t>
  </si>
  <si>
    <t>NEW TUMINI HC</t>
  </si>
  <si>
    <t>0727987996</t>
  </si>
  <si>
    <t>191</t>
  </si>
  <si>
    <t>LILIAN WAMBUI KURIA</t>
  </si>
  <si>
    <t>KASUKU HC</t>
  </si>
  <si>
    <t>0700509811</t>
  </si>
  <si>
    <t>192</t>
  </si>
  <si>
    <t>LUCY MUTHONI NJOROGE</t>
  </si>
  <si>
    <t>HENI HC</t>
  </si>
  <si>
    <t>0724340558</t>
  </si>
  <si>
    <t>193</t>
  </si>
  <si>
    <t>CAROLINE WAMBUI MURIITHI</t>
  </si>
  <si>
    <t>LESHAU HC</t>
  </si>
  <si>
    <t>0711319167</t>
  </si>
  <si>
    <t>194</t>
  </si>
  <si>
    <t>SUSAN MUTHONI MWANGI</t>
  </si>
  <si>
    <t>0711924666</t>
  </si>
  <si>
    <t>195</t>
  </si>
  <si>
    <t>WILLY KIMTAI KIPRAGAT</t>
  </si>
  <si>
    <t>0726307002</t>
  </si>
  <si>
    <t>196</t>
  </si>
  <si>
    <t>WILSOM WERU MUGO</t>
  </si>
  <si>
    <t>JN KARIUKI REFERRAL HOSPITAL</t>
  </si>
  <si>
    <t>0724266863</t>
  </si>
  <si>
    <t>197</t>
  </si>
  <si>
    <t>MILCAH WAMBUI KIBE</t>
  </si>
  <si>
    <t>0703206086</t>
  </si>
  <si>
    <t>198</t>
  </si>
  <si>
    <t>JANE WANGUI KAMANDE</t>
  </si>
  <si>
    <t>0706175818</t>
  </si>
  <si>
    <t>199</t>
  </si>
  <si>
    <t>PETER MAINGI MAINA</t>
  </si>
  <si>
    <t>ENGINEER C</t>
  </si>
  <si>
    <t>0716916981</t>
  </si>
  <si>
    <t>200</t>
  </si>
  <si>
    <t>BEATRICE WANGUI NDUNGU</t>
  </si>
  <si>
    <t>0723619508</t>
  </si>
  <si>
    <t>201</t>
  </si>
  <si>
    <t>MARY NGIMA MUKAMI</t>
  </si>
  <si>
    <t>202</t>
  </si>
  <si>
    <t>MERCY WAMBUI MUYA</t>
  </si>
  <si>
    <t>0721549686</t>
  </si>
  <si>
    <t>203</t>
  </si>
  <si>
    <t>RAHAB MUMBI MUIRU</t>
  </si>
  <si>
    <t>JN KARIUKI COUNTY REFERRAL HOSPITAL</t>
  </si>
  <si>
    <t>0792507807</t>
  </si>
  <si>
    <t>204</t>
  </si>
  <si>
    <t>JOHN NDIRANGU KAMAU</t>
  </si>
  <si>
    <t>0721206132</t>
  </si>
  <si>
    <t>205</t>
  </si>
  <si>
    <t>FRANCIS NDUNGU KAGWIMA</t>
  </si>
  <si>
    <t>0729465301</t>
  </si>
  <si>
    <t>206</t>
  </si>
  <si>
    <t>MOSES NGARI IRUNGU</t>
  </si>
  <si>
    <t>0724312367</t>
  </si>
  <si>
    <t>207</t>
  </si>
  <si>
    <t>JAMES MUINGAI THIONGO</t>
  </si>
  <si>
    <t>208</t>
  </si>
  <si>
    <t>JAMES MUINGAI NJENGA</t>
  </si>
  <si>
    <t>0711403493</t>
  </si>
  <si>
    <t>209</t>
  </si>
  <si>
    <t>WINNIE MUTHONI</t>
  </si>
  <si>
    <t>210</t>
  </si>
  <si>
    <t>ROSE WANGARI</t>
  </si>
  <si>
    <t>0720568829</t>
  </si>
  <si>
    <t>211</t>
  </si>
  <si>
    <t>FAITH WANGARI GAIKIA</t>
  </si>
  <si>
    <t>Bamboo H/C</t>
  </si>
  <si>
    <t>0721865525</t>
  </si>
  <si>
    <t>212</t>
  </si>
  <si>
    <t>MIRIAM WAITHERERO MAINA</t>
  </si>
  <si>
    <t>Engineer H/C</t>
  </si>
  <si>
    <t>0714966143</t>
  </si>
  <si>
    <t>213</t>
  </si>
  <si>
    <t>STEPHEN MUASA MULI</t>
  </si>
  <si>
    <t>Nyandarua UJTP office</t>
  </si>
  <si>
    <t>0711972323</t>
  </si>
  <si>
    <t>214</t>
  </si>
  <si>
    <t>DAVID MAINA WAMBUI</t>
  </si>
  <si>
    <t>Ndaragwa HC</t>
  </si>
  <si>
    <t>0716554168</t>
  </si>
  <si>
    <t>215</t>
  </si>
  <si>
    <t>MARTIN KAMAU MBAU</t>
  </si>
  <si>
    <t>Engineer SCH</t>
  </si>
  <si>
    <t>0795342240</t>
  </si>
  <si>
    <t>216</t>
  </si>
  <si>
    <t>MARTIN KAMAU NJOROGE</t>
  </si>
  <si>
    <t>Centre</t>
  </si>
  <si>
    <t>217</t>
  </si>
  <si>
    <t>ELIJOHN GITONGA MWIKAMBA</t>
  </si>
  <si>
    <t>Tharaka Nithi</t>
  </si>
  <si>
    <t>THARAKA  DISTRICT HOSPITAL</t>
  </si>
  <si>
    <t>0725642754</t>
  </si>
  <si>
    <t>218</t>
  </si>
  <si>
    <t>ALICE NJERI MWANGI</t>
  </si>
  <si>
    <t>MAGUTUNI SUB COUNTY HOSPITAL</t>
  </si>
  <si>
    <t>0720961887</t>
  </si>
  <si>
    <t>219</t>
  </si>
  <si>
    <t>MARTIN MURITHI KARANI</t>
  </si>
  <si>
    <t>MUTHAMBI HEALTH CENTRE</t>
  </si>
  <si>
    <t>0703375674</t>
  </si>
  <si>
    <t>220</t>
  </si>
  <si>
    <t>JAMES NJUKI KIRIMI</t>
  </si>
  <si>
    <t>0702341953</t>
  </si>
  <si>
    <t>221</t>
  </si>
  <si>
    <t>MARTIN MWITI GITONGA</t>
  </si>
  <si>
    <t>MUTHAMBI H/C</t>
  </si>
  <si>
    <t>0726705130</t>
  </si>
  <si>
    <t>222</t>
  </si>
  <si>
    <t>WINFRED KAMBUA MUEMA</t>
  </si>
  <si>
    <t>KAJUKI HEALTH CENTER</t>
  </si>
  <si>
    <t>0729424516</t>
  </si>
  <si>
    <t>223</t>
  </si>
  <si>
    <t>STELLA MUTHONI MURITHI</t>
  </si>
  <si>
    <t>CHUKA COUNTY REFFERAL HOSPITAL</t>
  </si>
  <si>
    <t>0727830532</t>
  </si>
  <si>
    <t>224</t>
  </si>
  <si>
    <t>WINFRED MURITHI</t>
  </si>
  <si>
    <t>KIBUNGA SUB DISTRICT HOSPITAL</t>
  </si>
  <si>
    <t>0742485533</t>
  </si>
  <si>
    <t>225</t>
  </si>
  <si>
    <t>BETTY KAJUJU</t>
  </si>
  <si>
    <t>KIBUGUA HEALTH CENTRE</t>
  </si>
  <si>
    <t>0718221130</t>
  </si>
  <si>
    <t>226</t>
  </si>
  <si>
    <t>MONICAH KAINYU</t>
  </si>
  <si>
    <t>BARAGU HC</t>
  </si>
  <si>
    <t>0713952224</t>
  </si>
  <si>
    <t>227</t>
  </si>
  <si>
    <t>IRENE GAKII NJAGI</t>
  </si>
  <si>
    <t>MUKOTHIMA HC</t>
  </si>
  <si>
    <t>0727488794</t>
  </si>
  <si>
    <t>228</t>
  </si>
  <si>
    <t>JUDY RWAMBA NJAGI</t>
  </si>
  <si>
    <t>0798276490</t>
  </si>
  <si>
    <t>229</t>
  </si>
  <si>
    <t>DANIEL MUGAMBI</t>
  </si>
  <si>
    <t>CHUKA COTTAGE HOSPITAL</t>
  </si>
  <si>
    <t>0743903020</t>
  </si>
  <si>
    <t>230</t>
  </si>
  <si>
    <t>MERCY WANJIRA KIRIA</t>
  </si>
  <si>
    <t>THARAKA DISTRICT  HOSPITAL</t>
  </si>
  <si>
    <t>0723774774</t>
  </si>
  <si>
    <t>231</t>
  </si>
  <si>
    <t>NANCY GATIRIA NYAGA</t>
  </si>
  <si>
    <t>KAJUKI H/C </t>
  </si>
  <si>
    <t>0728879020</t>
  </si>
  <si>
    <t>232</t>
  </si>
  <si>
    <t>RISPER NKATHA</t>
  </si>
  <si>
    <t>CHUKA COUNTY REFERRAL HOSPITAL</t>
  </si>
  <si>
    <t>0726976402</t>
  </si>
  <si>
    <t>233</t>
  </si>
  <si>
    <t>SAMMY NJUGUNA NJOGU</t>
  </si>
  <si>
    <t>KANWA DISPENSARY</t>
  </si>
  <si>
    <t>0723270435</t>
  </si>
  <si>
    <t>234</t>
  </si>
  <si>
    <t>ANNJOY GAKII KANAKE</t>
  </si>
  <si>
    <t>MAGUTUNI SLC  HOSPITAL</t>
  </si>
  <si>
    <t>0712604038</t>
  </si>
  <si>
    <t>235</t>
  </si>
  <si>
    <t>EVALYNE WAIRIMU</t>
  </si>
  <si>
    <t>MPUKONI HC</t>
  </si>
  <si>
    <t>0707594584</t>
  </si>
  <si>
    <t>236</t>
  </si>
  <si>
    <t>VIOLET AYUMA LUCHITIO</t>
  </si>
  <si>
    <t>MUKUUNI DISPENSARY</t>
  </si>
  <si>
    <t>0795153827</t>
  </si>
  <si>
    <t>237</t>
  </si>
  <si>
    <t>LILIAN NJUE</t>
  </si>
  <si>
    <t>KIAMACHAIRU HEALTH CENTRE</t>
  </si>
  <si>
    <t>0705689600</t>
  </si>
  <si>
    <t>238</t>
  </si>
  <si>
    <t>NICHOLETA KAREGI KAGWIMA</t>
  </si>
  <si>
    <t>0740095166</t>
  </si>
  <si>
    <t>239</t>
  </si>
  <si>
    <t>LENAH KIBURI</t>
  </si>
  <si>
    <t>KAMBANDI DISPENSARY</t>
  </si>
  <si>
    <t>0725042341</t>
  </si>
  <si>
    <t>240</t>
  </si>
  <si>
    <t>ISABELLAH KAREMA</t>
  </si>
  <si>
    <t>CHUKA DISTRICT HOSPITAL</t>
  </si>
  <si>
    <t>0701691159</t>
  </si>
  <si>
    <t>241</t>
  </si>
  <si>
    <t>HARON RUGENDO NJOKA</t>
  </si>
  <si>
    <t>CHUKA DH</t>
  </si>
  <si>
    <t>0721152721</t>
  </si>
  <si>
    <t>242</t>
  </si>
  <si>
    <t>FAITH WANGECHI MUCHIRA</t>
  </si>
  <si>
    <t>0710893986</t>
  </si>
  <si>
    <t>243</t>
  </si>
  <si>
    <t>DIANA MUTHONI WANJIKU</t>
  </si>
  <si>
    <t>244</t>
  </si>
  <si>
    <t>JANET GATWIRI MUTEGI</t>
  </si>
  <si>
    <t>GATUNGA MISSION</t>
  </si>
  <si>
    <t>0706090409</t>
  </si>
  <si>
    <t>245</t>
  </si>
  <si>
    <t>JOSEPH MUNUVE MAKAU</t>
  </si>
  <si>
    <t>Tharaka Nithi UJTP office</t>
  </si>
  <si>
    <t>0703602494</t>
  </si>
  <si>
    <t>246</t>
  </si>
  <si>
    <t>CONSOLATA MWENDE MUGAMBI</t>
  </si>
  <si>
    <t>Marimanti Level 4 Hospital</t>
  </si>
  <si>
    <t>0741408788</t>
  </si>
  <si>
    <t>NKUBU GK DISPENSARY</t>
  </si>
  <si>
    <t>KANGETA SUB-COUNTY HOSP</t>
  </si>
  <si>
    <t>TUURU</t>
  </si>
  <si>
    <t>DICKENS KOOME MARURI</t>
  </si>
  <si>
    <t>PAMELA NKATHA NKUBU</t>
  </si>
  <si>
    <t>KELVIN MWENDA GITARI</t>
  </si>
  <si>
    <t>MIKUMBUNE SCH</t>
  </si>
  <si>
    <t>MUTHARA SCH</t>
  </si>
  <si>
    <t>CHRISTINE WANJIKU GICHANGI</t>
  </si>
  <si>
    <t>DENNIS MURANGIRI GITARI</t>
  </si>
  <si>
    <t>KAELO</t>
  </si>
  <si>
    <t>MERCY  NKATHA MURUNGI</t>
  </si>
  <si>
    <t>MeTRH</t>
  </si>
  <si>
    <t>AGNES GAKII MUTUMA</t>
  </si>
  <si>
    <t>GATIMBI HEALTH CENTRE</t>
  </si>
  <si>
    <t>HTS PROVIDER</t>
  </si>
  <si>
    <t>ROSELYNE KENDI KABIRINGU</t>
  </si>
  <si>
    <t>HTS COUNSELLOR</t>
  </si>
  <si>
    <t>WINFRED KANYUA MWIRABUA</t>
  </si>
  <si>
    <t>MARIMANTI SUB COUNTY HOSPITAL</t>
  </si>
  <si>
    <t>BARAGU HEALTH CENTRE</t>
  </si>
  <si>
    <t>KAJUKI HEALTH CENTRE</t>
  </si>
  <si>
    <t>CLINICAL OFFICER - MENTOR</t>
  </si>
  <si>
    <t>GATUNGA MODEL HEALTH CENTRE</t>
  </si>
  <si>
    <t>KIBUNGUA HEALTH CENTRE</t>
  </si>
  <si>
    <t>HUMPHREY ODINGA NYABERA</t>
  </si>
  <si>
    <t>MAUREEN KARITHI MUTIIRIA</t>
  </si>
  <si>
    <t>DENIS KARANI NKONGE</t>
  </si>
  <si>
    <t>PURITY KINYA MARANGU</t>
  </si>
  <si>
    <t>WILFRED MURITHI</t>
  </si>
  <si>
    <t>KIANJOKOMA HEALTH CENTRE</t>
  </si>
  <si>
    <t>RUNYENJES SUB COUNTY HOSPITAL</t>
  </si>
  <si>
    <t>MBEERE SUB COUNTY HOSPITAL</t>
  </si>
  <si>
    <t>KITHIMU HEALTH CENTRE</t>
  </si>
  <si>
    <t>KIRITIRI HEALTH CENTRE</t>
  </si>
  <si>
    <t>GATEGI HEALTH CENTRE</t>
  </si>
  <si>
    <t>KIAMBERE DAM HEALTH CENTRE</t>
  </si>
  <si>
    <t>FLORENCE NYAGA</t>
  </si>
  <si>
    <t>ACEF ENA HEALTH CENTRE</t>
  </si>
  <si>
    <t>ST. MICHAEL HOME</t>
  </si>
  <si>
    <t>JUDITA MURUNGI</t>
  </si>
  <si>
    <t>REMARKS</t>
  </si>
  <si>
    <t>KATHITHI Dispensary</t>
  </si>
  <si>
    <t>ALI LENGIMA</t>
  </si>
  <si>
    <t>MERCY KABURIO MUGAMBI</t>
  </si>
  <si>
    <t>HRIO - MENTOR</t>
  </si>
  <si>
    <t>KARAGATHA DISPENSARY</t>
  </si>
  <si>
    <t>JM COUNTY REFERRAL HOSPITAL</t>
  </si>
  <si>
    <t>LUCY WANJA KIMETHU</t>
  </si>
  <si>
    <t>NGANO HEALTH CENTRE</t>
  </si>
  <si>
    <t>MENTOR - PREVENTION</t>
  </si>
  <si>
    <t>NEW MAWINGO HC</t>
  </si>
  <si>
    <t xml:space="preserve">LASHAU FONDO </t>
  </si>
  <si>
    <t>PHARMACY TECHNOLOGIST  - SUPPLY CHAIN</t>
  </si>
  <si>
    <t>M&amp;E ASSISTANT</t>
  </si>
  <si>
    <t>WINNIE MUTHONI WAMUI</t>
  </si>
  <si>
    <t>ROSE WANGARI NGUGI</t>
  </si>
  <si>
    <t>MARY NJOKI MBURU</t>
  </si>
  <si>
    <t>JANE MUGECHI KABURI</t>
  </si>
  <si>
    <t>SUSAN WANGARI GITHU</t>
  </si>
  <si>
    <t>JUDDY WAMWITHA GITAU</t>
  </si>
  <si>
    <t>MARYTYLER WANJERA KAREMI</t>
  </si>
  <si>
    <t>ELIZABETH MELI NDUKU</t>
  </si>
  <si>
    <t>TERRY WANJIKU KARANJA</t>
  </si>
  <si>
    <t>DENNIS MURITHI NJERU</t>
  </si>
  <si>
    <t>KELVIN MUCIRI NJAGI</t>
  </si>
  <si>
    <t>EMBU LEVEL 5 HOSPITAL</t>
  </si>
  <si>
    <t>JOY MAKENA MWITI</t>
  </si>
  <si>
    <t>DANIEL MUTHOMI KIOME</t>
  </si>
  <si>
    <t>QUALIFICATION</t>
  </si>
  <si>
    <t>Diploma in Health Records &amp; Information Technology</t>
  </si>
  <si>
    <t>SCHOOL</t>
  </si>
  <si>
    <t>Thika school of Medical &amp; Health Sciences</t>
  </si>
  <si>
    <t xml:space="preserve">DOB </t>
  </si>
  <si>
    <t>EDUCATION LEVEL</t>
  </si>
  <si>
    <t>Diploma</t>
  </si>
  <si>
    <t>Mt. Kenya University</t>
  </si>
  <si>
    <t>DATE EMPLOYED</t>
  </si>
  <si>
    <t>x</t>
  </si>
  <si>
    <t>Diploma in Community Health &amp;HIV AIDs Mgt</t>
  </si>
  <si>
    <t>others</t>
  </si>
  <si>
    <t>NASCOP HTCS provider</t>
  </si>
  <si>
    <t>1ST OCT 2021</t>
  </si>
  <si>
    <t>Diploma in Clinical Medicine &amp; Surgery</t>
  </si>
  <si>
    <t>KMTC 2010</t>
  </si>
  <si>
    <t>Degree</t>
  </si>
  <si>
    <t>BSC Health Records &amp; Information Mgt</t>
  </si>
  <si>
    <t>JKUAT</t>
  </si>
  <si>
    <t>SPSS</t>
  </si>
  <si>
    <t>Diploma in Social Work &amp; Community Development</t>
  </si>
  <si>
    <t>Kenya Insititute of Social Work &amp; Community Development</t>
  </si>
  <si>
    <t>ART Adherence; NASCOP HTCS provider</t>
  </si>
  <si>
    <t>1st May 2021</t>
  </si>
  <si>
    <t>Kenya Institute of Applied Sciences</t>
  </si>
  <si>
    <t>Diploma in Social Work/ Community Health</t>
  </si>
  <si>
    <t>Certificate in Social Work &amp; Community Development</t>
  </si>
  <si>
    <t>Serein Education Centre</t>
  </si>
  <si>
    <t>Certificate</t>
  </si>
  <si>
    <t>Basic counselling Skills, community Prevention with positives</t>
  </si>
  <si>
    <t>1st April 2023</t>
  </si>
  <si>
    <t>KMTC 2018</t>
  </si>
  <si>
    <t>Certificate in Social Work</t>
  </si>
  <si>
    <t>Kenya Institute of Professional Studies</t>
  </si>
  <si>
    <t>Certificate in HIV counselling &amp; Testing Provider</t>
  </si>
  <si>
    <t>31st May 1996</t>
  </si>
  <si>
    <t>Bachelor of Counselling Psychology</t>
  </si>
  <si>
    <t>Technical University of Kenya</t>
  </si>
  <si>
    <t>certificate in adherence Counselling; NASCOP HTCS provider</t>
  </si>
  <si>
    <t>22nd Oct, 1996</t>
  </si>
  <si>
    <t>KRCHN</t>
  </si>
  <si>
    <t>EDWARD  MOMANYI MAKORI</t>
  </si>
  <si>
    <t>Kisii University</t>
  </si>
  <si>
    <t>24th Sept 1982</t>
  </si>
  <si>
    <t>NASCOP HTCS provider; PNS, GBV</t>
  </si>
  <si>
    <t>17th May 1990</t>
  </si>
  <si>
    <t>1st Jan 2024</t>
  </si>
  <si>
    <t>Diploma in pharmaceutical Technology</t>
  </si>
  <si>
    <t>Nyeri National Polytechnic</t>
  </si>
  <si>
    <t>24th May, 1996</t>
  </si>
  <si>
    <t>Certificate in Nutrition Mgt in HIV AIDs</t>
  </si>
  <si>
    <t>Rehema Technical Institute</t>
  </si>
  <si>
    <t>NASCOP HTCS provider, Adherence Counselling</t>
  </si>
  <si>
    <t>30th May 1994</t>
  </si>
  <si>
    <t>1st March 2023</t>
  </si>
  <si>
    <t>7th July 1992</t>
  </si>
  <si>
    <t>Diploma in Nutrition &amp; Dietetics</t>
  </si>
  <si>
    <t>1st October 2021</t>
  </si>
  <si>
    <t>Diploma in Psychology</t>
  </si>
  <si>
    <t>University of Nairobi</t>
  </si>
  <si>
    <t>BSC Community Health &amp; Development</t>
  </si>
  <si>
    <t>Jaramogi Oginga Odinga University of Science &amp; Techn</t>
  </si>
  <si>
    <t>13th March 1992</t>
  </si>
  <si>
    <t>15th May 1989</t>
  </si>
  <si>
    <t>15th Feb 1991</t>
  </si>
  <si>
    <t>Social Work &amp; Community Development</t>
  </si>
  <si>
    <t>Elgon View Commercial &amp; Technical College</t>
  </si>
  <si>
    <t xml:space="preserve">NASCOP HTCS provider; </t>
  </si>
  <si>
    <t>27th Sept 1985</t>
  </si>
  <si>
    <t>African Institute of Researcg &amp; Devt Studies</t>
  </si>
  <si>
    <t>3rd Nov 1992</t>
  </si>
  <si>
    <t>Diploma in Psychology/ Community Health &amp; Development</t>
  </si>
  <si>
    <t>Amani Counselling &amp; Psychology Institute/ KAPC</t>
  </si>
  <si>
    <t>NASCOP HTCS provider; hiv CARE &amp; Counselling</t>
  </si>
  <si>
    <t>Diploma in Health Promotion</t>
  </si>
  <si>
    <t>KMTC 2019</t>
  </si>
  <si>
    <t>15th Nov 1991</t>
  </si>
  <si>
    <t>1st oct 2021</t>
  </si>
  <si>
    <t>1st Oct 2021</t>
  </si>
  <si>
    <t>JAMES MUNGAI NJENGA</t>
  </si>
  <si>
    <t>31st May 1997</t>
  </si>
  <si>
    <t>1st Dec 2021</t>
  </si>
  <si>
    <t>St. Pauls University</t>
  </si>
  <si>
    <t>Kabete National Polytechnic</t>
  </si>
  <si>
    <t>26th Dec 1995</t>
  </si>
  <si>
    <t>BA (Gender &amp; Development)</t>
  </si>
  <si>
    <t>Kenyatta University</t>
  </si>
  <si>
    <t>NASCOP HTCS provider; Case Mgt; TB &amp; HIV Mgt</t>
  </si>
  <si>
    <t>18th June 1996</t>
  </si>
  <si>
    <t>5th Nov 1987</t>
  </si>
  <si>
    <t>Diploma in Psychological Counselling</t>
  </si>
  <si>
    <t>Serein Education Centre - Nakuru</t>
  </si>
  <si>
    <t>NASCOP HTCS provider; Adherence training</t>
  </si>
  <si>
    <t>24th Sept1991</t>
  </si>
  <si>
    <t>Diloma in Community Development &amp; Social Work</t>
  </si>
  <si>
    <t>4th January 1991</t>
  </si>
  <si>
    <t>Diploma in Community Health</t>
  </si>
  <si>
    <t>24th Aug 1993</t>
  </si>
  <si>
    <t>Diploma in Social work</t>
  </si>
  <si>
    <t>STIs, HIV TESTING &amp; Counselling</t>
  </si>
  <si>
    <t>University of Eldoret</t>
  </si>
  <si>
    <t>BSC (Information Science)</t>
  </si>
  <si>
    <t>Maasai Mara University</t>
  </si>
  <si>
    <t>integrating GBV Response</t>
  </si>
  <si>
    <t>3rd Feb 1994</t>
  </si>
  <si>
    <t>4th May 1992</t>
  </si>
  <si>
    <t>HIV case based surveillance</t>
  </si>
  <si>
    <t>Rift Valley Tehnical Training  Institute</t>
  </si>
  <si>
    <t>JOYCE WAIRIMU GITHINJI</t>
  </si>
  <si>
    <t>14TH July 1968</t>
  </si>
  <si>
    <t>BA in Counselling Psychology</t>
  </si>
  <si>
    <t>African International University</t>
  </si>
  <si>
    <t>Higher Diploma in Psychological Counselling, NASCOP HTCS provider;</t>
  </si>
  <si>
    <t>17th Sept 1999</t>
  </si>
  <si>
    <t>JAMES MUIGAI THIONG'O</t>
  </si>
  <si>
    <t>1st January 2024</t>
  </si>
  <si>
    <t>KMTC 2016</t>
  </si>
  <si>
    <t>9th April 1994</t>
  </si>
  <si>
    <t>20th Nov 1986</t>
  </si>
  <si>
    <t>Craft certificate in Social Development</t>
  </si>
  <si>
    <t>PRISCILLAH WANJIRA KINGARA</t>
  </si>
  <si>
    <t>20th Oct 1991</t>
  </si>
  <si>
    <t>Certificate in Community Health Assistant</t>
  </si>
  <si>
    <t>Diploma in HIV AIDS Counselling&amp; Testing in Clinical &amp; Community Settingd</t>
  </si>
  <si>
    <t>LVCT HEALTH</t>
  </si>
  <si>
    <t>12TH Sept 1982</t>
  </si>
  <si>
    <t>Certificate in VCT counsellor</t>
  </si>
  <si>
    <t xml:space="preserve">VCT couple HIV Counselling &amp; Testing; NASCOP HTCS provider; </t>
  </si>
  <si>
    <t>25th Oct 1989</t>
  </si>
  <si>
    <t>Diploma in Health &amp; Development</t>
  </si>
  <si>
    <t>Menengai Medical Training College</t>
  </si>
  <si>
    <t>7TH May 1976</t>
  </si>
  <si>
    <t xml:space="preserve">MAGDALEINE NYAMBURA MBAITI </t>
  </si>
  <si>
    <t>CRAFT</t>
  </si>
  <si>
    <t>CRAft certificate in Coomunity Development &amp; Social Work</t>
  </si>
  <si>
    <t>African Institute of Business Studies</t>
  </si>
  <si>
    <t>1st June 1996</t>
  </si>
  <si>
    <t>Diploma in Counselling Psychology</t>
  </si>
  <si>
    <t>NASCOP HTCS provider; Certificate in Peace &amp; Conflict studies</t>
  </si>
  <si>
    <t>11th July 1994</t>
  </si>
  <si>
    <t>Nairobi Technical Training Institute</t>
  </si>
  <si>
    <t>Logistics for Health Commodities</t>
  </si>
  <si>
    <t>Diploma in clincal Medicine &amp; Surgery</t>
  </si>
  <si>
    <t>KMTC 2013</t>
  </si>
  <si>
    <t>GBV response in HIV clinical settings</t>
  </si>
  <si>
    <t>29th March 1992</t>
  </si>
  <si>
    <t>1st OCT 2021</t>
  </si>
  <si>
    <t>14th Aug 2023</t>
  </si>
  <si>
    <t>24th Feb, 1998</t>
  </si>
  <si>
    <t>KMTC 2021</t>
  </si>
  <si>
    <t>4th June 1989</t>
  </si>
  <si>
    <t>KMTC 2023</t>
  </si>
  <si>
    <t>Diploma in Social Work &amp; Community HEALTH Development</t>
  </si>
  <si>
    <t>PNS; NASCOP HTCS provider; Laboratory Commodities Mgt
Diploma in Business Development</t>
  </si>
  <si>
    <t>1st Jan 1987</t>
  </si>
  <si>
    <t>CERTIFICATE IN OCCUPATIONAL SAFETY; art GUIDELINES 2022</t>
  </si>
  <si>
    <t>BA Social Work</t>
  </si>
  <si>
    <t>Basic counselling Skills, HIV case based surveillance</t>
  </si>
  <si>
    <t>30th Aug 1980</t>
  </si>
  <si>
    <t>14th Aug 1989</t>
  </si>
  <si>
    <t>KMTC 2015</t>
  </si>
  <si>
    <t>PUEA University</t>
  </si>
  <si>
    <t>1st Jan 2022</t>
  </si>
  <si>
    <t>13th May 1981</t>
  </si>
  <si>
    <t>Diploma in ICT</t>
  </si>
  <si>
    <t>Thika Technical Institute</t>
  </si>
  <si>
    <t>Jhpiego Certified Champion in Project Mgt; Certificate in M&amp;E; Computer Hardware &amp; Maintenance</t>
  </si>
  <si>
    <t>19th June 1991</t>
  </si>
  <si>
    <t>NELLY NJERI WAIRI</t>
  </si>
  <si>
    <t>7TH June 1992</t>
  </si>
  <si>
    <t>KMTC2014</t>
  </si>
  <si>
    <t>20TH JUNE 1983</t>
  </si>
  <si>
    <t>20th Oct 1994</t>
  </si>
  <si>
    <t>Outspan Medical College</t>
  </si>
  <si>
    <t>15th April 1993</t>
  </si>
  <si>
    <t>5th June 1992</t>
  </si>
  <si>
    <t>12th Dec 1994</t>
  </si>
  <si>
    <t>Bachelor of Arts Sociology</t>
  </si>
  <si>
    <t>Karatina University</t>
  </si>
  <si>
    <t>14th Feb 1983</t>
  </si>
  <si>
    <t>Royal College of Cience &amp; Technology</t>
  </si>
  <si>
    <t>16th Oct 1984</t>
  </si>
  <si>
    <t>SAMUEL NDIRITU WAGATHIMA</t>
  </si>
  <si>
    <t>20th Jan 1996</t>
  </si>
  <si>
    <t>18th Jan 1992</t>
  </si>
  <si>
    <t>Diploma in Community Development</t>
  </si>
  <si>
    <t>Premese Africa Development Institute</t>
  </si>
  <si>
    <t>17th April 1994</t>
  </si>
  <si>
    <t>KMTC 2017</t>
  </si>
  <si>
    <t>25th Dec 1975</t>
  </si>
  <si>
    <t>Diploma in Theological Education</t>
  </si>
  <si>
    <t>Presbyterian College</t>
  </si>
  <si>
    <t>SWEEN MOGESIA  SHILAVULA</t>
  </si>
  <si>
    <t>13TH May1993</t>
  </si>
  <si>
    <t>Egerton University</t>
  </si>
  <si>
    <t>Higher Diploma in Business Mgt</t>
  </si>
  <si>
    <t>NASCOP HTCS provider; ; KATC 1&amp;2</t>
  </si>
  <si>
    <t>20th Aug 1987</t>
  </si>
  <si>
    <t>serein Education Centre</t>
  </si>
  <si>
    <t>NASCOP HTCS provider;  Adherence</t>
  </si>
  <si>
    <t>26th Oct 1994</t>
  </si>
  <si>
    <t>9th Aug 1993</t>
  </si>
  <si>
    <t>Diploma in Community Health &amp; Development</t>
  </si>
  <si>
    <t>25th Feb 1992</t>
  </si>
  <si>
    <t>5th Nov 1985</t>
  </si>
  <si>
    <t>BA in Social Sciences</t>
  </si>
  <si>
    <t xml:space="preserve">Diploma </t>
  </si>
  <si>
    <t>Catholic University of East Africa</t>
  </si>
  <si>
    <t>1st July 1991</t>
  </si>
  <si>
    <t>27th Nov 1993</t>
  </si>
  <si>
    <t>BA Sociology &amp; Psychology</t>
  </si>
  <si>
    <t>2nd Feb 2022</t>
  </si>
  <si>
    <t>14th March 1995</t>
  </si>
  <si>
    <t>1st Aug 1994</t>
  </si>
  <si>
    <t>Diploma in Community Health &amp; Devt</t>
  </si>
  <si>
    <t>Thika School of Medical &amp; Health Sciences</t>
  </si>
  <si>
    <t>24th Dec 1990</t>
  </si>
  <si>
    <t>NO License</t>
  </si>
  <si>
    <t>15th June 1965</t>
  </si>
  <si>
    <t>certificate</t>
  </si>
  <si>
    <t>Certificate of Secondary Education</t>
  </si>
  <si>
    <t>NASCOP HTCS PROVIDER</t>
  </si>
  <si>
    <t>28th Feb 1988</t>
  </si>
  <si>
    <t>1st Jan 1988</t>
  </si>
  <si>
    <t>3rd May 1992</t>
  </si>
  <si>
    <t>29th Nov 1986</t>
  </si>
  <si>
    <t>9th April1990</t>
  </si>
  <si>
    <t>3rd March 1994</t>
  </si>
  <si>
    <t>18th Feb 1997</t>
  </si>
  <si>
    <t>1st jan 1986</t>
  </si>
  <si>
    <t>3rd April 1996</t>
  </si>
  <si>
    <t>Zetech University</t>
  </si>
  <si>
    <t>1st june 2023</t>
  </si>
  <si>
    <t>31st March 1985</t>
  </si>
  <si>
    <t>BSC Population Studies</t>
  </si>
  <si>
    <t>Makerere University</t>
  </si>
  <si>
    <t>Nascop HTS</t>
  </si>
  <si>
    <t>24th Dec 1985</t>
  </si>
  <si>
    <t xml:space="preserve">Certificate in Health Records &amp; Information </t>
  </si>
  <si>
    <t>The Eldoret Polytechnic</t>
  </si>
  <si>
    <t>27th Dec 1976</t>
  </si>
  <si>
    <t>TOT in Peer Education</t>
  </si>
  <si>
    <t>22nd Dec 1987</t>
  </si>
  <si>
    <t>28th Dec 1988</t>
  </si>
  <si>
    <t>5th Feb 1990</t>
  </si>
  <si>
    <t>Diploma in Community Health &amp; HIV AIDs mgt</t>
  </si>
  <si>
    <t>30th April 1984</t>
  </si>
  <si>
    <t>Diploma in Medical Lab Technology</t>
  </si>
  <si>
    <t>Certificate in HIV mgt</t>
  </si>
  <si>
    <t>Amref</t>
  </si>
  <si>
    <t>BSC Nursing</t>
  </si>
  <si>
    <t>27th Sept 1993</t>
  </si>
  <si>
    <t>1st Jan 1985</t>
  </si>
  <si>
    <t>4th June 1992</t>
  </si>
  <si>
    <t>Moi University</t>
  </si>
  <si>
    <t>2nd Sept 1993</t>
  </si>
  <si>
    <t>13th Aug 1988</t>
  </si>
  <si>
    <t>Diploma in Community Development &amp; Social Work</t>
  </si>
  <si>
    <t>14th April 1993</t>
  </si>
  <si>
    <t>Diploma in Human Resources Management</t>
  </si>
  <si>
    <t>Keroka Technical Training Institute</t>
  </si>
  <si>
    <t>29th Sep 1994</t>
  </si>
  <si>
    <t>3rd Aug 1983</t>
  </si>
  <si>
    <t>Kings Medical Training college</t>
  </si>
  <si>
    <t>10th Dec 1986</t>
  </si>
  <si>
    <t>Certificate in Health Records &amp; Information Technology</t>
  </si>
  <si>
    <t>1st Jan 1990</t>
  </si>
  <si>
    <t>21st Sep 1993</t>
  </si>
  <si>
    <t>8th April 1996</t>
  </si>
  <si>
    <t>5th Aug 1994</t>
  </si>
  <si>
    <t>19TH Sep 1988</t>
  </si>
  <si>
    <t>Diploma in Community Health &amp; Social Work</t>
  </si>
  <si>
    <t>31st Dec 1986</t>
  </si>
  <si>
    <t>Diploma in Health Science &amp; Biotechnology</t>
  </si>
  <si>
    <t>African Institute of Health &amp; Development</t>
  </si>
  <si>
    <t>10th Sep 1997</t>
  </si>
  <si>
    <t>7th Dec 1993</t>
  </si>
  <si>
    <t>21st June 1996</t>
  </si>
  <si>
    <t>Diploma in Clinical Counselling Psychology</t>
  </si>
  <si>
    <t>2nd May 1993</t>
  </si>
  <si>
    <t>12th Dec 1990</t>
  </si>
  <si>
    <t>20th June 2022</t>
  </si>
  <si>
    <t>20th Feb 1992</t>
  </si>
  <si>
    <t>Consolata Nkubu School of Nursing</t>
  </si>
  <si>
    <t>Diploma of Health Studies (control of Hiv Aids)</t>
  </si>
  <si>
    <t>Rural AID Kenya Training Institute</t>
  </si>
  <si>
    <t>20TH Feb 1986</t>
  </si>
  <si>
    <t>Railway Training Institute</t>
  </si>
  <si>
    <t>31st March 1974</t>
  </si>
  <si>
    <t>VCT COUNSELLOR</t>
  </si>
  <si>
    <t>11TH July 1975</t>
  </si>
  <si>
    <t>Nkabune Technical Training Institute</t>
  </si>
  <si>
    <t>31st Dec 1972</t>
  </si>
  <si>
    <t>Murang'a Institute</t>
  </si>
  <si>
    <t>11th Oct 1983</t>
  </si>
  <si>
    <t>Higher Diploma in Counselling</t>
  </si>
  <si>
    <t>Kenya Association of Professional Counsellors</t>
  </si>
  <si>
    <t>14th June 1985</t>
  </si>
  <si>
    <t>Diploma of Health &amp; Biotechnology</t>
  </si>
  <si>
    <t>1st Jan 1995</t>
  </si>
  <si>
    <t>Diploma in Community Health &amp; HIV Mgt</t>
  </si>
  <si>
    <t>23rd May 1989</t>
  </si>
  <si>
    <t>KMTC 2014</t>
  </si>
  <si>
    <t>24th Dec 1994</t>
  </si>
  <si>
    <t>Diploma in Community Health &amp; Community Development</t>
  </si>
  <si>
    <t>Jordan College of Technology</t>
  </si>
  <si>
    <t>3rd Dec 1994</t>
  </si>
  <si>
    <t>BSC Environmmental Health</t>
  </si>
  <si>
    <t>27th Nov 1985</t>
  </si>
  <si>
    <t>Cerificate in Psychological Counselling</t>
  </si>
  <si>
    <t>1ST July 2022</t>
  </si>
  <si>
    <t>2nd June 1991</t>
  </si>
  <si>
    <t>Chuka University</t>
  </si>
  <si>
    <t>22nd Nov 2021</t>
  </si>
  <si>
    <t>13th Feb 1977</t>
  </si>
  <si>
    <t>25TH Dec 1998</t>
  </si>
  <si>
    <t>19th June 1993</t>
  </si>
  <si>
    <t>15th May 1992</t>
  </si>
  <si>
    <t>BSC in Counselling Psychology</t>
  </si>
  <si>
    <t>22nd March 2022</t>
  </si>
  <si>
    <t>23rd Sep 1995</t>
  </si>
  <si>
    <t>7th Sep 1984</t>
  </si>
  <si>
    <t>Diploma in ommunity Health &amp; Development</t>
  </si>
  <si>
    <t>17th July 1984</t>
  </si>
  <si>
    <t>27th Nov 1995</t>
  </si>
  <si>
    <t>26th June 1978</t>
  </si>
  <si>
    <t>Diploma in Project Management</t>
  </si>
  <si>
    <t>Diploma in Philosophy &amp; Religious Studies</t>
  </si>
  <si>
    <t>Diploma in Community Based Development &amp; PM</t>
  </si>
  <si>
    <t>12th Aug 1993</t>
  </si>
  <si>
    <t>cerificate</t>
  </si>
  <si>
    <t>Mbaya Karichu Institute</t>
  </si>
  <si>
    <t>23rd Aug 1998</t>
  </si>
  <si>
    <t>5th July 2022</t>
  </si>
  <si>
    <t>Methodist College of Health Sciences</t>
  </si>
  <si>
    <t>8TH Dec 1992</t>
  </si>
  <si>
    <t>20th May 1986</t>
  </si>
  <si>
    <t xml:space="preserve">Diploma in Counselling Psychology </t>
  </si>
  <si>
    <t>1st July 1973</t>
  </si>
  <si>
    <t>Certificate in HTS</t>
  </si>
  <si>
    <t>25th May1995</t>
  </si>
  <si>
    <t>1st April 2022</t>
  </si>
  <si>
    <t>4th July 1989</t>
  </si>
  <si>
    <t>22nd Nov 1988</t>
  </si>
  <si>
    <t>craft</t>
  </si>
  <si>
    <t>Craft in Secretarial studies</t>
  </si>
  <si>
    <t>15th Sept 1989</t>
  </si>
  <si>
    <t>12th March 1994</t>
  </si>
  <si>
    <t>13th Jan 1979</t>
  </si>
  <si>
    <t>Kenya Methodist University</t>
  </si>
  <si>
    <t>24th June 1988</t>
  </si>
  <si>
    <t>5th June 2023</t>
  </si>
  <si>
    <t>KMTC 2022</t>
  </si>
  <si>
    <t>15th June 1987</t>
  </si>
  <si>
    <t>Diploma in Applied Biology</t>
  </si>
  <si>
    <t>Meru technical Training Institute</t>
  </si>
  <si>
    <t>27th Dec 1984</t>
  </si>
  <si>
    <t>20th March 1995</t>
  </si>
  <si>
    <t>Kenya Institute of Professional Counsellors</t>
  </si>
  <si>
    <t>15th June 1970</t>
  </si>
  <si>
    <t>Community Prevention with Positives Cpwp</t>
  </si>
  <si>
    <t>AMREF</t>
  </si>
  <si>
    <t>1st Jan 1971</t>
  </si>
  <si>
    <t>Diploma in Pharmaceutical Technology</t>
  </si>
  <si>
    <t>7th Feb 1987</t>
  </si>
  <si>
    <t>Certificate in Adherence Counselling &amp; Psychosocial Support in HIV</t>
  </si>
  <si>
    <t>3rd Dec 1996</t>
  </si>
  <si>
    <t>29th July 1992</t>
  </si>
  <si>
    <t>KMTC 2012</t>
  </si>
  <si>
    <t>16th June 1990</t>
  </si>
  <si>
    <t>SALOME GACHERI IKIARA</t>
  </si>
  <si>
    <t>28th Dec1989</t>
  </si>
  <si>
    <t>20th Jan 1997</t>
  </si>
  <si>
    <t>Matric Institute of Professional Studies</t>
  </si>
  <si>
    <t>13th July 1993</t>
  </si>
  <si>
    <t>14th Jan 1991</t>
  </si>
  <si>
    <t>Diploma in Community Health &amp; development</t>
  </si>
  <si>
    <t>19th Oct 1991</t>
  </si>
  <si>
    <t>Kisumu Polytechnic</t>
  </si>
  <si>
    <t>27th Nov 1988</t>
  </si>
  <si>
    <t>Bachelor of Science in Public Health</t>
  </si>
  <si>
    <t>Meru University of Science &amp; Technology</t>
  </si>
  <si>
    <t>12th Nov 1977</t>
  </si>
  <si>
    <t>Nascop HTC</t>
  </si>
  <si>
    <t>12TH Dec 1991</t>
  </si>
  <si>
    <t>15th July1993</t>
  </si>
  <si>
    <t>17th April 2023</t>
  </si>
  <si>
    <t>2nd Oct 1995</t>
  </si>
  <si>
    <t>10th Sep 1998</t>
  </si>
  <si>
    <t>Amboseli Institute</t>
  </si>
  <si>
    <t>DANIEL MUGAMBI MURIUKI</t>
  </si>
  <si>
    <t>11th Sep 1997</t>
  </si>
  <si>
    <t>1st May 2024</t>
  </si>
  <si>
    <t>12th Nov1995</t>
  </si>
  <si>
    <t>EVALYNE WAIRIMU WARURU</t>
  </si>
  <si>
    <t>14th May 1990</t>
  </si>
  <si>
    <t>Diploma in Medical Lab Sciences</t>
  </si>
  <si>
    <t>OTHERS</t>
  </si>
  <si>
    <t>15th June 1968</t>
  </si>
  <si>
    <t>Higher Diploma in Counselling Psychology</t>
  </si>
  <si>
    <t>Kenya Institute of Professional Counselling</t>
  </si>
  <si>
    <t>1st Dec 2023</t>
  </si>
  <si>
    <t>7th Feb 1989</t>
  </si>
  <si>
    <t>21st Aug 1993</t>
  </si>
  <si>
    <t>1st  May 2021</t>
  </si>
  <si>
    <t>9th April 1993</t>
  </si>
  <si>
    <t>Diploma in Health Records &amp; IT</t>
  </si>
  <si>
    <t>25th Sept 1997</t>
  </si>
  <si>
    <t>22nd Aug 1990</t>
  </si>
  <si>
    <t>21st Nov 1994</t>
  </si>
  <si>
    <t>12th Aug 1991</t>
  </si>
  <si>
    <t>28th July 1994</t>
  </si>
  <si>
    <t>LILIAN WANJIRA NJUE</t>
  </si>
  <si>
    <t>LENAH MAKENA KIBURI</t>
  </si>
  <si>
    <t>1ST May 2021</t>
  </si>
  <si>
    <t>25th Oct 1983</t>
  </si>
  <si>
    <t>18th Dec 2023</t>
  </si>
  <si>
    <t>KMTC 2020</t>
  </si>
  <si>
    <t>18th March 1977</t>
  </si>
  <si>
    <t>MONICAH KAINYU NJERU</t>
  </si>
  <si>
    <t>15th May 1996</t>
  </si>
  <si>
    <t>2nd July 1996</t>
  </si>
  <si>
    <t>10th July 1998</t>
  </si>
  <si>
    <t>3rd Oct 1988</t>
  </si>
  <si>
    <t>BSC in Clinical Medicine &amp; Community Health</t>
  </si>
  <si>
    <t>RISPER NKATHA KIMATHI</t>
  </si>
  <si>
    <t>23rd Nov 1988</t>
  </si>
  <si>
    <t>Certificate in Secretarial studies</t>
  </si>
  <si>
    <t>St. Francis of Assis training Institute</t>
  </si>
  <si>
    <t>nascop HTS</t>
  </si>
  <si>
    <t>12th April 1977</t>
  </si>
  <si>
    <t>16th May 1997</t>
  </si>
  <si>
    <t xml:space="preserve">Certificate </t>
  </si>
  <si>
    <t>12th Oct 1976</t>
  </si>
  <si>
    <t>Rift Valley Insstitute of Science &amp; Technology</t>
  </si>
  <si>
    <t>30th July 1990</t>
  </si>
  <si>
    <t>7th Dec 1988</t>
  </si>
  <si>
    <t>Certificate in Social Work  &amp; Community Development</t>
  </si>
  <si>
    <t>Machakos University College</t>
  </si>
  <si>
    <t>NASCOP HTS</t>
  </si>
  <si>
    <t>3rd Oct 1997</t>
  </si>
  <si>
    <t>Diploma in Public Health</t>
  </si>
  <si>
    <t>15th Dec 1976</t>
  </si>
  <si>
    <t>8th Aug 1975</t>
  </si>
  <si>
    <t>Pharmacy technician</t>
  </si>
  <si>
    <t>Penn Foster Career School</t>
  </si>
  <si>
    <t>22nd July 1989</t>
  </si>
  <si>
    <t>Diploma in Health Records &amp;Information Technology</t>
  </si>
  <si>
    <t>27th Sep 1990</t>
  </si>
  <si>
    <t>13th July 1970</t>
  </si>
  <si>
    <t>Diploma in Community Health Development</t>
  </si>
  <si>
    <t>10th April 1992</t>
  </si>
  <si>
    <t>15th March 1989</t>
  </si>
  <si>
    <t>Diploma in Clinical medicine &amp; Surgery</t>
  </si>
  <si>
    <t>18th Jan 1984</t>
  </si>
  <si>
    <t>Diploma in Social Work</t>
  </si>
  <si>
    <t>GTI Embu</t>
  </si>
  <si>
    <t>2nd June 2023</t>
  </si>
  <si>
    <t>15th Dec 1999</t>
  </si>
  <si>
    <t>BSC in Health Records &amp; Information Sciences</t>
  </si>
  <si>
    <t>25th Dec 1974</t>
  </si>
  <si>
    <t>20th Dec 1990</t>
  </si>
  <si>
    <t>Certicate in Community Health &amp; Development</t>
  </si>
  <si>
    <t>Thika School of medical &amp; Health Sciences</t>
  </si>
  <si>
    <t>14th Jan 1993</t>
  </si>
  <si>
    <t>Our Lady of Lourdes, Mwea Mission</t>
  </si>
  <si>
    <t>15th April 2024</t>
  </si>
  <si>
    <t>6th Nov 1998</t>
  </si>
  <si>
    <t>28th Dec 1983</t>
  </si>
  <si>
    <t>Diploma in HIV Counselling;</t>
  </si>
  <si>
    <t>7th Oct 1992</t>
  </si>
  <si>
    <t>Fidenza School of Nursing - Kyeni</t>
  </si>
  <si>
    <t>1st June 1986</t>
  </si>
  <si>
    <t>17th Aug 1975</t>
  </si>
  <si>
    <t>Kin HR Management Institute</t>
  </si>
  <si>
    <t>15th Aug 1994</t>
  </si>
  <si>
    <t>24th July 1990</t>
  </si>
  <si>
    <t>2nd Aug 1990</t>
  </si>
  <si>
    <t>2nd July 1978</t>
  </si>
  <si>
    <t>Certificate in HTS/ ART Adherence</t>
  </si>
  <si>
    <t>4th April 1990</t>
  </si>
  <si>
    <t>19th Nov 1995</t>
  </si>
  <si>
    <t>certificate in Health Records &amp; Information Technology</t>
  </si>
  <si>
    <t>22nd March 1978</t>
  </si>
  <si>
    <t>18th March 1996</t>
  </si>
  <si>
    <t>14th Jan 1965</t>
  </si>
  <si>
    <t>15th Jan 2024</t>
  </si>
  <si>
    <t>1st Jan 1980</t>
  </si>
  <si>
    <t>Kenya Institute of Mgt</t>
  </si>
  <si>
    <t>NASCOP HTS; Diploma in Philosophy</t>
  </si>
  <si>
    <t>30th April 1976</t>
  </si>
  <si>
    <t>25th July 1992</t>
  </si>
  <si>
    <t>Nyeri Technical Training Institute</t>
  </si>
  <si>
    <t>21st April 1992</t>
  </si>
  <si>
    <t>13th March 2023</t>
  </si>
  <si>
    <t>17th Sep 1997</t>
  </si>
  <si>
    <t>KMTC 2011</t>
  </si>
  <si>
    <t>16TH May 1989</t>
  </si>
  <si>
    <t>6th March 1991</t>
  </si>
  <si>
    <t>25th Jan 1992</t>
  </si>
  <si>
    <t>9th June 1997</t>
  </si>
  <si>
    <t>Lake Institute of Tropical Medicine - Kerugoya</t>
  </si>
  <si>
    <t>adherence counselling</t>
  </si>
  <si>
    <t>BEATRICE MUTHONI NJOGU</t>
  </si>
  <si>
    <t>4th July 1982</t>
  </si>
  <si>
    <t>26th Sep 1982</t>
  </si>
  <si>
    <t>Bachelor of Development Studies</t>
  </si>
  <si>
    <t>15th Oct 1988</t>
  </si>
  <si>
    <t>Moi Teaching School of Health Sciences</t>
  </si>
  <si>
    <t>ISABELLAH KAREMA MUGAO</t>
  </si>
  <si>
    <t>GLADYS KANANU PHARES</t>
  </si>
  <si>
    <t>Sexual Health &amp; Sexual Prevention for Adolescents</t>
  </si>
  <si>
    <t>Israel Aharon Offri International</t>
  </si>
  <si>
    <t>PITC, , TOT Couple HIV TESTING</t>
  </si>
  <si>
    <t>Diploma in HIV Mgt &amp; Community Services; Trauma &amp; Psychological Debriefing; Nascop Certificate</t>
  </si>
  <si>
    <t>Nascop Certificate</t>
  </si>
  <si>
    <t>Certificate in Counselling Psychology, NASCOP Certificate</t>
  </si>
  <si>
    <t>Certificate in Community Health &amp; Development, NASCOP Certificate</t>
  </si>
  <si>
    <t>Diploma in Community Health &amp; HIV AIDs Management</t>
  </si>
  <si>
    <t>NASCOP certpficate</t>
  </si>
  <si>
    <t>NASCOP  cert ficate</t>
  </si>
  <si>
    <t>Diploma in Community Health &amp; Hiv Mgt</t>
  </si>
  <si>
    <t>30th Jan 1994</t>
  </si>
  <si>
    <t>Certificate in Nutrition &amp; Dietetics</t>
  </si>
  <si>
    <t>Trident Medical Colleges</t>
  </si>
  <si>
    <t>NASCOP HTCS PROVIDER/ certificate in ICT</t>
  </si>
  <si>
    <t>Diploma in Community Health Nursing, KMTC 2015</t>
  </si>
  <si>
    <t>MERCY NTINYARI GATOBU</t>
  </si>
  <si>
    <t>CORNELIUS MBATHA MUSYIMI</t>
  </si>
  <si>
    <t>KANJA HEALTH CENTER</t>
  </si>
  <si>
    <t>DORIS MULONGO SAIDI</t>
  </si>
  <si>
    <t>JOHN PETER MURIUKI</t>
  </si>
  <si>
    <t>KIBUGU HEALTH CENTRE</t>
  </si>
  <si>
    <t>MARY KABETI</t>
  </si>
  <si>
    <t>Diploma in Clinical Mdicine &amp; Surgery</t>
  </si>
  <si>
    <t>20th May 2024</t>
  </si>
  <si>
    <t>12th Feb 1995</t>
  </si>
  <si>
    <t>19th Aug 2024</t>
  </si>
  <si>
    <t>14th April 2025</t>
  </si>
  <si>
    <t>10th Aug 1997</t>
  </si>
  <si>
    <t>BSC Clinical Medicine and Community Health</t>
  </si>
  <si>
    <t>Jomo Kenyatta University of Agriculture &amp; Tech</t>
  </si>
  <si>
    <t>BSC in Clinical Medicine</t>
  </si>
  <si>
    <t>University of Kabianga</t>
  </si>
  <si>
    <t>20th June 1998</t>
  </si>
  <si>
    <t>24th Oct 1997</t>
  </si>
  <si>
    <t>12th March 1995</t>
  </si>
  <si>
    <t>ALEX KAIBIRIA KANAKE</t>
  </si>
  <si>
    <t>BRENDA NTINYARI KOOME</t>
  </si>
  <si>
    <t>KANGETA HEALTH CENTRE</t>
  </si>
  <si>
    <t>8TH Sep 1997</t>
  </si>
  <si>
    <t>Certificate in HTC Supervisor</t>
  </si>
  <si>
    <t>Certificate in computers; ; HTC refresher training, Certificate in HTC</t>
  </si>
  <si>
    <t>Certificate in sign language; NASCOP Certificate</t>
  </si>
  <si>
    <t xml:space="preserve">Nascop Certificate; </t>
  </si>
  <si>
    <t>Diploma in Business IT; Nascop HTS Certificate</t>
  </si>
  <si>
    <t>Certificate in Basic counselling/ VCT</t>
  </si>
  <si>
    <t>NASCOP Certificate, Adherence counselling</t>
  </si>
  <si>
    <t>NASCOP Certificate</t>
  </si>
  <si>
    <t>NASCOP Certificate, Adherence counselling Certificate in Health Records &amp; Information Technology</t>
  </si>
  <si>
    <t>HTS Certificate</t>
  </si>
  <si>
    <t>NASCOP Certificate; Certificate in HIV Mgt</t>
  </si>
  <si>
    <t>Certificate in HTS &amp;HIV Mgt</t>
  </si>
  <si>
    <t>Diploma in Community Health &amp; HIV Mgt, NASCOP testing Certificate; youth Peer provider training on ASRH</t>
  </si>
  <si>
    <t>Thika Institute of Business Studies</t>
  </si>
  <si>
    <t>7th May 1983</t>
  </si>
  <si>
    <t>1st Oct 2024</t>
  </si>
  <si>
    <t>AGE</t>
  </si>
  <si>
    <t>DATE OF BIRTH</t>
  </si>
  <si>
    <t>19th Oct 1993</t>
  </si>
  <si>
    <t>DOB Cleaned</t>
  </si>
  <si>
    <t>3rd Oct 1990</t>
  </si>
  <si>
    <t>1st Jan 1986</t>
  </si>
  <si>
    <t>3rd Jan 1993</t>
  </si>
  <si>
    <t>22nd june 1994</t>
  </si>
  <si>
    <t>1st jan 1971</t>
  </si>
  <si>
    <t>6th march 1997</t>
  </si>
  <si>
    <t>6th jan 1991</t>
  </si>
  <si>
    <t>14th jul 1991</t>
  </si>
  <si>
    <t>21st april 1995</t>
  </si>
  <si>
    <t>6th oct 1996</t>
  </si>
  <si>
    <t>21st April 1987</t>
  </si>
  <si>
    <t>12th dec 1993</t>
  </si>
  <si>
    <t>1st July 1993</t>
  </si>
  <si>
    <t>25th Dec 1993</t>
  </si>
  <si>
    <t>Gosheni Medical &amp; Technical College</t>
  </si>
  <si>
    <t>13th January 2025</t>
  </si>
  <si>
    <t>9th June 1990</t>
  </si>
  <si>
    <t>Diploma in Clinical Medicine &amp; Suurgery</t>
  </si>
  <si>
    <t>18th August 2024</t>
  </si>
  <si>
    <t>12th May 1993</t>
  </si>
  <si>
    <t>22nd Sept 1997</t>
  </si>
  <si>
    <t>AKACHIU HEALTH CENTRE</t>
  </si>
  <si>
    <t>KIIRUA HEALTH CENTRE</t>
  </si>
  <si>
    <t>KINORU HEALTH CENTRE</t>
  </si>
  <si>
    <t>MBEU SCH</t>
  </si>
  <si>
    <t>GIAKI SCH</t>
  </si>
  <si>
    <t>Diploma in Social Work and Community Development</t>
  </si>
  <si>
    <t>NEWTON CHEGE MAINA</t>
  </si>
  <si>
    <t>ICT OFFICER</t>
  </si>
  <si>
    <t>KIAMURINGA DISPENSARY</t>
  </si>
  <si>
    <t>DALLAS DISPENSARY</t>
  </si>
  <si>
    <t>EVANS KIPKORIR ROTICH</t>
  </si>
  <si>
    <t>1st October 2024</t>
  </si>
  <si>
    <t>GLADYS NYAKERU MWANGI</t>
  </si>
  <si>
    <t>MARGARET WANJIRU MWANGI</t>
  </si>
  <si>
    <t>1ST AUG 2025</t>
  </si>
  <si>
    <t>24th April 1993</t>
  </si>
  <si>
    <t>7TH July 2000</t>
  </si>
  <si>
    <t>Diploma in Community Health Nursing</t>
  </si>
  <si>
    <t>KMTC 2024</t>
  </si>
  <si>
    <t>SUB COUNTY</t>
  </si>
  <si>
    <t>EMBU</t>
  </si>
  <si>
    <t>MANYATTA</t>
  </si>
  <si>
    <t>MBEERE NORTH</t>
  </si>
  <si>
    <t>MBEERE SOUTH</t>
  </si>
  <si>
    <t>RUNYENJES</t>
  </si>
  <si>
    <t>UGWERI HEALTH CENTRE</t>
  </si>
  <si>
    <t>IMENTI SOUTH</t>
  </si>
  <si>
    <t>IMENTI CENTRAL</t>
  </si>
  <si>
    <t>TIGANIA EAST</t>
  </si>
  <si>
    <t>IGEMBE SOUTH</t>
  </si>
  <si>
    <t>IMENTI NORTH</t>
  </si>
  <si>
    <t>BUURI WEST</t>
  </si>
  <si>
    <t xml:space="preserve">GAKOROMONE DISP </t>
  </si>
  <si>
    <t>BUURI EAST</t>
  </si>
  <si>
    <t>IGEMBE NORTH</t>
  </si>
  <si>
    <t>IGEMBE CENTRAL</t>
  </si>
  <si>
    <t>2nd  Jan 2025</t>
  </si>
  <si>
    <t>TIGANIA WEST</t>
  </si>
  <si>
    <t>TIGANIA CENTRAL</t>
  </si>
  <si>
    <t>MWIMBI</t>
  </si>
  <si>
    <t>THARAKA SOUTH</t>
  </si>
  <si>
    <t>THARAKA NORTH</t>
  </si>
  <si>
    <t>IGAMBA NGOMBE</t>
  </si>
  <si>
    <t>CHUKA</t>
  </si>
  <si>
    <t>30TH Nov 1998</t>
  </si>
  <si>
    <t>1st Feb 2025</t>
  </si>
  <si>
    <t>Olkalou</t>
  </si>
  <si>
    <t>Ndaragwa</t>
  </si>
  <si>
    <t>Kipipiri</t>
  </si>
  <si>
    <t>Kinangop</t>
  </si>
  <si>
    <t>Oljoroorok</t>
  </si>
  <si>
    <t>GENDER</t>
  </si>
  <si>
    <t>F</t>
  </si>
  <si>
    <t>M</t>
  </si>
  <si>
    <t xml:space="preserve">KENNETH MUGAMBI </t>
  </si>
  <si>
    <t xml:space="preserve">FRIDAH WANJA </t>
  </si>
  <si>
    <t xml:space="preserve">DOREEN KAGENDO </t>
  </si>
  <si>
    <t xml:space="preserve">FRIDA MAKENA </t>
  </si>
  <si>
    <t>GLADYS MAKENA MUREA</t>
  </si>
  <si>
    <t xml:space="preserve">JANE MUKWANJERU </t>
  </si>
  <si>
    <t xml:space="preserve">NELSON KAMANDE </t>
  </si>
  <si>
    <t xml:space="preserve">PAUL THURANIRA </t>
  </si>
  <si>
    <t xml:space="preserve">JOSEPHINE KATHURE </t>
  </si>
  <si>
    <t xml:space="preserve">GACHERI STELLA </t>
  </si>
  <si>
    <t xml:space="preserve">MORRIS MUTUMA </t>
  </si>
  <si>
    <t xml:space="preserve">SOPHIA NKATHA </t>
  </si>
  <si>
    <t xml:space="preserve">DYNA MUTHONI </t>
  </si>
  <si>
    <t xml:space="preserve">FRIDAH NAITORE </t>
  </si>
  <si>
    <t xml:space="preserve">PENINA MWENDWA </t>
  </si>
  <si>
    <t xml:space="preserve">FRIDAH KENDI </t>
  </si>
  <si>
    <t xml:space="preserve">JUSTER KENDI </t>
  </si>
  <si>
    <t xml:space="preserve">BETH KENDI </t>
  </si>
  <si>
    <t xml:space="preserve">WILFRED MURITHI </t>
  </si>
  <si>
    <t xml:space="preserve">BETTY KAJUJU </t>
  </si>
  <si>
    <t xml:space="preserve">EVALYNE WAIRIMU </t>
  </si>
  <si>
    <t xml:space="preserve">LENAH KIBURI </t>
  </si>
  <si>
    <t xml:space="preserve">ISABELLAH KAREMA </t>
  </si>
  <si>
    <t xml:space="preserve">SAMUEL NDERITU </t>
  </si>
  <si>
    <t>MOMAYI EDWARD MAKORI</t>
  </si>
  <si>
    <t>ZIPORAH NYOKABI KIHIU</t>
  </si>
  <si>
    <t>WILSON WERU MUGO</t>
  </si>
  <si>
    <t xml:space="preserve">DOROTHY NTINYARI </t>
  </si>
  <si>
    <t xml:space="preserve">KANANU JOSPHINE </t>
  </si>
  <si>
    <t>ALI ALIKORIN LENGIMA</t>
  </si>
  <si>
    <t>JEAN KENDI IRERI</t>
  </si>
  <si>
    <t>HUMPHREY NYABERA ODINGA</t>
  </si>
  <si>
    <t>FLORENCE WANJIRU NYAGA</t>
  </si>
  <si>
    <t>MATHEW MUTUMA NTONJA</t>
  </si>
  <si>
    <t>KELVIN MANASE MUCIRI</t>
  </si>
  <si>
    <t>YVONNE KENDI MUTEMBEI</t>
  </si>
  <si>
    <t>ROTICH EVANS KIPROTICH</t>
  </si>
  <si>
    <t>BRIAN MURIUKI MBAABU</t>
  </si>
  <si>
    <t>JOHN PETER MURIMI MURIUKI</t>
  </si>
  <si>
    <t>NEWTON MAINA CHEGE</t>
  </si>
  <si>
    <t>THARAKA NITHI</t>
  </si>
  <si>
    <t>NYANDARUA</t>
  </si>
  <si>
    <t>NAME</t>
  </si>
  <si>
    <t>FACILITY</t>
  </si>
  <si>
    <t>CADRE</t>
  </si>
  <si>
    <t>CATHERINE WAVINYA</t>
  </si>
  <si>
    <t>MENTOR MOTHER</t>
  </si>
  <si>
    <t>CONSOLATA WANJA</t>
  </si>
  <si>
    <t>EMBU PROVINCIAL GENERAL HOSPITAL</t>
  </si>
  <si>
    <t>LUCY NGITHI</t>
  </si>
  <si>
    <t>JANE WAMBUI</t>
  </si>
  <si>
    <t>RHODES MBERE</t>
  </si>
  <si>
    <t>KARURUMO RHTC</t>
  </si>
  <si>
    <t>JUDY WAWIRA</t>
  </si>
  <si>
    <t>LIZA KARIMI NYAGA</t>
  </si>
  <si>
    <t>MERCY KARIMI</t>
  </si>
  <si>
    <t>MBEERE DISTRICT HOSPITAL</t>
  </si>
  <si>
    <t>PAULINE WANGUI</t>
  </si>
  <si>
    <t>AYP CHAMPION</t>
  </si>
  <si>
    <t>PURITY KAWIRA</t>
  </si>
  <si>
    <t>GERALD IRERI</t>
  </si>
  <si>
    <t>KIRIE GOVT. DISPENSARY</t>
  </si>
  <si>
    <t>PEER EDUCATOR</t>
  </si>
  <si>
    <t>SYCA WANJA</t>
  </si>
  <si>
    <t>TERESIA MWITIA</t>
  </si>
  <si>
    <t>ALOISIA WAMBETI</t>
  </si>
  <si>
    <t>KIBUGU HC</t>
  </si>
  <si>
    <t>CEASAR NJERU</t>
  </si>
  <si>
    <t>ISHIARA SDH</t>
  </si>
  <si>
    <t>FELESHINA  NJAGI</t>
  </si>
  <si>
    <t>KARURUMO HC</t>
  </si>
  <si>
    <t>GILBERT NDWIGA</t>
  </si>
  <si>
    <t>JOSEPHINE   NYAGA</t>
  </si>
  <si>
    <t>JOSEPHINE  NGONDI</t>
  </si>
  <si>
    <t>KIAMBERE DAM DISP.</t>
  </si>
  <si>
    <t>KELVIN MUCHIRA</t>
  </si>
  <si>
    <t>LILIAN WANJIKU</t>
  </si>
  <si>
    <t>DALLAS HEALTH CENTRE</t>
  </si>
  <si>
    <t>MARY MUTHONI</t>
  </si>
  <si>
    <t>MARY WANYAGA</t>
  </si>
  <si>
    <t>MAKENGI HEALTH CENTRE</t>
  </si>
  <si>
    <t>MOSES NJUE</t>
  </si>
  <si>
    <t>ACEF ENA</t>
  </si>
  <si>
    <t>PAULINE WAWIRA</t>
  </si>
  <si>
    <t>ROSEMARY NJOKI</t>
  </si>
  <si>
    <t>JACKLINE WAWIRA</t>
  </si>
  <si>
    <t>MAUREEN NJERI</t>
  </si>
  <si>
    <t>ROSEMARY MBAKA WANJUKI</t>
  </si>
  <si>
    <t>ESTHER MURUGI</t>
  </si>
  <si>
    <t>MARGRET WANJIRU</t>
  </si>
  <si>
    <t>KANYUAMBORA DISPENSARY</t>
  </si>
  <si>
    <t>SCHOLASTICA   NZOMO</t>
  </si>
  <si>
    <t>ANN WANGARI</t>
  </si>
  <si>
    <t>NEMBURE HEALTH CENTRE</t>
  </si>
  <si>
    <t>HILDA KAMANDI</t>
  </si>
  <si>
    <t>EMBU CHILDREN</t>
  </si>
  <si>
    <t>PURITY MUKAMI MUGO</t>
  </si>
  <si>
    <t>ESTHER GATUURA</t>
  </si>
  <si>
    <t>GATUNGA MODEL HEALTH CENTER</t>
  </si>
  <si>
    <t>JOYCE MWOBURI</t>
  </si>
  <si>
    <t>MUTUATI SUBCOUNTY HOSPITAL</t>
  </si>
  <si>
    <t>MENTOR MOTHER TEAM LEAD</t>
  </si>
  <si>
    <t>WINNIE NTINYARI</t>
  </si>
  <si>
    <t>MUTHARA SUB DISTRICT HOSPITAL</t>
  </si>
  <si>
    <t>JOY KARIMI</t>
  </si>
  <si>
    <t>KIBIRICHIA SUB DISTRICT HOSPITAL</t>
  </si>
  <si>
    <t>JACKLINE NTINYARI</t>
  </si>
  <si>
    <t>NYAMBENE SUB DISTRICT HOSPITAL</t>
  </si>
  <si>
    <t>JUDITH MWENDWA</t>
  </si>
  <si>
    <t>GITHONGO SUB DISTRICT HOSPITAL</t>
  </si>
  <si>
    <t>ANN GACERI MURIRA</t>
  </si>
  <si>
    <t>KANYAKINE SUB DISTRICT HOSPITAL</t>
  </si>
  <si>
    <t>FRIDAH KAGWIRIA</t>
  </si>
  <si>
    <t>LUCY KAGENDO</t>
  </si>
  <si>
    <t>ANN KIMANTHI</t>
  </si>
  <si>
    <t>EMILY KENDI MUTWIRI</t>
  </si>
  <si>
    <t>MIKINDURI SUB DISTRICT HOSPITAL</t>
  </si>
  <si>
    <t>GOLDEN GATWIRI</t>
  </si>
  <si>
    <t>MONICA KEGENDO</t>
  </si>
  <si>
    <t>MIATHENE SUB DISTRICT HOSPITAL</t>
  </si>
  <si>
    <t>FRIDAH KAIMURI</t>
  </si>
  <si>
    <t>MERU DISTRICT HOSPITAL</t>
  </si>
  <si>
    <t>DORCAS  KAMWITU</t>
  </si>
  <si>
    <t>ST THERESA KIIRUA</t>
  </si>
  <si>
    <t>JANE KIRIGO</t>
  </si>
  <si>
    <t>MIKUMBUNE SUB DISTRICT HOSPITAL</t>
  </si>
  <si>
    <t>JOANINA GAKII</t>
  </si>
  <si>
    <t>TIMAU SUB DISTRICT HOSPITAL</t>
  </si>
  <si>
    <t>LYDIA NAITORE</t>
  </si>
  <si>
    <t>REBECCA  KAGWIRIA</t>
  </si>
  <si>
    <t>KIBURINE DISPENSARY</t>
  </si>
  <si>
    <t>ZIPPY  KAREGI</t>
  </si>
  <si>
    <t>LACTON KIMATHI</t>
  </si>
  <si>
    <t>MAUREEN WANJIKU</t>
  </si>
  <si>
    <t>REGINA KARWIRWA</t>
  </si>
  <si>
    <t xml:space="preserve">MBEU SUB DISTRICT HOSPITAL </t>
  </si>
  <si>
    <t>ZACHARIA MBAABU</t>
  </si>
  <si>
    <t>AGNES RUKARI</t>
  </si>
  <si>
    <t>CECILIA KIENDE</t>
  </si>
  <si>
    <t>KAONGO HEALTH CENTRE</t>
  </si>
  <si>
    <t>DAMARIS  KENDI</t>
  </si>
  <si>
    <t>DEBORAH  GAKII</t>
  </si>
  <si>
    <t>ST JOHN OF GOD HOSPITAL</t>
  </si>
  <si>
    <t>LUCY MUTHONI NYAGA</t>
  </si>
  <si>
    <t>ANNAH KARAMBU</t>
  </si>
  <si>
    <t>URUKU HEALTH CENTRE</t>
  </si>
  <si>
    <t>JANE KANDOGO</t>
  </si>
  <si>
    <t>KIRIMI  PHINEAS</t>
  </si>
  <si>
    <t>RAHAB MURUGI</t>
  </si>
  <si>
    <t>RUIRI SUB DISTRICT HOSPITAL</t>
  </si>
  <si>
    <t>STANLEY MUNGERIA</t>
  </si>
  <si>
    <t>MUTUATI HEALTH CENTRE</t>
  </si>
  <si>
    <t>ROSE KATHAMBI</t>
  </si>
  <si>
    <t>ELIZABETH NDUKU</t>
  </si>
  <si>
    <t>JOSPHAT  MUTHURI</t>
  </si>
  <si>
    <t>JUDITH  GATWIRI</t>
  </si>
  <si>
    <t>KATHITHI DISPENSARY</t>
  </si>
  <si>
    <t>NICHOLAS MBII</t>
  </si>
  <si>
    <t>NTHAMBIRO HEALTH CENTRE</t>
  </si>
  <si>
    <t>WINFRED KATHAMBI</t>
  </si>
  <si>
    <t>CHARITY KAREGI</t>
  </si>
  <si>
    <t>GIAKI SUB DISTRICT HOSPITAL</t>
  </si>
  <si>
    <t>TITUS KAAI</t>
  </si>
  <si>
    <t>IGOKI HEALTH CENTRE</t>
  </si>
  <si>
    <t>ALICE  KINYA</t>
  </si>
  <si>
    <t>BEATRICE NJERI</t>
  </si>
  <si>
    <t>SUSAN GAKII</t>
  </si>
  <si>
    <t>JOY GAKII</t>
  </si>
  <si>
    <t>TRACY WANJA</t>
  </si>
  <si>
    <t>OTZ CHAMPION</t>
  </si>
  <si>
    <t>DOREEN KARAMBU</t>
  </si>
  <si>
    <t>MARY NKATHA</t>
  </si>
  <si>
    <t>KIENI KIA NDEGE</t>
  </si>
  <si>
    <t>ANN WAIRIMU KARIUKI</t>
  </si>
  <si>
    <t>BAMBOO HEALTH CENTER</t>
  </si>
  <si>
    <t>NANCY NJERI</t>
  </si>
  <si>
    <t>MERCY NJOKI</t>
  </si>
  <si>
    <t>CHAMUKA HEALTH CENTRE</t>
  </si>
  <si>
    <t>DAVID GATIMU KARANJA</t>
  </si>
  <si>
    <t>ENGINEER REFERRAL HOSPITAL</t>
  </si>
  <si>
    <t>LUCY MUENI KIBERA</t>
  </si>
  <si>
    <t>PETER NDIRANGU</t>
  </si>
  <si>
    <t>GATIMU HEALTH CENTRE</t>
  </si>
  <si>
    <t>RAHAB WANJIKU</t>
  </si>
  <si>
    <t>GETA BUSH HEALTH CENTER</t>
  </si>
  <si>
    <t>MONICA WANJIRU KARANJA</t>
  </si>
  <si>
    <t>OLKALOU SUB DISTRICT HOSPITAL</t>
  </si>
  <si>
    <t>RAHAB WANJIKU KINGORI</t>
  </si>
  <si>
    <t>KAHEMBE HEALTH CENTER</t>
  </si>
  <si>
    <t>JOSHUA KUIRA</t>
  </si>
  <si>
    <t>KAIMBAGA</t>
  </si>
  <si>
    <t>JOSEPH KARANJA WANGOMBE</t>
  </si>
  <si>
    <t>KASUKU HEALTH CENTRE</t>
  </si>
  <si>
    <t>BEATRICE WANJIRU NDICHU</t>
  </si>
  <si>
    <t>LESHAU PONDO HEALTH CENTRE</t>
  </si>
  <si>
    <t>ANN WAMBUI NJOKI</t>
  </si>
  <si>
    <t>MANUNGA HEALTH CENTER</t>
  </si>
  <si>
    <t>ROSEMARY  KABERA</t>
  </si>
  <si>
    <t>MIRANGINE HEALTH CENTER</t>
  </si>
  <si>
    <t>MARY KARUMA</t>
  </si>
  <si>
    <t>MARY NYAMBURA</t>
  </si>
  <si>
    <t>MURUNGARU HEALTH CENTER</t>
  </si>
  <si>
    <t>JECINTA WACUKA</t>
  </si>
  <si>
    <t>CATHERINE MBUU KATISO</t>
  </si>
  <si>
    <t>GATHIGI ALICE</t>
  </si>
  <si>
    <t>NDARAGWA HEALTH CENTER</t>
  </si>
  <si>
    <t>MILICA KIMANI</t>
  </si>
  <si>
    <t>JOHN GICHUKI</t>
  </si>
  <si>
    <t>NDEMI HEALTH CENTER</t>
  </si>
  <si>
    <t>PENINAH WANJIRU</t>
  </si>
  <si>
    <t>NEW MAWINGU</t>
  </si>
  <si>
    <t>ESTHER MAINA</t>
  </si>
  <si>
    <t>NGANO HEALTH CENTER</t>
  </si>
  <si>
    <t>MERCYLINE MORANGA</t>
  </si>
  <si>
    <t>NGORIKA HEALTH CENTRE</t>
  </si>
  <si>
    <t>SUSAN WANJIRU WANGARI</t>
  </si>
  <si>
    <t>NJABINI HEALTH CENTRE</t>
  </si>
  <si>
    <t>STEPHEN KAHARA NJEHIA</t>
  </si>
  <si>
    <t>GRACE NJENGA</t>
  </si>
  <si>
    <t>DAMARIS WANJIRU MWANGI</t>
  </si>
  <si>
    <t>OLD MAWINGO HEALTH CENTRE</t>
  </si>
  <si>
    <t>DAVID NJENGA</t>
  </si>
  <si>
    <t>SHAMATA HEALTH CENTER</t>
  </si>
  <si>
    <t>NAOMI NJERI</t>
  </si>
  <si>
    <t>SILIBWET HEALTH CENTER</t>
  </si>
  <si>
    <t>WANJIRU BORO</t>
  </si>
  <si>
    <t>SUBUKU HEALTH CENTER</t>
  </si>
  <si>
    <t>ANN NJERI</t>
  </si>
  <si>
    <t>SARA &amp; MATHEW DISPENSARY</t>
  </si>
  <si>
    <t>LILIAN MUTUA</t>
  </si>
  <si>
    <t>BAARI HEALTH CENTRE</t>
  </si>
  <si>
    <t>SUSAN WANJIRU MWANGI</t>
  </si>
  <si>
    <t>BETH NYAMBURA</t>
  </si>
  <si>
    <t>WANJOHI HEALTH CENTER</t>
  </si>
  <si>
    <t>DAVID WAWERU</t>
  </si>
  <si>
    <t>MARY NJOKI NGARUIYA</t>
  </si>
  <si>
    <t>MANUNGA HEALTH CENTRE</t>
  </si>
  <si>
    <t>MERCY KAWIRA</t>
  </si>
  <si>
    <t>PURITY MUTHONI</t>
  </si>
  <si>
    <t>SCOLAR GATWIRI</t>
  </si>
  <si>
    <t>CHARITY WANJA</t>
  </si>
  <si>
    <t>GATUNGA MISSION HOSPITAL</t>
  </si>
  <si>
    <t>SUSAN KARIMI</t>
  </si>
  <si>
    <t>ROSE NJERI</t>
  </si>
  <si>
    <t>EMILY MUGAI</t>
  </si>
  <si>
    <t>MARTIN KOOME</t>
  </si>
  <si>
    <t>CHARITY KARAUKI</t>
  </si>
  <si>
    <t>MAGUTUNI HEALTH CENTRE</t>
  </si>
  <si>
    <t>JANE KARIMI MUTEMBEI</t>
  </si>
  <si>
    <t>NANCY KAMBURA</t>
  </si>
  <si>
    <t>MPUKONI HEALTH CENTRE</t>
  </si>
  <si>
    <t>JULIETA MUTHONI</t>
  </si>
  <si>
    <t>MUKOTHIMA HEALTH CENTER</t>
  </si>
  <si>
    <t>RAEL KAGENI</t>
  </si>
  <si>
    <t>JOHN PETER MBAE</t>
  </si>
  <si>
    <t>JULIUS MWATHI</t>
  </si>
  <si>
    <t>THARAKA DISTRICT HOSPITAL</t>
  </si>
  <si>
    <t>MARY KATHUURE</t>
  </si>
  <si>
    <t>GLADYS KATHURE</t>
  </si>
  <si>
    <t>ELLY JOY KANANA</t>
  </si>
  <si>
    <t>DAIZY KAWIRA KAMWARA</t>
  </si>
  <si>
    <t>Kaanwa Health Centre</t>
  </si>
  <si>
    <t>RUFUS MACHARIA NDUMIA</t>
  </si>
  <si>
    <t>Ndaragwa Health Centre</t>
  </si>
  <si>
    <t>LUCY WARIGIA NJERI</t>
  </si>
  <si>
    <t>Weru Health Centre</t>
  </si>
  <si>
    <t>BRIAN KIMATHI</t>
  </si>
  <si>
    <t>Meru District Hospital</t>
  </si>
  <si>
    <t>BRIAN KIMANTHI KINYUA</t>
  </si>
  <si>
    <t>Kianjokoma Health Centre</t>
  </si>
  <si>
    <t>TABITHA KAMENTU</t>
  </si>
  <si>
    <t>MAGDALENE NCHABIRA</t>
  </si>
  <si>
    <t>JENIFFER GATWIRI GENESIO</t>
  </si>
  <si>
    <t xml:space="preserve">KINORO SUB DISTRICT HOSPITAL </t>
  </si>
  <si>
    <t>DENNIS MUCEKE MURIITHI</t>
  </si>
  <si>
    <t>RUNYENJES SUB DISTRICT HOSPITAL</t>
  </si>
  <si>
    <t>CECILY MWINGI MATHAI</t>
  </si>
  <si>
    <t>Embu Provincial General Hospital</t>
  </si>
  <si>
    <t>ANN NJOKI NGUGI</t>
  </si>
  <si>
    <t>HENI HEALTH CENTRE</t>
  </si>
  <si>
    <t>PHONE N0</t>
  </si>
  <si>
    <t>ID NO</t>
  </si>
  <si>
    <t>AMOUNT</t>
  </si>
  <si>
    <t>0371769</t>
  </si>
  <si>
    <t>254743815709</t>
  </si>
  <si>
    <t>254790279632</t>
  </si>
  <si>
    <t>254702033050</t>
  </si>
  <si>
    <t>254717491646</t>
  </si>
  <si>
    <t>254713790873</t>
  </si>
  <si>
    <t>254797130562</t>
  </si>
  <si>
    <t>254718420530</t>
  </si>
  <si>
    <t>254703931300</t>
  </si>
  <si>
    <t>254708704516</t>
  </si>
  <si>
    <t>KINANGOP</t>
  </si>
  <si>
    <t>OLJOROOROK</t>
  </si>
  <si>
    <t>KIPIPIRI</t>
  </si>
  <si>
    <t>OLKALOU</t>
  </si>
  <si>
    <t>NDARAGWA</t>
  </si>
  <si>
    <t>IGAMBA NGOME</t>
  </si>
  <si>
    <t>254710285553</t>
  </si>
  <si>
    <t>254718408378</t>
  </si>
  <si>
    <t>254701462575</t>
  </si>
  <si>
    <t>254718472942</t>
  </si>
  <si>
    <t>254706455089</t>
  </si>
  <si>
    <t>254710902500</t>
  </si>
  <si>
    <t>ZIPPORAH NYOKABI KIHIU</t>
  </si>
  <si>
    <t>kinangop</t>
  </si>
  <si>
    <t>14TH APRIL 2025</t>
  </si>
  <si>
    <t>21st Sept 2001</t>
  </si>
  <si>
    <t>Bachelor of Arts Psychology</t>
  </si>
  <si>
    <t>GLADYS JEPKOECH KAMUREN</t>
  </si>
  <si>
    <t>MONICA GACHERI</t>
  </si>
  <si>
    <t>KIGUMO HEALTH CENTRE</t>
  </si>
  <si>
    <t>CONSOLATA HOSPITAL GITORO</t>
  </si>
  <si>
    <t>GAKOROMONE DISPENSARY</t>
  </si>
  <si>
    <t>CECILY WANYAGA</t>
  </si>
  <si>
    <t>254719434816</t>
  </si>
  <si>
    <t>254720458835</t>
  </si>
  <si>
    <t>254799568903</t>
  </si>
  <si>
    <t>254794128040</t>
  </si>
  <si>
    <t>254711138087</t>
  </si>
  <si>
    <t>254712340754</t>
  </si>
  <si>
    <t>254713542134</t>
  </si>
  <si>
    <t>254728761094</t>
  </si>
  <si>
    <t>254728312113</t>
  </si>
  <si>
    <t>254722491735</t>
  </si>
  <si>
    <t>254725496883</t>
  </si>
  <si>
    <t>254713336231</t>
  </si>
  <si>
    <t>254712483347</t>
  </si>
  <si>
    <t>254720371247</t>
  </si>
  <si>
    <t>254716018448</t>
  </si>
  <si>
    <t>254703492914</t>
  </si>
  <si>
    <t>254727221687</t>
  </si>
  <si>
    <t>254712519372</t>
  </si>
  <si>
    <t>254799335444</t>
  </si>
  <si>
    <t>254722790374</t>
  </si>
  <si>
    <t>254718316621</t>
  </si>
  <si>
    <t>254714103650</t>
  </si>
  <si>
    <t>254727335596</t>
  </si>
  <si>
    <t>254705252348</t>
  </si>
  <si>
    <t>254702208388</t>
  </si>
  <si>
    <t>254724760719</t>
  </si>
  <si>
    <t>254700045923</t>
  </si>
  <si>
    <t>254111391162</t>
  </si>
  <si>
    <t>254706699329</t>
  </si>
  <si>
    <t>254701105536</t>
  </si>
  <si>
    <t>254724092410</t>
  </si>
  <si>
    <t>254794963042</t>
  </si>
  <si>
    <t>254748747190</t>
  </si>
  <si>
    <t>254702407953</t>
  </si>
  <si>
    <t>254718140737</t>
  </si>
  <si>
    <t>254703118905</t>
  </si>
  <si>
    <t>2547031708905</t>
  </si>
  <si>
    <t>WEF 1st Dec 2025</t>
  </si>
  <si>
    <t>ID No</t>
  </si>
  <si>
    <t>TELEPHONE NO.</t>
  </si>
  <si>
    <t>BOARD /COUNCIL</t>
  </si>
  <si>
    <t>PRACTISING LICENCE</t>
  </si>
  <si>
    <t>VALID UNTIL</t>
  </si>
  <si>
    <t>29277305</t>
  </si>
  <si>
    <t>29532453</t>
  </si>
  <si>
    <t>27649593</t>
  </si>
  <si>
    <t>25901759</t>
  </si>
  <si>
    <t>32707047</t>
  </si>
  <si>
    <t>29926608</t>
  </si>
  <si>
    <t>0743819068</t>
  </si>
  <si>
    <t>35654352</t>
  </si>
  <si>
    <t>27523460</t>
  </si>
  <si>
    <t>30517295</t>
  </si>
  <si>
    <t>0705064677</t>
  </si>
  <si>
    <t>0703916327</t>
  </si>
  <si>
    <t>0705571935</t>
  </si>
  <si>
    <t>0745367849</t>
  </si>
  <si>
    <t>0714433564</t>
  </si>
  <si>
    <t>0726212782</t>
  </si>
  <si>
    <t>KMLTTB</t>
  </si>
  <si>
    <t>A013677</t>
  </si>
  <si>
    <t>ID NO.</t>
  </si>
  <si>
    <t>29020822</t>
  </si>
  <si>
    <t>27950054</t>
  </si>
  <si>
    <t>27529467</t>
  </si>
  <si>
    <t>27748033</t>
  </si>
  <si>
    <t>25406229</t>
  </si>
  <si>
    <t>31542196</t>
  </si>
  <si>
    <t>25237889</t>
  </si>
  <si>
    <t>32369317</t>
  </si>
  <si>
    <t>31718570</t>
  </si>
  <si>
    <t>0751222751</t>
  </si>
  <si>
    <t>0704500420</t>
  </si>
  <si>
    <t>0726679913</t>
  </si>
  <si>
    <t>0790765967</t>
  </si>
  <si>
    <t>0702268401</t>
  </si>
  <si>
    <t>0729922170</t>
  </si>
  <si>
    <t>33897606</t>
  </si>
  <si>
    <t>COC</t>
  </si>
  <si>
    <t>Re2466/25</t>
  </si>
  <si>
    <t>Re03538/25</t>
  </si>
  <si>
    <t>Re01172/25</t>
  </si>
  <si>
    <t>Rd01783/23</t>
  </si>
  <si>
    <t>Rc01065/24</t>
  </si>
  <si>
    <t>Re03069/25</t>
  </si>
  <si>
    <t>Rc02795/25</t>
  </si>
  <si>
    <t>Rb01878/25</t>
  </si>
  <si>
    <t>Rc02388/25</t>
  </si>
  <si>
    <t>Rd01285/25</t>
  </si>
  <si>
    <t>Rc00744/25</t>
  </si>
  <si>
    <t>Ra01258/25</t>
  </si>
  <si>
    <t>Rb01879/23</t>
  </si>
  <si>
    <t>Rb01971/23</t>
  </si>
  <si>
    <t>Ra3531/25</t>
  </si>
  <si>
    <t>HRIMB</t>
  </si>
  <si>
    <t>0000012084</t>
  </si>
  <si>
    <t>0000028566</t>
  </si>
  <si>
    <t>0000010876</t>
  </si>
  <si>
    <t>0000012080</t>
  </si>
  <si>
    <t>0000014432</t>
  </si>
  <si>
    <t>29410468</t>
  </si>
  <si>
    <t>24864999</t>
  </si>
  <si>
    <t>24925264</t>
  </si>
  <si>
    <t>31392983</t>
  </si>
  <si>
    <t>28252081</t>
  </si>
  <si>
    <t>30082887</t>
  </si>
  <si>
    <t>24379760</t>
  </si>
  <si>
    <t>28260746</t>
  </si>
  <si>
    <t>31778517</t>
  </si>
  <si>
    <t>27621376</t>
  </si>
  <si>
    <t>32133433</t>
  </si>
  <si>
    <t>32881188</t>
  </si>
  <si>
    <t>22135207</t>
  </si>
  <si>
    <t>24183446</t>
  </si>
  <si>
    <t>0718067022</t>
  </si>
  <si>
    <t>30124661</t>
  </si>
  <si>
    <t>0796329141</t>
  </si>
  <si>
    <t>0711527726</t>
  </si>
  <si>
    <t>32240227</t>
  </si>
  <si>
    <t>Catholic Hospital Wamba MTC</t>
  </si>
  <si>
    <t>PPB</t>
  </si>
  <si>
    <t>PT2025D07968</t>
  </si>
  <si>
    <t>NCK</t>
  </si>
  <si>
    <t>A07434</t>
  </si>
  <si>
    <t>A013197</t>
  </si>
  <si>
    <t>A09534</t>
  </si>
  <si>
    <t>PT2025003936</t>
  </si>
  <si>
    <t>PT2025D06935</t>
  </si>
  <si>
    <t>22312775</t>
  </si>
  <si>
    <t>31149775</t>
  </si>
  <si>
    <t>28745688</t>
  </si>
  <si>
    <t>26791288</t>
  </si>
  <si>
    <t>35760733</t>
  </si>
  <si>
    <t>28007358</t>
  </si>
  <si>
    <t>30899821</t>
  </si>
  <si>
    <t>27139168</t>
  </si>
  <si>
    <t>28774718</t>
  </si>
  <si>
    <t>11257002</t>
  </si>
  <si>
    <t>28960307</t>
  </si>
  <si>
    <t>34213312</t>
  </si>
  <si>
    <t>34238789</t>
  </si>
  <si>
    <t>27289539</t>
  </si>
  <si>
    <t>0724859692</t>
  </si>
  <si>
    <t>24549645</t>
  </si>
  <si>
    <t>31455735</t>
  </si>
  <si>
    <t>27760342</t>
  </si>
  <si>
    <t>29196917</t>
  </si>
  <si>
    <t>27518369</t>
  </si>
  <si>
    <t>34551139</t>
  </si>
  <si>
    <t>23725975</t>
  </si>
  <si>
    <t>26459151</t>
  </si>
  <si>
    <t>25410351</t>
  </si>
  <si>
    <t>13873563</t>
  </si>
  <si>
    <t>24166631</t>
  </si>
  <si>
    <t>22563270</t>
  </si>
  <si>
    <t>20592920</t>
  </si>
  <si>
    <t>29354652</t>
  </si>
  <si>
    <t>36026531</t>
  </si>
  <si>
    <t>COUNSELLING PSYCHOLOGIST</t>
  </si>
  <si>
    <t>27291256</t>
  </si>
  <si>
    <t>OTHER TRAINING</t>
  </si>
  <si>
    <t>28033660</t>
  </si>
  <si>
    <t>32982159</t>
  </si>
  <si>
    <t>25799130</t>
  </si>
  <si>
    <t>Pharmacy &amp; Poisons Board (PPB)</t>
  </si>
  <si>
    <t>Nursing Council of Kenya (NCK)</t>
  </si>
  <si>
    <t>Council of Clinical Officers (COC)</t>
  </si>
  <si>
    <t>Health Records and Information Managers Board (HRIMB)</t>
  </si>
  <si>
    <t>Association of Medical Records Officers (AMRO)</t>
  </si>
  <si>
    <t>PRACTISING LICENCE NO</t>
  </si>
  <si>
    <t>LEAVERS</t>
  </si>
  <si>
    <t>PHARMACEUTICAL TECHNOLOGIST</t>
  </si>
  <si>
    <t xml:space="preserve">NYAMBENE SCH </t>
  </si>
  <si>
    <t>CONSOLATA HOSPITAL, GITORO</t>
  </si>
  <si>
    <t>Kenya Medical Laboratory Technicians &amp; Technologists Board (KMLTTB)</t>
  </si>
  <si>
    <t>Kenya Association of Record Managers &amp; Archivists</t>
  </si>
  <si>
    <t>Certificate in Health Records Management</t>
  </si>
  <si>
    <t>Kenya Registered Community Health Nursing</t>
  </si>
  <si>
    <t>Certificate in Community Health &amp; Hiv Management</t>
  </si>
  <si>
    <t>PHARMACY TECHNOLOGIST - SUPPLY CHAIN</t>
  </si>
  <si>
    <t>0000017816</t>
  </si>
  <si>
    <t>29384441</t>
  </si>
  <si>
    <t>14737144</t>
  </si>
  <si>
    <t>13617924</t>
  </si>
  <si>
    <t>34992803</t>
  </si>
  <si>
    <t>22077169</t>
  </si>
  <si>
    <t>8066652</t>
  </si>
  <si>
    <t>24620972</t>
  </si>
  <si>
    <t>30064039</t>
  </si>
  <si>
    <t>10975820</t>
  </si>
  <si>
    <t>33819214</t>
  </si>
  <si>
    <t>24121586</t>
  </si>
  <si>
    <t>28607525</t>
  </si>
  <si>
    <t>0726930172</t>
  </si>
  <si>
    <t>20th August 2000</t>
  </si>
  <si>
    <t>Diploma in Computer Science</t>
  </si>
  <si>
    <t>Bachelor in Health Records &amp;Information Technology</t>
  </si>
  <si>
    <t>0000027077</t>
  </si>
  <si>
    <t>0000027694</t>
  </si>
  <si>
    <t>0000027674</t>
  </si>
  <si>
    <t>Rc01424/25</t>
  </si>
  <si>
    <t>Rc01973/25</t>
  </si>
  <si>
    <t>Rd02247/25</t>
  </si>
  <si>
    <t>Rb02407/25</t>
  </si>
  <si>
    <t>Rc01425/25</t>
  </si>
  <si>
    <t>PT2025D02110</t>
  </si>
  <si>
    <t>Ra02447/25</t>
  </si>
  <si>
    <t>Rc01932/25</t>
  </si>
  <si>
    <t>Ra03022/25</t>
  </si>
  <si>
    <t>Ra02911/25</t>
  </si>
  <si>
    <t xml:space="preserve">BSC Nursing &amp; Public Health </t>
  </si>
  <si>
    <t>Kenya Institute of Management</t>
  </si>
  <si>
    <t>8th Jan 2024</t>
  </si>
  <si>
    <t>PHARMACEUTICAL  TECHNOLOGIST</t>
  </si>
  <si>
    <t>Diploma in Nursing</t>
  </si>
  <si>
    <t>25203694</t>
  </si>
  <si>
    <t>28714094</t>
  </si>
  <si>
    <t>26171445</t>
  </si>
  <si>
    <t>25872160</t>
  </si>
  <si>
    <t>31588513</t>
  </si>
  <si>
    <t>29169502</t>
  </si>
  <si>
    <t>33005743</t>
  </si>
  <si>
    <t>28469952</t>
  </si>
  <si>
    <t>32864465</t>
  </si>
  <si>
    <t>30046228</t>
  </si>
  <si>
    <t>27711930</t>
  </si>
  <si>
    <t>34062147</t>
  </si>
  <si>
    <t>0702566349</t>
  </si>
  <si>
    <t>22101172</t>
  </si>
  <si>
    <t>0718698431</t>
  </si>
  <si>
    <t>32276757</t>
  </si>
  <si>
    <t>31709382</t>
  </si>
  <si>
    <t>0714130013</t>
  </si>
  <si>
    <t>30910095</t>
  </si>
  <si>
    <t>0704396690</t>
  </si>
  <si>
    <t>0729392658</t>
  </si>
  <si>
    <t>32046281</t>
  </si>
  <si>
    <t>0725909938</t>
  </si>
  <si>
    <t>0714857932</t>
  </si>
  <si>
    <t>0728840770</t>
  </si>
  <si>
    <t>0700588221</t>
  </si>
  <si>
    <t>0703587328,</t>
  </si>
  <si>
    <t>0794554969</t>
  </si>
  <si>
    <t>Rd02108/25</t>
  </si>
  <si>
    <t>Rc02016/25</t>
  </si>
  <si>
    <t>Rb00609/25</t>
  </si>
  <si>
    <t>Re02963/25</t>
  </si>
  <si>
    <t>Rd02867/25</t>
  </si>
  <si>
    <t>Rc02767/25</t>
  </si>
  <si>
    <t>Rf00085/25</t>
  </si>
  <si>
    <t>Re3076/25</t>
  </si>
  <si>
    <t>Re00685/25</t>
  </si>
  <si>
    <t>Ra00189/25</t>
  </si>
  <si>
    <t>Re01097/25</t>
  </si>
  <si>
    <t>Ra3104/25</t>
  </si>
  <si>
    <t>0000030717</t>
  </si>
  <si>
    <t>0000024001</t>
  </si>
  <si>
    <t>0000023685</t>
  </si>
  <si>
    <t>0000030715</t>
  </si>
  <si>
    <t>0000030659</t>
  </si>
  <si>
    <t>PT2025D01896</t>
  </si>
  <si>
    <t>1st Feb 2023</t>
  </si>
  <si>
    <t>34130521</t>
  </si>
  <si>
    <t>0741 408 788</t>
  </si>
  <si>
    <t>0728857679</t>
  </si>
  <si>
    <t>0790517968</t>
  </si>
  <si>
    <t>0743899388</t>
  </si>
  <si>
    <t>Rc01978/25</t>
  </si>
  <si>
    <t>Rc03062/25</t>
  </si>
  <si>
    <t>Ra00150/25</t>
  </si>
  <si>
    <t>Rd01292/25</t>
  </si>
  <si>
    <t>0000030277</t>
  </si>
  <si>
    <t>0000023682</t>
  </si>
  <si>
    <t>A08512</t>
  </si>
  <si>
    <t>PHARMACY TECHNOLOGIST - Supply Chain</t>
  </si>
  <si>
    <t>PT2025D03168</t>
  </si>
  <si>
    <t>Diploma in Analytical Chemistry</t>
  </si>
  <si>
    <t>Kiambu Institute of Science &amp; Technology</t>
  </si>
  <si>
    <t xml:space="preserve"> Diploma in Clinical Medicine &amp; Surgery</t>
  </si>
  <si>
    <t>Mbale School of Clinical Medicine, Uganda 2004</t>
  </si>
  <si>
    <t>254706455632</t>
  </si>
  <si>
    <t>254719552923</t>
  </si>
  <si>
    <t>254705703639</t>
  </si>
  <si>
    <t>254722502756</t>
  </si>
  <si>
    <t>254702833898</t>
  </si>
  <si>
    <t>254797545502</t>
  </si>
  <si>
    <t>254712474367</t>
  </si>
  <si>
    <t>254792542504</t>
  </si>
  <si>
    <t>254712137253</t>
  </si>
  <si>
    <t>254796627658</t>
  </si>
  <si>
    <t>254710388580</t>
  </si>
  <si>
    <t>254714807610</t>
  </si>
  <si>
    <t>254724247115</t>
  </si>
  <si>
    <t>254715213600</t>
  </si>
  <si>
    <t>254725901066</t>
  </si>
  <si>
    <t>254716556196</t>
  </si>
  <si>
    <t>254727247075</t>
  </si>
  <si>
    <t>254729567435</t>
  </si>
  <si>
    <t>254745879920</t>
  </si>
  <si>
    <t>254711119271</t>
  </si>
  <si>
    <t>254700787412</t>
  </si>
  <si>
    <t>254725024120</t>
  </si>
  <si>
    <t>254713860537</t>
  </si>
  <si>
    <t>254724150694</t>
  </si>
  <si>
    <t>254711860678</t>
  </si>
  <si>
    <t>254720446312</t>
  </si>
  <si>
    <t>254711102889</t>
  </si>
  <si>
    <t>254717243068</t>
  </si>
  <si>
    <t>254795686989</t>
  </si>
  <si>
    <t>254716934275</t>
  </si>
  <si>
    <t>254729946620</t>
  </si>
  <si>
    <t>254798285647</t>
  </si>
  <si>
    <t>254720499740</t>
  </si>
  <si>
    <t>254710242008</t>
  </si>
  <si>
    <t>254729773189</t>
  </si>
  <si>
    <t>254704548076</t>
  </si>
  <si>
    <t>254720231281</t>
  </si>
  <si>
    <t>254711906316</t>
  </si>
  <si>
    <t>254729418007</t>
  </si>
  <si>
    <t>254716649912</t>
  </si>
  <si>
    <t>254713924924</t>
  </si>
  <si>
    <t>254719761420</t>
  </si>
  <si>
    <t>254711891265</t>
  </si>
  <si>
    <t>254720798661</t>
  </si>
  <si>
    <t>254757465703</t>
  </si>
  <si>
    <t>254707836316</t>
  </si>
  <si>
    <t>254711222344</t>
  </si>
  <si>
    <t>254702504178</t>
  </si>
  <si>
    <t>254724042716</t>
  </si>
  <si>
    <t>254714684120</t>
  </si>
  <si>
    <t>254715292793</t>
  </si>
  <si>
    <t>254700181832</t>
  </si>
  <si>
    <t>254795212173</t>
  </si>
  <si>
    <t>254711769135</t>
  </si>
  <si>
    <t>254706545146</t>
  </si>
  <si>
    <t>254721306533</t>
  </si>
  <si>
    <t>254717293839</t>
  </si>
  <si>
    <t>254707611804</t>
  </si>
  <si>
    <t>254729175956</t>
  </si>
  <si>
    <t>254716675041</t>
  </si>
  <si>
    <t>254726922866</t>
  </si>
  <si>
    <t>254712890126</t>
  </si>
  <si>
    <t>254769036480</t>
  </si>
  <si>
    <t>254717901161</t>
  </si>
  <si>
    <t>254729084527</t>
  </si>
  <si>
    <t>254704900297</t>
  </si>
  <si>
    <t>254720763086</t>
  </si>
  <si>
    <t>254711363191</t>
  </si>
  <si>
    <t>254713961378</t>
  </si>
  <si>
    <t>254716864107</t>
  </si>
  <si>
    <t>254710212251</t>
  </si>
  <si>
    <t>254701182474</t>
  </si>
  <si>
    <t>254721789992</t>
  </si>
  <si>
    <t>254713631516</t>
  </si>
  <si>
    <t>254718323620</t>
  </si>
  <si>
    <t>254726391251</t>
  </si>
  <si>
    <t>254726720514</t>
  </si>
  <si>
    <t>254702689531</t>
  </si>
  <si>
    <t>254716111789</t>
  </si>
  <si>
    <t>254768347537</t>
  </si>
  <si>
    <t>254716537405</t>
  </si>
  <si>
    <t>254769856119</t>
  </si>
  <si>
    <t>254718452467</t>
  </si>
  <si>
    <t>254729961684</t>
  </si>
  <si>
    <t>254723560359</t>
  </si>
  <si>
    <t>254710188903</t>
  </si>
  <si>
    <t>254740779541</t>
  </si>
  <si>
    <t>254706841387</t>
  </si>
  <si>
    <t>254727058000</t>
  </si>
  <si>
    <t>254713193027</t>
  </si>
  <si>
    <t>254714838580</t>
  </si>
  <si>
    <t>254797420893</t>
  </si>
  <si>
    <t>254712729278</t>
  </si>
  <si>
    <t>254716786257</t>
  </si>
  <si>
    <t>254724658961</t>
  </si>
  <si>
    <t>254729730603</t>
  </si>
  <si>
    <t>254702947449</t>
  </si>
  <si>
    <t>254768731453</t>
  </si>
  <si>
    <t>254724636133</t>
  </si>
  <si>
    <t>254704972550</t>
  </si>
  <si>
    <t>254740174333</t>
  </si>
  <si>
    <t>254700055999</t>
  </si>
  <si>
    <t>JOYCE NYAMBURA</t>
  </si>
  <si>
    <t>BSC Records Management &amp; Information technology</t>
  </si>
  <si>
    <t>Clinical Officers Council (COC)</t>
  </si>
  <si>
    <t>Nursing Council of Kenya</t>
  </si>
  <si>
    <t>Health Records and Information Managers Board</t>
  </si>
  <si>
    <t>Jaramogi Oginga Odinga  University</t>
  </si>
  <si>
    <t>Bachelor of Business Administration - Finance Option</t>
  </si>
  <si>
    <t>34657798</t>
  </si>
  <si>
    <t>0715176284</t>
  </si>
  <si>
    <t>32907328</t>
  </si>
  <si>
    <t>Fridah Wanja</t>
  </si>
  <si>
    <t>Fridah Makena</t>
  </si>
  <si>
    <t>Ann Kamami</t>
  </si>
  <si>
    <t>Anthony Gitonga Kailikia</t>
  </si>
  <si>
    <t>Salome Gacheri Ikiara</t>
  </si>
  <si>
    <t>Joy Makena Mwiti</t>
  </si>
  <si>
    <t>Fridah Wangari Githendu</t>
  </si>
  <si>
    <t>Betty Kananu Kaberia</t>
  </si>
  <si>
    <t>Caroline Gachui Muthee</t>
  </si>
  <si>
    <t xml:space="preserve">Gladys Makena Murea </t>
  </si>
  <si>
    <t>Halima Abdi Hassan</t>
  </si>
  <si>
    <t>Jane Mukwanjeru</t>
  </si>
  <si>
    <t>Lenah Mwaromo Julius</t>
  </si>
  <si>
    <t>Davis Alucheri Jillo</t>
  </si>
  <si>
    <t>Dawn Okelo Awaga</t>
  </si>
  <si>
    <t>Peninah Gatwiri Kubania</t>
  </si>
  <si>
    <t>Salome Kinya Abdi</t>
  </si>
  <si>
    <t>Sarah Mithika Kagwiria</t>
  </si>
  <si>
    <t>Sharon Kendi Mbae</t>
  </si>
  <si>
    <t>Aaron Mwenda Anampiu</t>
  </si>
  <si>
    <t>Susan Kendi Joseph</t>
  </si>
  <si>
    <t>Tonui K Hillary</t>
  </si>
  <si>
    <t>Paul Thuranira Isaac</t>
  </si>
  <si>
    <t>Josephine Kathure Kithinji</t>
  </si>
  <si>
    <t>Everline Nyatichi Nyagwoka</t>
  </si>
  <si>
    <t xml:space="preserve">Stella Gacheri </t>
  </si>
  <si>
    <t>Banis Kathomi Mutembei</t>
  </si>
  <si>
    <t>Beth Wanjiru Kahuha</t>
  </si>
  <si>
    <t>Peter Riungu Gikundi</t>
  </si>
  <si>
    <t>Fridah Kinya</t>
  </si>
  <si>
    <t>Stanley Muthaura Mugambi</t>
  </si>
  <si>
    <t>Athanasius Mugambi Mwiti</t>
  </si>
  <si>
    <t>Peninah Gacheri Kobia</t>
  </si>
  <si>
    <t>Dennis Murangiri Gitari</t>
  </si>
  <si>
    <t xml:space="preserve">Morris Mutuma </t>
  </si>
  <si>
    <t>Paul Mutwiri Kirimi</t>
  </si>
  <si>
    <t>Doreen Kagendo</t>
  </si>
  <si>
    <t>Godfrey Munoru Meme</t>
  </si>
  <si>
    <t>Grace Kinya</t>
  </si>
  <si>
    <t>Peter Muriuki Anampiu</t>
  </si>
  <si>
    <t>Faith Ncugune Kiambi</t>
  </si>
  <si>
    <t>Sophia Nkatha</t>
  </si>
  <si>
    <t xml:space="preserve">Judjoy Kanana Itabari </t>
  </si>
  <si>
    <t>Jacinta Kanario Mpekethu</t>
  </si>
  <si>
    <t>Dyna Muthoni</t>
  </si>
  <si>
    <t xml:space="preserve">Jackline Jerotich Cheptum </t>
  </si>
  <si>
    <t xml:space="preserve">James Njagi Rutere </t>
  </si>
  <si>
    <t>Francis Mugambi Wilson</t>
  </si>
  <si>
    <t>Jeniffer Mwihaki Migwi</t>
  </si>
  <si>
    <t>Fridah Naitore</t>
  </si>
  <si>
    <t>Joy Gatugi</t>
  </si>
  <si>
    <t>Caroline Kananu Thambura</t>
  </si>
  <si>
    <t>Joy Koreta Meme</t>
  </si>
  <si>
    <t>Jackline Gatwiri Kimencu</t>
  </si>
  <si>
    <t>Lenity Mukami Kirimi</t>
  </si>
  <si>
    <t>Doreen Kawira Michubu</t>
  </si>
  <si>
    <t>Keddy Kanana Ngeera</t>
  </si>
  <si>
    <t>Lynette Gakii Mutua</t>
  </si>
  <si>
    <t>Dickens Koome Maruri</t>
  </si>
  <si>
    <t>Faith Kanja Kamairuu</t>
  </si>
  <si>
    <t>Peninah Mwendwa</t>
  </si>
  <si>
    <t>Agnes Gakii Mutuma</t>
  </si>
  <si>
    <t>Magdaline Mueke Mutua</t>
  </si>
  <si>
    <t>Winfred Kanyua Mwirabua</t>
  </si>
  <si>
    <t>Lucyline Gatwiri Nkonge</t>
  </si>
  <si>
    <t>Fridah Kendi</t>
  </si>
  <si>
    <t>Juster Kendi</t>
  </si>
  <si>
    <t>Doreen Njura Guteta</t>
  </si>
  <si>
    <t>Pamela Nkatha Nkubu</t>
  </si>
  <si>
    <t>Roselyne Kendi Kabiringu</t>
  </si>
  <si>
    <t>Millicent Mukami</t>
  </si>
  <si>
    <t>Beth Kendi</t>
  </si>
  <si>
    <t>Joy Kagwiria Kaunga</t>
  </si>
  <si>
    <t>Kestine Kagweni Phares</t>
  </si>
  <si>
    <t>Norah Mwendwa Ringera</t>
  </si>
  <si>
    <t>Caroline Wanja Kibetu</t>
  </si>
  <si>
    <t>Mercy  Nkatha Murungi</t>
  </si>
  <si>
    <t>Emmanuel Mwenda M'Mauta</t>
  </si>
  <si>
    <t>Martin Kimathi</t>
  </si>
  <si>
    <t>Patrick Mutua Karuti</t>
  </si>
  <si>
    <t>Dorothy Ntinyari</t>
  </si>
  <si>
    <t>Kennedy Kaunda Kisilu</t>
  </si>
  <si>
    <t>Josphine Kananu</t>
  </si>
  <si>
    <t>Leah Muthoni Muchori</t>
  </si>
  <si>
    <t>Willy Gichunge Maeria</t>
  </si>
  <si>
    <t>Rael Mukiria Arimba</t>
  </si>
  <si>
    <t>Dorcas Amatine Oranga</t>
  </si>
  <si>
    <t>Lois Mulekyo Kyalo</t>
  </si>
  <si>
    <t>Eva Karimi Kimaita</t>
  </si>
  <si>
    <t>Kelvin Mwenda Gitari</t>
  </si>
  <si>
    <t>Immaculate Njeri Mwangi</t>
  </si>
  <si>
    <t xml:space="preserve">Moreen Kendi </t>
  </si>
  <si>
    <t>Caroline Kathure Koome</t>
  </si>
  <si>
    <t>Stephen Kimani Mwongera</t>
  </si>
  <si>
    <t>Gloria Mukami Njue</t>
  </si>
  <si>
    <t>Tonny Kimathi Peter</t>
  </si>
  <si>
    <t>Polly Kagwiria Murithi</t>
  </si>
  <si>
    <t>Christine Wanjiku Gichangi</t>
  </si>
  <si>
    <t>Mary Kabeti</t>
  </si>
  <si>
    <t>Alex Kaibiria Kanake</t>
  </si>
  <si>
    <t>Brenda Ntinyari Koome</t>
  </si>
  <si>
    <t>Brian Mbaabu Muriuki</t>
  </si>
  <si>
    <t>Daniel Muthomi Kiome</t>
  </si>
  <si>
    <t>Albert Mwendia Mithamo</t>
  </si>
  <si>
    <t>KMPDC</t>
  </si>
  <si>
    <t>Unregulated</t>
  </si>
  <si>
    <t>regb</t>
  </si>
  <si>
    <t>Regb</t>
  </si>
  <si>
    <t>EMAIL</t>
  </si>
  <si>
    <t>lengima9@gmail.com</t>
  </si>
  <si>
    <t>ANN MERRY KINYA KABURU</t>
  </si>
  <si>
    <t>beatricewangui136@gmail.com</t>
  </si>
  <si>
    <t>merrykaburu@gmail.com</t>
  </si>
  <si>
    <t>candygakimaina@gmail.com</t>
  </si>
  <si>
    <t>dianamoraa257@gmail.com</t>
  </si>
  <si>
    <t>Kenya Registered Community Health Nurse</t>
  </si>
  <si>
    <t>Serein Educational Centre</t>
  </si>
  <si>
    <t>bemo.me16@gmail.com</t>
  </si>
  <si>
    <t>27480282</t>
  </si>
  <si>
    <t>16th April 1988</t>
  </si>
  <si>
    <t>Advance Diploma in Psychology &amp; Counselling</t>
  </si>
  <si>
    <t>Bachelor of Business &amp; Management, Nascop HTC PROVIDER</t>
  </si>
  <si>
    <t>elizanduku92@gmail.com</t>
  </si>
  <si>
    <t>pharmacy and Poisons Board ((PPB)</t>
  </si>
  <si>
    <t>BU2025d06985</t>
  </si>
  <si>
    <t>wanguiemily43@gmail.com</t>
  </si>
  <si>
    <t>Bachelor of Arts in Community Development</t>
  </si>
  <si>
    <t>29884256</t>
  </si>
  <si>
    <t>evanskiprotich8@gmail.com</t>
  </si>
  <si>
    <t>ahmilkims45@gmail.com</t>
  </si>
  <si>
    <t>gladyskamuren@gmail.com</t>
  </si>
  <si>
    <t>gbiwott99@gmail.com</t>
  </si>
  <si>
    <t>gladysnyakeru@gmail.com</t>
  </si>
  <si>
    <t>22nd March 2000</t>
  </si>
  <si>
    <t>IGEMBE sOUTH</t>
  </si>
  <si>
    <t>NTHAMBIRO DISPENSARY</t>
  </si>
  <si>
    <t xml:space="preserve">ST JOHN OF GOD </t>
  </si>
  <si>
    <t xml:space="preserve">ST. JOHN OF GOD </t>
  </si>
  <si>
    <t>0701788724</t>
  </si>
  <si>
    <t>0000030941</t>
  </si>
  <si>
    <t>Re03559/25</t>
  </si>
  <si>
    <t>0000030972</t>
  </si>
  <si>
    <t>janetokiru522@yahoo.com</t>
  </si>
  <si>
    <t>28684206</t>
  </si>
  <si>
    <t>jamesmuigai52@gmail.com</t>
  </si>
  <si>
    <t>kuikamande@gmail.com</t>
  </si>
  <si>
    <t>janegito27@gmail.com</t>
  </si>
  <si>
    <t>kurialilian84@gmail.com</t>
  </si>
  <si>
    <t>kimethuke@gmail.com</t>
  </si>
  <si>
    <t>HIV AIDs TOT, Nascop HTC</t>
  </si>
  <si>
    <t>mungojoo@gmail.com</t>
  </si>
  <si>
    <t>24th Oct 1980</t>
  </si>
  <si>
    <t>mwangimargaret561@gmail.com</t>
  </si>
  <si>
    <t>kasavimaina20@gmail.com</t>
  </si>
  <si>
    <t>martinkamau329@gmail.com</t>
  </si>
  <si>
    <t>martinkamau320@gmail.com</t>
  </si>
  <si>
    <t>maryann.ma794@gmail.com</t>
  </si>
  <si>
    <t>0769060562</t>
  </si>
  <si>
    <t>marymburu98@gmail.com</t>
  </si>
  <si>
    <t>ogolamercy40@gmail.com</t>
  </si>
  <si>
    <t>mercykaburio@gmail.com</t>
  </si>
  <si>
    <t>miriammaina92@gmail.com</t>
  </si>
  <si>
    <t>3rd march 1992</t>
  </si>
  <si>
    <t>certificate in HTC</t>
  </si>
  <si>
    <t>milkibe@gmail.com</t>
  </si>
  <si>
    <t>mosesrng@yahoo.com</t>
  </si>
  <si>
    <t>nelliewairi@gmail.com</t>
  </si>
  <si>
    <t>maingi843@gmail.com</t>
  </si>
  <si>
    <t>p.kageta@gmail.com</t>
  </si>
  <si>
    <t>samwelnderitu9@gmail.com</t>
  </si>
  <si>
    <t>sweenshilavula@gmail.com</t>
  </si>
  <si>
    <t>tessykago@gmail.com</t>
  </si>
  <si>
    <t>1st march 1988</t>
  </si>
  <si>
    <t>KCA University</t>
  </si>
  <si>
    <t>VELLA CHEROTICH OKEYO</t>
  </si>
  <si>
    <t>evalinecherotich58@gmail.com</t>
  </si>
  <si>
    <t>viclyd17@gmail.com</t>
  </si>
  <si>
    <t>willimugo97@gmail.com</t>
  </si>
  <si>
    <t>kihiuzipporah2020@gmail.com</t>
  </si>
  <si>
    <t>wamuiwinnie@gmail.com</t>
  </si>
  <si>
    <t>carolynnwambui@gmail.com</t>
  </si>
  <si>
    <t>nyakioo700@gmail.com</t>
  </si>
  <si>
    <t>3rd Aug 1993</t>
  </si>
  <si>
    <t>07105255448</t>
  </si>
  <si>
    <t>kaurekinyanjui@gmail.com</t>
  </si>
  <si>
    <t>drichu7@gmail.com</t>
  </si>
  <si>
    <t>3rd Sept 1995</t>
  </si>
  <si>
    <t>mainadwambui@gmail.com</t>
  </si>
  <si>
    <t>resigned</t>
  </si>
  <si>
    <t>dianahkkangwana@gmail.com</t>
  </si>
  <si>
    <t>emukethak@gmail.com</t>
  </si>
  <si>
    <t>eunicengugi23@gmail.com</t>
  </si>
  <si>
    <t>faithgaikia94@gmail.com</t>
  </si>
  <si>
    <t>muturifiddey@gmail.com</t>
  </si>
  <si>
    <t>Ra03531/25</t>
  </si>
  <si>
    <t>fkagwimah23.fk2gmail.com</t>
  </si>
  <si>
    <t>0716333908</t>
  </si>
  <si>
    <t>jnjogu15@gmail.com</t>
  </si>
  <si>
    <t>0713516576</t>
  </si>
  <si>
    <t>janemugechi@gmail.com</t>
  </si>
  <si>
    <t>janethkips@gmail.com</t>
  </si>
  <si>
    <t>jonniekamau1@gmail.com</t>
  </si>
  <si>
    <t>jonnydkamau20@gmail.com</t>
  </si>
  <si>
    <t>8537393</t>
  </si>
  <si>
    <t>jwgitao@yahoo.com</t>
  </si>
  <si>
    <t>judygitau33@gmail.com</t>
  </si>
  <si>
    <t>0708349362</t>
  </si>
  <si>
    <t>judytomno@gmail.com</t>
  </si>
  <si>
    <t>22851816</t>
  </si>
  <si>
    <t>lwaithe2014@gmail.com</t>
  </si>
  <si>
    <t>0724585643</t>
  </si>
  <si>
    <t>mary.tyler45@yahoo.com</t>
  </si>
  <si>
    <t>mbaitinyambura@gmail.com</t>
  </si>
  <si>
    <t>mwmuyah@gmail.com</t>
  </si>
  <si>
    <t>kamorepeter.w2gmail.com</t>
  </si>
  <si>
    <t>wanjirakingara10@gmail.com</t>
  </si>
  <si>
    <t>rahabmuiru@gmail.com</t>
  </si>
  <si>
    <t>rosewangari45@yahoo.com</t>
  </si>
  <si>
    <t>msalomemuthoni@gmail.com</t>
  </si>
  <si>
    <t>suemwas45@gmail.com</t>
  </si>
  <si>
    <t>susanwangui076@gmail.com</t>
  </si>
  <si>
    <t>trizamanjane@gmail.com</t>
  </si>
  <si>
    <t>karanjat580@gmail.com</t>
  </si>
  <si>
    <t>0724902630</t>
  </si>
  <si>
    <t>VIOLET WAIRIMU NDERITU</t>
  </si>
  <si>
    <t>Willykiplangat1726@gmail.com</t>
  </si>
  <si>
    <t>1st jan 1987</t>
  </si>
  <si>
    <t>mungaij640@gmail.com</t>
  </si>
  <si>
    <t>31st may 1997</t>
  </si>
  <si>
    <t>Bachelor of Divinity</t>
  </si>
  <si>
    <t>St. Paul's University</t>
  </si>
  <si>
    <t>ikinyagrace@gmail.com</t>
  </si>
  <si>
    <t>reenkyule@gmail.com</t>
  </si>
  <si>
    <t>LVCT</t>
  </si>
  <si>
    <t>Rb01575/25</t>
  </si>
  <si>
    <t>3rd Sept 1993</t>
  </si>
  <si>
    <t xml:space="preserve">dorothyntinyari@gmail.com </t>
  </si>
  <si>
    <t>mwendaemmanuel07@gmail.com</t>
  </si>
  <si>
    <t>faithkanjak@gmail.com</t>
  </si>
  <si>
    <t>francismugambi1994@gmail.com</t>
  </si>
  <si>
    <t>faithkiambi5@gmail.com</t>
  </si>
  <si>
    <t>kendifridah19996@gmail.com</t>
  </si>
  <si>
    <t>makenafrida80@yahoo.com</t>
  </si>
  <si>
    <t>fridahnaitore45@gmail.com</t>
  </si>
  <si>
    <t>wangagithendu165@gmail.com</t>
  </si>
  <si>
    <t>friwanj@gmail.com</t>
  </si>
  <si>
    <t xml:space="preserve">makenagladys1997@gmail.com </t>
  </si>
  <si>
    <t>mukamiwakonji@gmail.com</t>
  </si>
  <si>
    <t>Diploma in Pharmacy</t>
  </si>
  <si>
    <t>godfreymunoru@gmail.com</t>
  </si>
  <si>
    <t>halimazarish@gmail.com</t>
  </si>
  <si>
    <t>njerrimmah@gmail.com</t>
  </si>
  <si>
    <t xml:space="preserve">Ruth Philip Inokobia </t>
  </si>
  <si>
    <t>jacklinekamencu2018@gmail.com</t>
  </si>
  <si>
    <t>dyna.muthoni@gmail.com</t>
  </si>
  <si>
    <t>mutindwajane@gmail.com</t>
  </si>
  <si>
    <t>jospjinekathure18@gmail.com</t>
  </si>
  <si>
    <t>josphinekananu1988@gmail.com</t>
  </si>
  <si>
    <t>joykagwiriag@gmail.com</t>
  </si>
  <si>
    <t>0724036289</t>
  </si>
  <si>
    <t>joymake44@yahoo.com</t>
  </si>
  <si>
    <t>kendijuster13@gmail.com</t>
  </si>
  <si>
    <t>kelvinmwe2015@gmail.com</t>
  </si>
  <si>
    <t>kenkauu@gmail.com</t>
  </si>
  <si>
    <t>kestinekagweni@gmail.com</t>
  </si>
  <si>
    <t>muchorileah@gmail.com</t>
  </si>
  <si>
    <t>lenahmaromo@gmail.com</t>
  </si>
  <si>
    <t>lenitymukami4@gmail.com</t>
  </si>
  <si>
    <t>louiskyalo@gmail.com</t>
  </si>
  <si>
    <t>gaklynn@yahoo.com</t>
  </si>
  <si>
    <t>maggyonuarite@gmail.com</t>
  </si>
  <si>
    <t>kimathim23@gmail.com</t>
  </si>
  <si>
    <t>mercynkatha944@gmail.com</t>
  </si>
  <si>
    <t>25TH May 1978</t>
  </si>
  <si>
    <t>Mathew Mutuma Ntonja</t>
  </si>
  <si>
    <t>mathewmutuma@gmail.com</t>
  </si>
  <si>
    <t>moreenkendi30@gmail.com</t>
  </si>
  <si>
    <t>kirujamorris@gmail.com</t>
  </si>
  <si>
    <t>Rb00926/25</t>
  </si>
  <si>
    <t>Nelson Kamande Ng'ang'a</t>
  </si>
  <si>
    <t>nehexkam@gmail.com</t>
  </si>
  <si>
    <t>pamzonkubu11@gmail.com</t>
  </si>
  <si>
    <t>mutuapatrick93@gmail.com</t>
  </si>
  <si>
    <t>27TH June 1996</t>
  </si>
  <si>
    <t>paulkirimi45@gmail.com</t>
  </si>
  <si>
    <t>paulthuras254@gmail.com</t>
  </si>
  <si>
    <t>peninahgacheri312@yahoo.com</t>
  </si>
  <si>
    <t>peninah.twish@gmail.com</t>
  </si>
  <si>
    <t>mwendwapeninah93@gmail.com</t>
  </si>
  <si>
    <t>peteranampiu7@gmail.com</t>
  </si>
  <si>
    <t>gikundiriungu@gmail.com</t>
  </si>
  <si>
    <t>pollykagwiria98@gmail.com</t>
  </si>
  <si>
    <t>22nd May 1996</t>
  </si>
  <si>
    <t>Rosechristiner Watetu Karemi</t>
  </si>
  <si>
    <t>rosewatetu84@gmail.com</t>
  </si>
  <si>
    <t>roselinekendi70@gmail.com</t>
  </si>
  <si>
    <t>ruthphilip17@gmail.com</t>
  </si>
  <si>
    <t>4th Dec 1984</t>
  </si>
  <si>
    <t>salomegacheri14@gmail.com</t>
  </si>
  <si>
    <t>sallyabdih@gmail.com</t>
  </si>
  <si>
    <t>sarah.kagwi87@gmail.com</t>
  </si>
  <si>
    <t>kendisharon96@gmail.com</t>
  </si>
  <si>
    <t>sophiemikson@yahoo.com</t>
  </si>
  <si>
    <t>mugambistanley14@gmail.com</t>
  </si>
  <si>
    <t>stellaygacheri@gmail.com</t>
  </si>
  <si>
    <t>winfredmwirabua@yahoo.com</t>
  </si>
  <si>
    <t>willygichunge@gmail.com</t>
  </si>
  <si>
    <t>tonuihillary13@gmail.com</t>
  </si>
  <si>
    <t>susankendi694@gmail.com</t>
  </si>
  <si>
    <t>anampiuaaron@gmail.com</t>
  </si>
  <si>
    <t>aggiga954@gmail.com</t>
  </si>
  <si>
    <t>kaibiriaalex@gmail.com</t>
  </si>
  <si>
    <t>mwitimugambi88@gmail.com</t>
  </si>
  <si>
    <t>baniskathomi@gmail.com</t>
  </si>
  <si>
    <t>bethkendi32@gmail.com</t>
  </si>
  <si>
    <t>bethwanjiru2030@gmail.com</t>
  </si>
  <si>
    <t>brendanyari@gmail.com</t>
  </si>
  <si>
    <t>m.brianmuriuki97@gmail.com</t>
  </si>
  <si>
    <t>carolkaranu2014@gmail.com</t>
  </si>
  <si>
    <t>koomejuster@gmail.com</t>
  </si>
  <si>
    <t>kibwan85@gmail.com</t>
  </si>
  <si>
    <t>christinegichangi@yahoo.com</t>
  </si>
  <si>
    <t>danielmuthomi195@gmail.com</t>
  </si>
  <si>
    <t>dennisgitari01@gmail.com</t>
  </si>
  <si>
    <t>koomedicken@gmail.com</t>
  </si>
  <si>
    <t>orangadorcas@gmail.com</t>
  </si>
  <si>
    <t>kagendodoreen271@yahoo.com</t>
  </si>
  <si>
    <t>doreenvalerio1@gmail.com</t>
  </si>
  <si>
    <t>gutetadoreenki@gmail.com</t>
  </si>
  <si>
    <t>kimaitaeva@gmail.com</t>
  </si>
  <si>
    <t>tonnykimathipeter@gmail.com</t>
  </si>
  <si>
    <t>annkamamir@gmail.com</t>
  </si>
  <si>
    <t>gitonganto88@gmail.com</t>
  </si>
  <si>
    <t>0708293624</t>
  </si>
  <si>
    <t>kananubetty4@gmail.com</t>
  </si>
  <si>
    <t>davisjilloo@gmail.com</t>
  </si>
  <si>
    <t>donokelo@gmail.com</t>
  </si>
  <si>
    <t>'0718920777</t>
  </si>
  <si>
    <t>nyatichieverline@gmail.com</t>
  </si>
  <si>
    <t>gracekinya2@gmail.com</t>
  </si>
  <si>
    <t>fridahkinya63@gmail.com</t>
  </si>
  <si>
    <t>jkanario006@gmail.com</t>
  </si>
  <si>
    <t>jackyjerotich1@gmail.com</t>
  </si>
  <si>
    <t>rutereg@gmail.com</t>
  </si>
  <si>
    <t>jeniffermigwi1973@gmail.com</t>
  </si>
  <si>
    <t>jgatugi@gmail.com</t>
  </si>
  <si>
    <t>0715162135</t>
  </si>
  <si>
    <t>joykoreta@gmail.com</t>
  </si>
  <si>
    <t>judjoyjjnana@gmail.com</t>
  </si>
  <si>
    <t>keddykananangeera@gmail.com</t>
  </si>
  <si>
    <t>gachuicaroline8@gmail.com</t>
  </si>
  <si>
    <t>0797782715</t>
  </si>
  <si>
    <t>albertmwendia47@gmail.com</t>
  </si>
  <si>
    <t>Bachelor of Science in Computer Science</t>
  </si>
  <si>
    <t>millicentmukami1993@gmail.com</t>
  </si>
  <si>
    <t>raelmukiri70@gmail.com</t>
  </si>
  <si>
    <t>ANN GATWIRI MBAKA</t>
  </si>
  <si>
    <t>Diploma in Community Nutrition, KMTC</t>
  </si>
  <si>
    <t>BSC in Health Records &amp; Information Management</t>
  </si>
  <si>
    <t xml:space="preserve">          </t>
  </si>
  <si>
    <t>1st jan 1974</t>
  </si>
  <si>
    <t>ART Adherence counselling Training</t>
  </si>
  <si>
    <t>nhildanjir@gmail.com</t>
  </si>
  <si>
    <t>muchiriraingo@gmailcom</t>
  </si>
  <si>
    <t>ikarimi38@gmail.com</t>
  </si>
  <si>
    <t>jacintanjeru73@yahoo.com</t>
  </si>
  <si>
    <t>jacintamuthonij@gmail.com</t>
  </si>
  <si>
    <t>jameskafiroo@gmail.com</t>
  </si>
  <si>
    <t>joeyckoi@gmail.com</t>
  </si>
  <si>
    <t>JUDITA MURUGI KINYUA</t>
  </si>
  <si>
    <t>juditamurugi@gmail.com</t>
  </si>
  <si>
    <t>kellenwaj@yahoo.com</t>
  </si>
  <si>
    <t>klvnmanase@gmail.com</t>
  </si>
  <si>
    <t>KENNETH MUGAMBI TITUS</t>
  </si>
  <si>
    <t>kennehmugambi12@gmail.com</t>
  </si>
  <si>
    <t>lnjeru11@gmail.com</t>
  </si>
  <si>
    <t>mwilusalia88@gmail.com</t>
  </si>
  <si>
    <t>pwawirandambiri@gmail.com</t>
  </si>
  <si>
    <t>Diploma in Health Records &amp; Information Technology, KMTC 2014</t>
  </si>
  <si>
    <t>wairimuruth394@gmail.com</t>
  </si>
  <si>
    <t>salomenjoki52@gmail.com</t>
  </si>
  <si>
    <t>jgakiimuriungi@gmail.com</t>
  </si>
  <si>
    <t>NASCOP HTC</t>
  </si>
  <si>
    <t>lydiawawira116@gmail.com</t>
  </si>
  <si>
    <t>0702969933</t>
  </si>
  <si>
    <t>mwami254@gmail.com</t>
  </si>
  <si>
    <t>0700-45406</t>
  </si>
  <si>
    <t>pesykuria@gmail.com</t>
  </si>
  <si>
    <t>peterkivuti@gmail.com</t>
  </si>
  <si>
    <t>wawirapolly7@yahoo.com</t>
  </si>
  <si>
    <t>rosendidz90@gmail.com</t>
  </si>
  <si>
    <t>weddswawira@gmail.com</t>
  </si>
  <si>
    <t>0718727301</t>
  </si>
  <si>
    <t>lucymbindye@gmail.com</t>
  </si>
  <si>
    <t>16TH JAN 1991</t>
  </si>
  <si>
    <t>back to school</t>
  </si>
  <si>
    <t>wakiogladys86@gmail.com</t>
  </si>
  <si>
    <t>francistajeu24@gmail.com</t>
  </si>
  <si>
    <t>wanjiramuchira@gmail.com</t>
  </si>
  <si>
    <t>athanasionjiru@gmail.com</t>
  </si>
  <si>
    <t>mbathacornel@gmail.com</t>
  </si>
  <si>
    <t>dorissaidi9@gmail.com</t>
  </si>
  <si>
    <t>johnpetermurimi@gmail.com</t>
  </si>
  <si>
    <t>mercienyari150@gmail.com</t>
  </si>
  <si>
    <t>newtonmaina80@gmail.com</t>
  </si>
  <si>
    <t>EMAIL ADDRESS</t>
  </si>
  <si>
    <t>alicenjeri75@gmail.com</t>
  </si>
  <si>
    <t>annjoykanake1@gmail.com</t>
  </si>
  <si>
    <t>kajuju78@gmail.com</t>
  </si>
  <si>
    <t>Diploma in Community Health &amp; HIV AIDS Management</t>
  </si>
  <si>
    <t xml:space="preserve">consolatammugambi@gmail.com </t>
  </si>
  <si>
    <t>dnokarani@gmail.com</t>
  </si>
  <si>
    <t>27th July 1994</t>
  </si>
  <si>
    <t>evalynewairimu86@gmail.com</t>
  </si>
  <si>
    <t>faithmuchira@gmail.com</t>
  </si>
  <si>
    <t>Diploma in Medical Laboratory Sciences</t>
  </si>
  <si>
    <t>nyaberahumphrey@gmail.com</t>
  </si>
  <si>
    <t>Diploma of Higher Education in Palliative Care</t>
  </si>
  <si>
    <t>Re00823/25</t>
  </si>
  <si>
    <t>isabellahkarema@gmail.com</t>
  </si>
  <si>
    <t>Diploma in Kenya Registered Community Health Nursing</t>
  </si>
  <si>
    <t>jgatwiri50@gmail.com</t>
  </si>
  <si>
    <t>6th April 1996</t>
  </si>
  <si>
    <t>Certificate in Science Laboratory Technology</t>
  </si>
  <si>
    <t>Rc02095/25</t>
  </si>
  <si>
    <t>jeanireri3@gmail.com</t>
  </si>
  <si>
    <t>josmunuve166@gmail.com</t>
  </si>
  <si>
    <t>Diploma in Community Health &amp; HIV Management</t>
  </si>
  <si>
    <t>judynjagi16@gmail.com</t>
  </si>
  <si>
    <t>lanahmaks@gmail.com</t>
  </si>
  <si>
    <t>MARTIN KARANI MURITHI</t>
  </si>
  <si>
    <t>MMURITHI99@GMAIL.COM</t>
  </si>
  <si>
    <t>martin.g.m962@gmail.com</t>
  </si>
  <si>
    <t>Certificate KMTC 2010</t>
  </si>
  <si>
    <t>karaythi@gmail.com</t>
  </si>
  <si>
    <t>keekmercy@gmail.com</t>
  </si>
  <si>
    <t>Nkabune institute</t>
  </si>
  <si>
    <t>nancynyaga@gmail.com</t>
  </si>
  <si>
    <t xml:space="preserve">Nascop HTC; </t>
  </si>
  <si>
    <t>pmarangu2018@gmail.com</t>
  </si>
  <si>
    <t>MUMBUNI DISPENSARY</t>
  </si>
  <si>
    <t>Diploma in clinical Medicine &amp; Surgery, KMTC 2011</t>
  </si>
  <si>
    <t>sammienjogu8@gmail.com</t>
  </si>
  <si>
    <t>Diploma on Theology</t>
  </si>
  <si>
    <t>Presbyterian college</t>
  </si>
  <si>
    <t>stlsonnie@gmail.com</t>
  </si>
  <si>
    <t>willymurithi96@gmail.com</t>
  </si>
  <si>
    <t>Certificate KMTC 2018</t>
  </si>
  <si>
    <t>kambuawinfred5@gmail.com</t>
  </si>
  <si>
    <t>KMTC 2027</t>
  </si>
  <si>
    <t>Certificate KMTC 2014</t>
  </si>
  <si>
    <t>nicoletakaregi@gmail.com</t>
  </si>
  <si>
    <t>mutembeiy48@gmail.com</t>
  </si>
  <si>
    <t>irenenjagi20@gmail.com</t>
  </si>
  <si>
    <t>0759114192</t>
  </si>
  <si>
    <t>dianamuthoni449@gmail.com</t>
  </si>
  <si>
    <t>hrnjoka@yahoo.com</t>
  </si>
  <si>
    <t>jamesbeeh@gmail.com</t>
  </si>
  <si>
    <t>Diploma in Environmental Health Sciences</t>
  </si>
  <si>
    <t>30986572</t>
  </si>
  <si>
    <t>liliannjue@gmail.com</t>
  </si>
  <si>
    <t>monicahkainyu96@gmail.com</t>
  </si>
  <si>
    <t>26116981</t>
  </si>
  <si>
    <t>rispernkatha.rn@gmail.com</t>
  </si>
  <si>
    <t>14721788</t>
  </si>
  <si>
    <t>violetayuma98@gmail.com</t>
  </si>
  <si>
    <r>
      <t>prudencekorir</t>
    </r>
    <r>
      <rPr>
        <b/>
        <sz val="9"/>
        <color rgb="FFFF0000"/>
        <rFont val="Gill Sans MT"/>
        <family val="2"/>
      </rPr>
      <t>il.com</t>
    </r>
  </si>
  <si>
    <t>githusussy@gmail.com</t>
  </si>
  <si>
    <t>anngatwiri227@gmail.com</t>
  </si>
  <si>
    <t>bentanyawira678@gmail.com&gt;</t>
  </si>
  <si>
    <t>bethkhims@gmail.com</t>
  </si>
  <si>
    <t>muthoniemili45@gmail.com</t>
  </si>
  <si>
    <t>njogubeatrice36@gmail.com</t>
  </si>
  <si>
    <t>emukami73@yahoo.com</t>
  </si>
  <si>
    <t>carolshiro39@gmail.com</t>
  </si>
  <si>
    <t>daviendwiga@gmail.com</t>
  </si>
  <si>
    <t>murithidennis69@gmail.com</t>
  </si>
  <si>
    <t>festusfrncs@gmail.com</t>
  </si>
  <si>
    <t>nyagaflo80@gmail.com&gt;</t>
  </si>
  <si>
    <t>pharesgladyskananu@gmail.com</t>
  </si>
  <si>
    <t>0711589426</t>
  </si>
  <si>
    <t>stephenkigotho@gmail.com</t>
  </si>
  <si>
    <t>status</t>
  </si>
  <si>
    <t>Clinical Officers Council</t>
  </si>
  <si>
    <t>Pharmacy and Poisons Board</t>
  </si>
  <si>
    <t>Kenya Medical Laboratory Technicians and Technologists Board (KMLTTB)</t>
  </si>
  <si>
    <t>REGULATORY BODY</t>
  </si>
  <si>
    <t>23954399</t>
  </si>
  <si>
    <t>lucylinegatwiri@gmail.com</t>
  </si>
  <si>
    <t>stephenmwongera89@gmail.com</t>
  </si>
  <si>
    <t>Diploma in HIV AIDS &amp; Management</t>
  </si>
  <si>
    <t>telephone</t>
  </si>
  <si>
    <t xml:space="preserve">ID </t>
  </si>
  <si>
    <t>PROP</t>
  </si>
  <si>
    <t>Ann Gatwiri Mbaka</t>
  </si>
  <si>
    <t>Athanasio Njiru Mwangangi</t>
  </si>
  <si>
    <t>Beatrice Muthoni Njogu</t>
  </si>
  <si>
    <t>Benta Nyawira Ngari</t>
  </si>
  <si>
    <t>Beth Nduta Njeri</t>
  </si>
  <si>
    <t>Caroline Mukami Muriithi</t>
  </si>
  <si>
    <t>Caroline Wanjiru Njeru</t>
  </si>
  <si>
    <t>Cornelius Mbatha Musyimi</t>
  </si>
  <si>
    <t>David Ndwiga Ngai</t>
  </si>
  <si>
    <t>Dennis Murithi Njeru</t>
  </si>
  <si>
    <t>Doris Mulongo Saidi</t>
  </si>
  <si>
    <t>Dorothy Wanjira Muchira</t>
  </si>
  <si>
    <t>Emily Muthoni Kirango</t>
  </si>
  <si>
    <t>Festus Mugendi Francis</t>
  </si>
  <si>
    <t>Florence Nyaga</t>
  </si>
  <si>
    <t>Francis Tajeu Rimoine</t>
  </si>
  <si>
    <t>Gladys Kananu Phares</t>
  </si>
  <si>
    <t>Gladys Wakio Mugo</t>
  </si>
  <si>
    <t>Harrison Muchiri Raingo</t>
  </si>
  <si>
    <t>Hildah Njoki Njiru</t>
  </si>
  <si>
    <t>Jacinta Muthanje Njeru</t>
  </si>
  <si>
    <t>Jacinta Muthoni Justus</t>
  </si>
  <si>
    <t>James Karibu Mucheru</t>
  </si>
  <si>
    <t>Jane Gakii Muriungi</t>
  </si>
  <si>
    <t>John Peter Muriuki</t>
  </si>
  <si>
    <t>Joyce Wangoi Kang'Ethe</t>
  </si>
  <si>
    <t>Judita Murugi Kinyua</t>
  </si>
  <si>
    <t>Kellen Wanjiru Ndambiri</t>
  </si>
  <si>
    <t>Kelvin Muciri Njagi</t>
  </si>
  <si>
    <t>Kenneth Mugambi Titus</t>
  </si>
  <si>
    <t>Leonard Njeru</t>
  </si>
  <si>
    <t>Lucy Mbaika Mbindye</t>
  </si>
  <si>
    <t>Lydia Wawira Ngari</t>
  </si>
  <si>
    <t>Mercy Ntinyari Gatobu</t>
  </si>
  <si>
    <t>Millicent Marigu Mwangi</t>
  </si>
  <si>
    <t>Newton Chege Maina</t>
  </si>
  <si>
    <t>Pascalia Mbeke Mwilu</t>
  </si>
  <si>
    <t>Patience Njoki Kuria</t>
  </si>
  <si>
    <t>Peter Kivuti Kabui</t>
  </si>
  <si>
    <t>Polly Wawira Nyaga</t>
  </si>
  <si>
    <t>Purity Wawira Ndambiri</t>
  </si>
  <si>
    <t>Rose Ndinda Njeru</t>
  </si>
  <si>
    <t>Ruth Wairimu Ndichu</t>
  </si>
  <si>
    <t>Salome Njoki Nguyu</t>
  </si>
  <si>
    <t>Stephen Wanyoike Kigotho</t>
  </si>
  <si>
    <t>Wendy Wawira Kahuthia</t>
  </si>
  <si>
    <t>Nelson Kamande Ng'Ang'A</t>
  </si>
  <si>
    <t>Ali Lengima</t>
  </si>
  <si>
    <t>Alice Wanjiku Wamuyu</t>
  </si>
  <si>
    <t>Ann Merry Kinya Kaburu</t>
  </si>
  <si>
    <t>Beatrice Wangui Ndungu</t>
  </si>
  <si>
    <t>Candy Gaki Maina</t>
  </si>
  <si>
    <t>Caroline Nyakio Wanjovi</t>
  </si>
  <si>
    <t>Caroline Wambui Muriithi</t>
  </si>
  <si>
    <t>Cecilia Kagure Wachira</t>
  </si>
  <si>
    <t>David Maina Wambui</t>
  </si>
  <si>
    <t xml:space="preserve">David Richu  Kuria </t>
  </si>
  <si>
    <t xml:space="preserve">Diana Kwamboka Kangwana </t>
  </si>
  <si>
    <t>Diana Moraa Obiri</t>
  </si>
  <si>
    <t>Edward  Momanyi Makori</t>
  </si>
  <si>
    <t>Elfridah Kathambi Muketha</t>
  </si>
  <si>
    <t>Elizabeth Meli Nduku</t>
  </si>
  <si>
    <t>Emily Wangui Njenga</t>
  </si>
  <si>
    <t>Eunice Waithera Ngugi</t>
  </si>
  <si>
    <t>Evans Kipkorir Rotich</t>
  </si>
  <si>
    <t>Faith Wangari Gaikia</t>
  </si>
  <si>
    <t>Fidelis Mukami Muturi</t>
  </si>
  <si>
    <t>Francis Ndungu Kagwima</t>
  </si>
  <si>
    <t>George Nganga Kimani</t>
  </si>
  <si>
    <t>Gladys Jepchumba Biwott</t>
  </si>
  <si>
    <t>Gladys Jepkoech Kamuren</t>
  </si>
  <si>
    <t>Gladys Nyakeru Mwangi</t>
  </si>
  <si>
    <t>Grace Mukami  Ikinya</t>
  </si>
  <si>
    <t>Irene Mwende Kyule</t>
  </si>
  <si>
    <t>James Mungai Njenga</t>
  </si>
  <si>
    <t>Jane Mueni Njogu</t>
  </si>
  <si>
    <t>Jane Mugechi Kaburi</t>
  </si>
  <si>
    <t>Jane Wangui Kamande</t>
  </si>
  <si>
    <t>Jane Wanjiku Waitherero</t>
  </si>
  <si>
    <t>Janet Amoit Okiru</t>
  </si>
  <si>
    <t>Janeth Jebet Kiprono</t>
  </si>
  <si>
    <t>John Kamau Njeri</t>
  </si>
  <si>
    <t>John Ndirangu Kamau</t>
  </si>
  <si>
    <t>Joyce Wairimu Githinji</t>
  </si>
  <si>
    <t>Juddy Wamwitha Gitau</t>
  </si>
  <si>
    <t>Judy Jepkemboi Tomno</t>
  </si>
  <si>
    <t>Lilian Wambui Kuria</t>
  </si>
  <si>
    <t>Lucy Muthoni Njoroge</t>
  </si>
  <si>
    <t>Lucy Waithira Ngigi</t>
  </si>
  <si>
    <t>Lucy Wanja Kimethu</t>
  </si>
  <si>
    <t xml:space="preserve">Magdaleine Nyambura Mbaiti </t>
  </si>
  <si>
    <t>Margaret Wanjiru Mwangi</t>
  </si>
  <si>
    <t>Martha Kasavi Maina</t>
  </si>
  <si>
    <t>Martin Kamau Mbau</t>
  </si>
  <si>
    <t>Martin Kamau Njoroge</t>
  </si>
  <si>
    <t>Mary Ngima Mukami</t>
  </si>
  <si>
    <t>Mary Njoki Mburu</t>
  </si>
  <si>
    <t>Marytyler Wanjera Karemi</t>
  </si>
  <si>
    <t>Mercy Achieng Ogola</t>
  </si>
  <si>
    <t>Mercy Kaburio Mugambi</t>
  </si>
  <si>
    <t>Mercy Wambui Muya</t>
  </si>
  <si>
    <t>Milcah Wambui Kibe</t>
  </si>
  <si>
    <t>Miriam Waitherero Maina</t>
  </si>
  <si>
    <t>Moses Ngari Irungu</t>
  </si>
  <si>
    <t>Nelly Njeri Wairi</t>
  </si>
  <si>
    <t>Peter Kamore Wangui</t>
  </si>
  <si>
    <t>Peter Maingi Maina</t>
  </si>
  <si>
    <t>Priscillah Wanjira Kingara</t>
  </si>
  <si>
    <t>Prudence Jepkurui Korir</t>
  </si>
  <si>
    <t>Purity Mukami Mugendi</t>
  </si>
  <si>
    <t>Rahab Mumbi Muiru</t>
  </si>
  <si>
    <t>Rose Wangari Ngugi</t>
  </si>
  <si>
    <t>Salome Muthomi Muchemi</t>
  </si>
  <si>
    <t>Susan Muthoni Mwangi</t>
  </si>
  <si>
    <t>Susan Wangari Githu</t>
  </si>
  <si>
    <t>Susan Wangui Ngugi</t>
  </si>
  <si>
    <t>Sween Mogesia  Shilavula</t>
  </si>
  <si>
    <t>Teresia Wambui Kago</t>
  </si>
  <si>
    <t>Teresia Wambui Manjane</t>
  </si>
  <si>
    <t>Terry Wanjiku Karanja</t>
  </si>
  <si>
    <t>Vella Cherotich Okeyo</t>
  </si>
  <si>
    <t>Victor Njuguna Kibui</t>
  </si>
  <si>
    <t>Violet Wairimu Nderitu</t>
  </si>
  <si>
    <t>Willy Kimtai Kipragat</t>
  </si>
  <si>
    <t>Wilson Weru Mugo</t>
  </si>
  <si>
    <t>Winnie Muthoni Wamui</t>
  </si>
  <si>
    <t>Zipporah Nyokabi Kihiu</t>
  </si>
  <si>
    <t>Alice Njeri Mwangi</t>
  </si>
  <si>
    <t>Annjoy Gakii Kanake</t>
  </si>
  <si>
    <t>Betty Kajuju</t>
  </si>
  <si>
    <t>Consolata Mwende Mugambi</t>
  </si>
  <si>
    <t>Daniel Mugambi Muriuki</t>
  </si>
  <si>
    <t>Denis Karani Nkonge</t>
  </si>
  <si>
    <t>Diana Muthoni Wanjiku</t>
  </si>
  <si>
    <t>Evalyne Wairimu Waruru</t>
  </si>
  <si>
    <t>Faith Wangechi Muchira</t>
  </si>
  <si>
    <t>Haron Rugendo Njoka</t>
  </si>
  <si>
    <t>Humphrey Odinga Nyabera</t>
  </si>
  <si>
    <t>Irene Gakii Njagi</t>
  </si>
  <si>
    <t>Isabellah Karema Mugao</t>
  </si>
  <si>
    <t>James Njuki Kirimi</t>
  </si>
  <si>
    <t>Janet Gatwiri Mutegi</t>
  </si>
  <si>
    <t>Jean Kendi Ireri</t>
  </si>
  <si>
    <t>Joseph Munuve Makau</t>
  </si>
  <si>
    <t>Judy Rwamba Njagi</t>
  </si>
  <si>
    <t>Lenah Makena Kiburi</t>
  </si>
  <si>
    <t>Lilian Wanjira Njue</t>
  </si>
  <si>
    <t>Martin Karani Murithi</t>
  </si>
  <si>
    <t>Martin Mwiti Gitonga</t>
  </si>
  <si>
    <t>Maureen Karithi Mutiiria</t>
  </si>
  <si>
    <t>Mercy Wanjira Kiria</t>
  </si>
  <si>
    <t>Monicah Kainyu Njeru</t>
  </si>
  <si>
    <t>Nancy Gatiria Nyaga</t>
  </si>
  <si>
    <t>Nicholeta Karegi Kagwima</t>
  </si>
  <si>
    <t>Purity Kinya Marangu</t>
  </si>
  <si>
    <t>Risper Nkatha Kimathi</t>
  </si>
  <si>
    <t>Sammy Njuguna Njogu</t>
  </si>
  <si>
    <t>Stella Muthoni Murithi</t>
  </si>
  <si>
    <t>Violet Ayuma Luchitio</t>
  </si>
  <si>
    <t>Wilfred Murithi</t>
  </si>
  <si>
    <t>Winfred Kambua Muema</t>
  </si>
  <si>
    <t>Yvonne Kendi Mutembei</t>
  </si>
  <si>
    <t>Health Records Information Officer</t>
  </si>
  <si>
    <t>M&amp;E Assistant</t>
  </si>
  <si>
    <t>Hts Counselor</t>
  </si>
  <si>
    <t>Clinical Officer - Mentor</t>
  </si>
  <si>
    <t>Clinical Officer</t>
  </si>
  <si>
    <t>Pharmacy Technologist - Supply Chain</t>
  </si>
  <si>
    <t>Nurse</t>
  </si>
  <si>
    <t>Ict Officer</t>
  </si>
  <si>
    <t>Medical Laboratory Technologist</t>
  </si>
  <si>
    <t>Social Worker</t>
  </si>
  <si>
    <t>Hts Counsellor</t>
  </si>
  <si>
    <t>Hts Provider</t>
  </si>
  <si>
    <t>Counselling Psychologist</t>
  </si>
  <si>
    <t>Pharmaceutical Technologist</t>
  </si>
  <si>
    <t>Hrio - Mentor</t>
  </si>
  <si>
    <t>Pharmaceutical  Technologist</t>
  </si>
  <si>
    <t>Pharmacy Technologist  - Supply Chain</t>
  </si>
  <si>
    <t>Mentor - Prevention</t>
  </si>
  <si>
    <t>Mbeere North</t>
  </si>
  <si>
    <t>Manyatta</t>
  </si>
  <si>
    <t>Mbeere South</t>
  </si>
  <si>
    <t>Runyenjes</t>
  </si>
  <si>
    <t>Igembe South</t>
  </si>
  <si>
    <t>Imenti North</t>
  </si>
  <si>
    <t>Igembe Central</t>
  </si>
  <si>
    <t>Imenti South</t>
  </si>
  <si>
    <t>Tigania East</t>
  </si>
  <si>
    <t>Buuri West</t>
  </si>
  <si>
    <t>Buuri East</t>
  </si>
  <si>
    <t>Imenti Central</t>
  </si>
  <si>
    <t>Igembe North</t>
  </si>
  <si>
    <t>Tigania Central</t>
  </si>
  <si>
    <t>Tigania West</t>
  </si>
  <si>
    <t>Mwimbi</t>
  </si>
  <si>
    <t>Chuka</t>
  </si>
  <si>
    <t>Tharaka South</t>
  </si>
  <si>
    <t>Tharaka North</t>
  </si>
  <si>
    <t>Igamba Ngombe</t>
  </si>
  <si>
    <t>Mbeere Sub County Hospital</t>
  </si>
  <si>
    <t>Ishiara Level 4 Hospital</t>
  </si>
  <si>
    <t>Gategi Health Centre</t>
  </si>
  <si>
    <t>Ugweri Health Centre</t>
  </si>
  <si>
    <t>Embu Level 5 Hospital</t>
  </si>
  <si>
    <t>Runyenjes Sub County Hospital</t>
  </si>
  <si>
    <t>Kiambere Dam Health Centre</t>
  </si>
  <si>
    <t>Kiritiri Health Centre</t>
  </si>
  <si>
    <t>Karurumo Health  Centre</t>
  </si>
  <si>
    <t>Nembure Health Center</t>
  </si>
  <si>
    <t>Kibugu Health Centre</t>
  </si>
  <si>
    <t>Acef Ena Health Centre</t>
  </si>
  <si>
    <t>Kanja Health Center</t>
  </si>
  <si>
    <t>St. Michael Home</t>
  </si>
  <si>
    <t>Akachiu Health Centre</t>
  </si>
  <si>
    <t>Maua Dice</t>
  </si>
  <si>
    <t>Nthambiro Dispensary</t>
  </si>
  <si>
    <t>Nkubu Gk Dispensary</t>
  </si>
  <si>
    <t>Kathithi Dispensary</t>
  </si>
  <si>
    <t>St. Theresa Kirua</t>
  </si>
  <si>
    <t>Kina Dispensary</t>
  </si>
  <si>
    <t>Kinoru Health Centre</t>
  </si>
  <si>
    <t>Consolata Hospital, Gitoro</t>
  </si>
  <si>
    <t xml:space="preserve">St. John Of God </t>
  </si>
  <si>
    <t>Kaelo</t>
  </si>
  <si>
    <t>Kiirua Health Centre</t>
  </si>
  <si>
    <t xml:space="preserve">St John Of God </t>
  </si>
  <si>
    <t>Tuuru</t>
  </si>
  <si>
    <t xml:space="preserve">Miathene Hospital </t>
  </si>
  <si>
    <t>Gatimbi Health Centre</t>
  </si>
  <si>
    <t>Jm County Referral Hospital</t>
  </si>
  <si>
    <t>Engineer County Referral Hospital</t>
  </si>
  <si>
    <t>Karagatha Dispensary</t>
  </si>
  <si>
    <t>Ngano Health Centre</t>
  </si>
  <si>
    <t>Oljoro Orok Sub County</t>
  </si>
  <si>
    <t>Getabush Dispensary</t>
  </si>
  <si>
    <t>Magutuni Sub County Hospital</t>
  </si>
  <si>
    <t>Kibugua Health Centre</t>
  </si>
  <si>
    <t>Marimanti Sub County Hospital</t>
  </si>
  <si>
    <t>Chuka Cottage Hospital</t>
  </si>
  <si>
    <t>Gatunga Mission</t>
  </si>
  <si>
    <t>Chuka County Referral Hospital</t>
  </si>
  <si>
    <t>Kibungua Health Centre</t>
  </si>
  <si>
    <t>Gatunga Mission Hospital</t>
  </si>
  <si>
    <t>Gatunga Model Health Centre</t>
  </si>
  <si>
    <t>Muthambi Health Centre</t>
  </si>
  <si>
    <t>Kiamachairu Health Centre</t>
  </si>
  <si>
    <t>Kajuki Health Centre</t>
  </si>
  <si>
    <t>Baragu Health Centre</t>
  </si>
  <si>
    <t>Kibunga Sub District Hospital</t>
  </si>
  <si>
    <t>marykabeti98@gmail.com</t>
  </si>
  <si>
    <t>alicewanjikuwamuyu@gmail.com</t>
  </si>
  <si>
    <t>James Muigai Thiong'o</t>
  </si>
  <si>
    <t>annmutuku@gmail.com</t>
  </si>
  <si>
    <t>9th Sep 1996</t>
  </si>
  <si>
    <t>Diploma in Community Health and HIV AIDS Management</t>
  </si>
  <si>
    <t>Irene Muthoki Mutuku</t>
  </si>
  <si>
    <t>0703587328</t>
  </si>
  <si>
    <t>mnaammanzachary@gmail.com</t>
  </si>
  <si>
    <t>9th Oct 1990</t>
  </si>
  <si>
    <t>Jedidah Nyambura Maina</t>
  </si>
  <si>
    <t>Manunga Health Centre</t>
  </si>
  <si>
    <t>Njabini Health Ceentre</t>
  </si>
  <si>
    <t>0711385774</t>
  </si>
  <si>
    <t>Mitunguu Health Centre</t>
  </si>
  <si>
    <t>Theera Health Centre</t>
  </si>
  <si>
    <t xml:space="preserve">Kasuku Health Centre </t>
  </si>
  <si>
    <t>Wanjohi Health Centre</t>
  </si>
  <si>
    <t>New Mawingo Health Centre</t>
  </si>
  <si>
    <t>Gatimu Health Centre</t>
  </si>
  <si>
    <t>Shamata Health Centre</t>
  </si>
  <si>
    <t xml:space="preserve">Ngorika Health Centre </t>
  </si>
  <si>
    <t>Bamboo Health Centre</t>
  </si>
  <si>
    <t>Njabini Health Centre</t>
  </si>
  <si>
    <t>Kahembe Health Centre</t>
  </si>
  <si>
    <t>Chamuka Health Centre</t>
  </si>
  <si>
    <t>Kasuku Health Centre</t>
  </si>
  <si>
    <t>Silibwet Health Centre</t>
  </si>
  <si>
    <t>Baari Health Centre</t>
  </si>
  <si>
    <t>Old Mawingu Health Centre</t>
  </si>
  <si>
    <t>Silbwet Health Centre</t>
  </si>
  <si>
    <t>Mpukoni Health Centre</t>
  </si>
  <si>
    <t>Mukothima Health Centre</t>
  </si>
  <si>
    <t>Sub County HospitalOOL</t>
  </si>
  <si>
    <t>Moi Teaching Sub County Hospitalool of Health Sciences</t>
  </si>
  <si>
    <t>Thika Sub County Hospitalool of medical &amp; Health Sciences</t>
  </si>
  <si>
    <t>Fidenza Sub County Hospitalool of Nursing - Kyeni</t>
  </si>
  <si>
    <t>back to Sub County Hospitalool</t>
  </si>
  <si>
    <t>Penn Foster Career Sub County Hospitalool</t>
  </si>
  <si>
    <t>Thika Sub County Hospitalool of Medical &amp; Health Sciences</t>
  </si>
  <si>
    <t>Nyambene Sub County Hospital</t>
  </si>
  <si>
    <t>Muthara Sub County Hospital</t>
  </si>
  <si>
    <t>Timau Sub County Hospital</t>
  </si>
  <si>
    <t>Kanyakine Sub County Hospital</t>
  </si>
  <si>
    <t>Githongo Sub County Hospital</t>
  </si>
  <si>
    <t xml:space="preserve">Nyambene Sub County Hospital </t>
  </si>
  <si>
    <t>Mutuati Sub County Hospital</t>
  </si>
  <si>
    <t>Mikinduri Sub County Hospital</t>
  </si>
  <si>
    <t>Giaki Sub County Hospital</t>
  </si>
  <si>
    <t>Mbeu Sub County Hospital</t>
  </si>
  <si>
    <t>Consolata Nkubu Sub County Hospitalool of Nursing</t>
  </si>
  <si>
    <t>Mikumbune Sub County Hospital</t>
  </si>
  <si>
    <t>Mbale Sub County Hospitalool of Clinical Medicine, Uganda 2004</t>
  </si>
  <si>
    <t>Dallas Dispensaryensary</t>
  </si>
  <si>
    <t>Kiamuringa Dispensaryensary</t>
  </si>
  <si>
    <t>Nthambiro Dispensaryensary</t>
  </si>
  <si>
    <t xml:space="preserve">Gakoromone Dispensary </t>
  </si>
  <si>
    <t>Gakoromone Dispensary</t>
  </si>
  <si>
    <t>Getabush Dispensaryensary</t>
  </si>
  <si>
    <t>Olbolosat Dispensaryensary</t>
  </si>
  <si>
    <t>Mukuuni Dispensaryensary</t>
  </si>
  <si>
    <t>Kaanwa Dispensaryensary</t>
  </si>
  <si>
    <t>Meru Teaching and Referral Hospital</t>
  </si>
  <si>
    <t>Kangeta Sub-County Hospital</t>
  </si>
  <si>
    <t>Murungaru Health Centre</t>
  </si>
  <si>
    <t>Mirangine Health Centre</t>
  </si>
  <si>
    <t>PETERSON CHOMBA KIMANI</t>
  </si>
  <si>
    <t>peterchomba306@gmail.com</t>
  </si>
  <si>
    <t>4TH JAN 1995</t>
  </si>
  <si>
    <t>Diploma in Health Promotion and Community Health</t>
  </si>
  <si>
    <t>Health Records and Information Manager Board</t>
  </si>
  <si>
    <t>0000030084</t>
  </si>
  <si>
    <t>0000031349</t>
  </si>
  <si>
    <t>0000031690</t>
  </si>
  <si>
    <t>Health Records and Information Managers Board (Health Records and Information Managers Board)</t>
  </si>
  <si>
    <t>Council of Clinical Officers (Clinical Officers Council (COC))</t>
  </si>
  <si>
    <t>Kenya Medical Laboratory Technicians and Technologists Board (Kenya Medical Laboratory Technicians and Technologists Board (KMLTTB))</t>
  </si>
  <si>
    <t>0000031521</t>
  </si>
  <si>
    <t>0000031523</t>
  </si>
  <si>
    <t>Health Record and Information Managers Board</t>
  </si>
  <si>
    <t xml:space="preserve">Health Records and Information Managers Board </t>
  </si>
  <si>
    <t>0000031347</t>
  </si>
  <si>
    <t>Jacob Amba Opiyo</t>
  </si>
  <si>
    <t>1st Dec 2025</t>
  </si>
  <si>
    <t>MeTRE</t>
  </si>
  <si>
    <t>SYLVIA ETEMESI</t>
  </si>
  <si>
    <t>JOSEPHINE OBWORA</t>
  </si>
  <si>
    <t>No</t>
  </si>
  <si>
    <t>Cadre</t>
  </si>
  <si>
    <t xml:space="preserve">Nyandarua </t>
  </si>
  <si>
    <t>Total</t>
  </si>
  <si>
    <t>HRIO</t>
  </si>
  <si>
    <t>HTS Counselor</t>
  </si>
  <si>
    <t>Counseling Psychologist</t>
  </si>
  <si>
    <t>ICT Officer</t>
  </si>
  <si>
    <t>Mentor mother</t>
  </si>
  <si>
    <t>Peer Educator</t>
  </si>
  <si>
    <t>AYP Champion</t>
  </si>
  <si>
    <t>PHONE NO.</t>
  </si>
  <si>
    <t>MUTUGI M'MURIITHI</t>
  </si>
  <si>
    <t>MOSES MOKUA</t>
  </si>
  <si>
    <t>EDNA GAKII NTEERE</t>
  </si>
  <si>
    <t>JULIUS OOKO</t>
  </si>
  <si>
    <t>254728019878 </t>
  </si>
  <si>
    <t xml:space="preserve">PATRICK KYALO            </t>
  </si>
  <si>
    <t xml:space="preserve">NDUNGU ESTHER WAMBUI             </t>
  </si>
  <si>
    <t xml:space="preserve">ARUSEI  WINNIE CHEPTOO           </t>
  </si>
  <si>
    <t xml:space="preserve">NYAGA JANE WANGUI                </t>
  </si>
  <si>
    <t xml:space="preserve">WANJIRA  GERALD KINGORI          </t>
  </si>
  <si>
    <t xml:space="preserve">MUTUMA KENNETH MUTWIRI           </t>
  </si>
  <si>
    <t xml:space="preserve">KAMAU ELAINE KARIMI              </t>
  </si>
  <si>
    <t>EDITH MWACHOKI</t>
  </si>
  <si>
    <t>EDITH GITOBU</t>
  </si>
  <si>
    <t xml:space="preserve">MOMANYI DISMAS MOSE              </t>
  </si>
  <si>
    <t xml:space="preserve">NJERU JUSTIN FUNDI               </t>
  </si>
  <si>
    <t xml:space="preserve">WANJIKU SIMON MWAURA             </t>
  </si>
  <si>
    <t>LUCIA KAVEKE MAINGI</t>
  </si>
  <si>
    <t>254720744696 </t>
  </si>
  <si>
    <t>TABITHA IRERI</t>
  </si>
  <si>
    <t>MARJORIE WAITHIRA</t>
  </si>
  <si>
    <t>254726962209</t>
  </si>
  <si>
    <t>BEATRICE GATHENDU</t>
  </si>
  <si>
    <t>MARTIN MUREGA</t>
  </si>
  <si>
    <t>254722263409</t>
  </si>
  <si>
    <t>DR. SIMON WAMBUGU</t>
  </si>
  <si>
    <t>254720246326</t>
  </si>
  <si>
    <t>JULIUS KOMBO MWANYALO</t>
  </si>
  <si>
    <t>254727009752</t>
  </si>
  <si>
    <t>CHRISPIN ASIN</t>
  </si>
  <si>
    <t>254729320281</t>
  </si>
  <si>
    <t>JOAN GICHUHI</t>
  </si>
  <si>
    <t>254720685876</t>
  </si>
  <si>
    <t>DUNCAN ARIITHI</t>
  </si>
  <si>
    <t>254706846760</t>
  </si>
  <si>
    <t>KEVIN KOOME</t>
  </si>
  <si>
    <t>254722829645</t>
  </si>
  <si>
    <t>REINHARD BOSCO MUTHOKA</t>
  </si>
  <si>
    <t>254722145522</t>
  </si>
  <si>
    <t>BARNARD IRERI</t>
  </si>
  <si>
    <t>254722880086</t>
  </si>
  <si>
    <t>TIMOTHY KOMBO</t>
  </si>
  <si>
    <t>254707280753</t>
  </si>
  <si>
    <t>CYNTHIA NEKESA</t>
  </si>
  <si>
    <t>254729330632</t>
  </si>
  <si>
    <t>TOM HASTINGS MUNENE</t>
  </si>
  <si>
    <t>254720856334</t>
  </si>
  <si>
    <t>RACHAEL GATHONI</t>
  </si>
  <si>
    <t>254717208682</t>
  </si>
  <si>
    <t>ANNETTE KAUGI</t>
  </si>
  <si>
    <t>254720547865</t>
  </si>
  <si>
    <t>DOUGLAS GOVEDI</t>
  </si>
  <si>
    <t>254721945611</t>
  </si>
  <si>
    <t>PETER ONYANCHA</t>
  </si>
  <si>
    <t>254722252614</t>
  </si>
  <si>
    <t>ALEX MASIKA</t>
  </si>
  <si>
    <t>254721896121</t>
  </si>
  <si>
    <t>BRIAN AYIRO</t>
  </si>
  <si>
    <t>254728964694</t>
  </si>
  <si>
    <t>REGINA GATHONI</t>
  </si>
  <si>
    <t>254710 826586</t>
  </si>
  <si>
    <t>REUBEN NGUMO</t>
  </si>
  <si>
    <t>254722168180</t>
  </si>
  <si>
    <t>254715452963</t>
  </si>
  <si>
    <t>LILIAN MWANGI</t>
  </si>
  <si>
    <t>254721738738</t>
  </si>
  <si>
    <t>TOTAL</t>
  </si>
  <si>
    <t>JOB TITLE</t>
  </si>
  <si>
    <t>CHIEF OFPARTY</t>
  </si>
  <si>
    <t>DIRECTOR FINANCE &amp; ADMINISTRATION</t>
  </si>
  <si>
    <t>SERVICE DELIVERY ADVISOR</t>
  </si>
  <si>
    <t>SENIOR TECHNICAL OFFICER, HR</t>
  </si>
  <si>
    <t>PROGRAM OFFICER</t>
  </si>
  <si>
    <t>ADMINISTRATIVE ASSISTANT</t>
  </si>
  <si>
    <t>M&amp;E OFFICER</t>
  </si>
  <si>
    <t>PROCUREMENT &amp; LOGISTICS MANAGER</t>
  </si>
  <si>
    <t>GRANTS &amp; COMPLIANCE OFFICER</t>
  </si>
  <si>
    <t>FINANCE OFFICER</t>
  </si>
  <si>
    <t>DRIVER</t>
  </si>
  <si>
    <t>OVC PROGRAM COORDINATOR</t>
  </si>
  <si>
    <t>PMTCT &amp; PEDIATRICS COORDINATOR</t>
  </si>
  <si>
    <t>DCOP</t>
  </si>
  <si>
    <t>FINANCE ASSISTANT</t>
  </si>
  <si>
    <t>AG. M&amp;E MANAGER</t>
  </si>
  <si>
    <t>COMMUNICATIONS ASSISTANT</t>
  </si>
  <si>
    <t>SNR FINANCE &amp; ADMIN OFFICER</t>
  </si>
  <si>
    <t>M&amp;E DIRECTOR</t>
  </si>
  <si>
    <t>KEVIN MAINA MACHARIA</t>
  </si>
  <si>
    <t>AIRTIME</t>
  </si>
  <si>
    <t>County</t>
  </si>
  <si>
    <t>No.</t>
  </si>
  <si>
    <t>Sub Total</t>
  </si>
  <si>
    <t>Sub total</t>
  </si>
  <si>
    <t>0725045505</t>
  </si>
  <si>
    <t>josephineobwora@gmail.com</t>
  </si>
  <si>
    <t>3rd June 1983</t>
  </si>
  <si>
    <t>0716215571</t>
  </si>
  <si>
    <t>syetemesi@gmail.com</t>
  </si>
  <si>
    <t>20th Mar 1992</t>
  </si>
  <si>
    <t>PT2026D03989</t>
  </si>
  <si>
    <t>jacoamba34@gmail.com</t>
  </si>
  <si>
    <t>24th July1993</t>
  </si>
  <si>
    <t>Bachelor Degree in Computer Science Engineering</t>
  </si>
  <si>
    <t>Jawaharlal Nehru University - India</t>
  </si>
  <si>
    <t>31415484</t>
  </si>
  <si>
    <t>0701227966</t>
  </si>
  <si>
    <t>19th Jan 2026</t>
  </si>
  <si>
    <t>Diploma in Counselling</t>
  </si>
  <si>
    <t>Josephine Achieno Obwora</t>
  </si>
  <si>
    <t>Sylvia Akhonya Etemesi</t>
  </si>
  <si>
    <t>hts Counselor</t>
  </si>
  <si>
    <t>Rift Valley Institute of Science &amp; Technology</t>
  </si>
  <si>
    <t xml:space="preserve">Kenya Medical Laboratory Technicians &amp; Technologists Board </t>
  </si>
  <si>
    <t xml:space="preserve">Kenya Medical Laboratory Technicians and Technologists Board </t>
  </si>
  <si>
    <t>HRIO Mentor</t>
  </si>
  <si>
    <t>County Nurse (mentor)</t>
  </si>
  <si>
    <t>SYLVIA AKHONYA ETEMESI</t>
  </si>
  <si>
    <t>JOSEPHINE ACHIENO OBWORA</t>
  </si>
  <si>
    <t>Pharmaceutical Technologist -Supply Chain</t>
  </si>
  <si>
    <t>Pharmaceutical  Technologist - Supply Chain</t>
  </si>
  <si>
    <t>County Clinicians</t>
  </si>
  <si>
    <t>Re02571/25</t>
  </si>
  <si>
    <t>Rb00467/26</t>
  </si>
  <si>
    <t>Samuel Nderitu Wagathima</t>
  </si>
  <si>
    <t>0000026951</t>
  </si>
  <si>
    <t>Rd03277/25</t>
  </si>
  <si>
    <t>violetnderitu@gmail.com</t>
  </si>
  <si>
    <t>PT2026D03760</t>
  </si>
  <si>
    <t>Rb00686/26</t>
  </si>
  <si>
    <t>22371616</t>
  </si>
  <si>
    <t>Erica Kanana</t>
  </si>
  <si>
    <t>Hosea Kimathi Makembo</t>
  </si>
  <si>
    <t>0723264631</t>
  </si>
  <si>
    <t>39805179</t>
  </si>
  <si>
    <t>hoseakimathi11@gmail.com</t>
  </si>
  <si>
    <t>21st Febr 2026</t>
  </si>
  <si>
    <t>9th Oct 2002</t>
  </si>
  <si>
    <t>Diploma in Commu</t>
  </si>
  <si>
    <t>KMTC</t>
  </si>
  <si>
    <t>10th May 1995</t>
  </si>
  <si>
    <t>LEVIN MUNYELELE</t>
  </si>
  <si>
    <t>254748228565</t>
  </si>
  <si>
    <t>HEALTH INFORMATICS OFFICER</t>
  </si>
  <si>
    <t>DAVID NDUNG'U KANINI</t>
  </si>
  <si>
    <t>0741780009</t>
  </si>
  <si>
    <t>ericakanana2019@gmail.com</t>
  </si>
  <si>
    <t>37079350 </t>
  </si>
  <si>
    <t>County Clinicians  (mentor)</t>
  </si>
  <si>
    <t>EMBU coUNTY REFERRAL HOSPITAL</t>
  </si>
  <si>
    <t>RUNYENTES SUB COUNTY HOSPITAL</t>
  </si>
  <si>
    <t>KIBUNGU HEALTH CENTRE</t>
  </si>
  <si>
    <t>BEATRICE MUTHONI  NJOGU</t>
  </si>
  <si>
    <t>PHARES GLADYS KANANU</t>
  </si>
  <si>
    <t>KIAMURINGA HEALTH CENTRE</t>
  </si>
  <si>
    <t xml:space="preserve">JUDITA MURIGI </t>
  </si>
  <si>
    <t>Morris Mutuma Kirunja</t>
  </si>
  <si>
    <t>nyambene Sub County Hospital</t>
  </si>
  <si>
    <t>Lashau Fondo Health Centre</t>
  </si>
  <si>
    <t>Kambandi Dispensary</t>
  </si>
  <si>
    <t>Mumbuni Dispensary</t>
  </si>
  <si>
    <t>Irene arimi Njeru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</si>
</sst>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_(* \(#,##0\);_(* &quot;-&quot;??_);_(@_)"/>
    <numFmt numFmtId="166" formatCode="###########0.00"/>
    <numFmt numFmtId="167" formatCode="###########0"/>
  </numFmts>
  <fonts count="6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Light"/>
      <family val="2"/>
      <scheme val="major"/>
    </font>
    <font>
      <b/>
      <sz val="12"/>
      <color theme="1"/>
      <name val="Calibri Light"/>
      <family val="2"/>
      <scheme val="major"/>
    </font>
    <font>
      <sz val="12"/>
      <color rgb="FF323232"/>
      <name val="Calibri Light"/>
      <family val="2"/>
      <scheme val="major"/>
    </font>
    <font>
      <b/>
      <sz val="12"/>
      <color rgb="FFFF0000"/>
      <name val="Calibri Light"/>
      <family val="2"/>
      <scheme val="major"/>
    </font>
    <font>
      <sz val="12"/>
      <name val="Calibri Light"/>
      <family val="2"/>
      <scheme val="major"/>
    </font>
    <font>
      <sz val="12"/>
      <color rgb="FF00B050"/>
      <name val="Calibri Light"/>
      <family val="2"/>
      <scheme val="major"/>
    </font>
    <font>
      <i/>
      <sz val="12"/>
      <color theme="1"/>
      <name val="Calibri Light"/>
      <family val="2"/>
      <scheme val="major"/>
    </font>
    <font>
      <i/>
      <sz val="12"/>
      <color rgb="FF00B050"/>
      <name val="Calibri Light"/>
      <family val="2"/>
      <scheme val="major"/>
    </font>
    <font>
      <sz val="12"/>
      <color rgb="FFFF0000"/>
      <name val="Calibri Light"/>
      <family val="2"/>
      <scheme val="major"/>
    </font>
    <font>
      <sz val="11"/>
      <color theme="1"/>
      <name val="Calibri"/>
      <family val="2"/>
      <scheme val="minor"/>
    </font>
    <font>
      <sz val="8"/>
      <color theme="1"/>
      <name val="Verdana"/>
      <family val="2"/>
    </font>
    <font>
      <sz val="10"/>
      <color theme="1"/>
      <name val="Arial"/>
      <family val="2"/>
    </font>
    <font>
      <sz val="10"/>
      <color indexed="8"/>
      <name val="MS Sans Serif"/>
      <charset val="134"/>
    </font>
    <font>
      <sz val="10"/>
      <name val="Arial"/>
      <family val="2"/>
    </font>
    <font>
      <sz val="8"/>
      <name val="Calibri"/>
      <family val="2"/>
      <scheme val="minor"/>
    </font>
    <font>
      <sz val="8"/>
      <name val="Calibri"/>
      <family val="2"/>
      <scheme val="minor"/>
    </font>
    <font>
      <b/>
      <sz val="9"/>
      <color theme="1"/>
      <name val="Tw Cen MT"/>
      <family val="2"/>
    </font>
    <font>
      <sz val="9"/>
      <color theme="1"/>
      <name val="Tw Cen MT"/>
      <family val="2"/>
    </font>
    <font>
      <sz val="9"/>
      <color theme="1"/>
      <name val="Gill Sans MT"/>
      <family val="2"/>
    </font>
    <font>
      <sz val="9"/>
      <name val="Tw Cen MT"/>
      <family val="2"/>
    </font>
    <font>
      <b/>
      <sz val="9"/>
      <name val="Gill Sans MT"/>
      <family val="2"/>
    </font>
    <font>
      <b/>
      <sz val="9"/>
      <color rgb="FFFF0000"/>
      <name val="Gill Sans MT"/>
      <family val="2"/>
    </font>
    <font>
      <sz val="9"/>
      <color rgb="FF000000"/>
      <name val="Times New Roman"/>
      <family val="1"/>
    </font>
    <font>
      <sz val="9"/>
      <color theme="1"/>
      <name val="Calibri"/>
      <family val="2"/>
      <scheme val="minor"/>
    </font>
    <font>
      <sz val="9"/>
      <name val="Calibri"/>
      <family val="1"/>
    </font>
    <font>
      <b/>
      <sz val="9"/>
      <color theme="1"/>
      <name val="Gill Sans MT"/>
      <family val="2"/>
    </font>
    <font>
      <sz val="9"/>
      <color rgb="FFFF0000"/>
      <name val="Tw Cen MT"/>
      <family val="2"/>
    </font>
    <font>
      <sz val="11"/>
      <color rgb="FFFF0000"/>
      <name val="Tw Cen MT"/>
      <family val="2"/>
    </font>
    <font>
      <sz val="9"/>
      <color rgb="FFFF0000"/>
      <name val="Gill Sans MT"/>
      <family val="2"/>
    </font>
    <font>
      <sz val="9"/>
      <color indexed="81"/>
      <name val="Tahoma"/>
      <family val="2"/>
    </font>
    <font>
      <sz val="12"/>
      <name val="Calibri"/>
      <family val="2"/>
      <scheme val="minor"/>
    </font>
    <font>
      <b/>
      <sz val="9"/>
      <color indexed="81"/>
      <name val="Tahoma"/>
      <family val="2"/>
    </font>
    <font>
      <sz val="10"/>
      <color rgb="FF000000"/>
      <name val="Times New Roman"/>
      <family val="1"/>
    </font>
    <font>
      <sz val="12"/>
      <name val="Tw Cen MT"/>
      <family val="2"/>
    </font>
    <font>
      <sz val="12"/>
      <color rgb="FFFF0000"/>
      <name val="Tw Cen MT"/>
      <family val="2"/>
    </font>
    <font>
      <sz val="9"/>
      <name val="Gill Sans MT"/>
      <family val="2"/>
    </font>
    <font>
      <sz val="9"/>
      <color rgb="FF323232"/>
      <name val="Gill Sans MT"/>
      <family val="2"/>
    </font>
    <font>
      <sz val="9"/>
      <color rgb="FF000000"/>
      <name val="Gill Sans MT"/>
      <family val="2"/>
    </font>
    <font>
      <b/>
      <sz val="9"/>
      <color theme="4"/>
      <name val="Gill Sans MT"/>
      <family val="2"/>
    </font>
    <font>
      <u/>
      <sz val="11"/>
      <color theme="10"/>
      <name val="Calibri"/>
      <family val="2"/>
      <scheme val="minor"/>
    </font>
    <font>
      <u/>
      <sz val="11"/>
      <color theme="10"/>
      <name val="Calibri"/>
      <family val="2"/>
      <scheme val="minor"/>
    </font>
    <font>
      <sz val="9"/>
      <color rgb="FF0070C0"/>
      <name val="Gill Sans MT"/>
      <family val="2"/>
    </font>
    <font>
      <u/>
      <sz val="9"/>
      <color theme="10"/>
      <name val="Gill Sans MT"/>
      <family val="2"/>
    </font>
    <font>
      <u/>
      <sz val="11"/>
      <color theme="10"/>
      <name val="Gill Sans MT"/>
      <family val="2"/>
    </font>
    <font>
      <b/>
      <sz val="11"/>
      <color theme="1"/>
      <name val="Calibri"/>
      <family val="2"/>
      <scheme val="minor"/>
    </font>
    <font>
      <u/>
      <sz val="9"/>
      <color rgb="FFFF0000"/>
      <name val="Gill Sans MT"/>
      <family val="2"/>
    </font>
    <font>
      <sz val="11"/>
      <color theme="1"/>
      <name val="Gill Sans MT"/>
      <family val="2"/>
    </font>
    <font>
      <b/>
      <sz val="11"/>
      <color theme="1"/>
      <name val="Gill Sans MT"/>
      <family val="2"/>
    </font>
    <font>
      <sz val="12"/>
      <name val="Gill Sans MT"/>
      <family val="2"/>
    </font>
    <font>
      <sz val="11"/>
      <name val="Gill Sans MT"/>
      <family val="2"/>
    </font>
    <font>
      <sz val="12"/>
      <color rgb="FF7030A0"/>
      <name val="Gill Sans MT"/>
      <family val="2"/>
    </font>
    <font>
      <b/>
      <sz val="11"/>
      <name val="Gill Sans MT"/>
      <family val="2"/>
    </font>
    <font>
      <sz val="11"/>
      <color rgb="FFFF0000"/>
      <name val="Calibri"/>
      <family val="2"/>
      <scheme val="minor"/>
    </font>
    <font>
      <u/>
      <sz val="9"/>
      <color theme="4"/>
      <name val="Gill Sans MT"/>
      <family val="2"/>
    </font>
    <font>
      <sz val="9"/>
      <color theme="4"/>
      <name val="Gill Sans MT"/>
      <family val="2"/>
    </font>
    <font>
      <u/>
      <sz val="11"/>
      <color rgb="FFFF0000"/>
      <name val="Gill Sans MT"/>
      <family val="2"/>
    </font>
    <font>
      <u/>
      <sz val="11"/>
      <color rgb="FFFF0000"/>
      <name val="Calibri"/>
      <family val="2"/>
      <scheme val="minor"/>
    </font>
    <font>
      <sz val="11"/>
      <color rgb="FF000000"/>
      <name val="Calibri"/>
      <family val="2"/>
      <scheme val="minor"/>
    </font>
    <font>
      <sz val="11"/>
      <name val="Calibri"/>
      <family val="2"/>
      <scheme val="minor"/>
    </font>
    <font>
      <sz val="9.5"/>
      <color theme="1"/>
      <name val="Aptos"/>
      <family val="2"/>
    </font>
    <font>
      <i/>
      <sz val="12"/>
      <color rgb="FFFF0000"/>
      <name val="Calibri Light"/>
      <family val="2"/>
      <scheme val="major"/>
    </font>
  </fonts>
  <fills count="9">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6" tint="-0.249977111117893"/>
        <bgColor indexed="64"/>
      </patternFill>
    </fill>
  </fills>
  <borders count="18">
    <border>
      <left/>
      <right/>
      <top/>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diagonal/>
    </border>
    <border>
      <left style="thin">
        <color auto="1"/>
      </left>
      <right style="thin">
        <color auto="1"/>
      </right>
      <top style="thin">
        <color auto="1"/>
      </top>
      <bottom/>
      <diagonal/>
    </border>
    <border>
      <left style="medium">
        <color auto="1"/>
      </left>
      <right/>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diagonal/>
    </border>
  </borders>
  <cellStyleXfs count="14">
    <xf numFmtId="0" fontId="0" fillId="0" borderId="0"/>
    <xf numFmtId="164" fontId="14" fillId="0" borderId="0" applyFont="0" applyFill="0" applyBorder="0" applyAlignment="0" applyProtection="0"/>
    <xf numFmtId="164" fontId="15" fillId="0" borderId="0" applyFont="0" applyFill="0" applyBorder="0" applyAlignment="0" applyProtection="0"/>
    <xf numFmtId="43" fontId="14" fillId="0" borderId="0" applyFont="0" applyFill="0" applyBorder="0" applyAlignment="0" applyProtection="0"/>
    <xf numFmtId="0" fontId="15" fillId="0" borderId="0"/>
    <xf numFmtId="0" fontId="16" fillId="0" borderId="0"/>
    <xf numFmtId="0" fontId="17" fillId="0" borderId="0"/>
    <xf numFmtId="0" fontId="18" fillId="0" borderId="0"/>
    <xf numFmtId="0" fontId="15" fillId="0" borderId="0"/>
    <xf numFmtId="0" fontId="14" fillId="0" borderId="0"/>
    <xf numFmtId="0" fontId="14" fillId="0" borderId="0"/>
    <xf numFmtId="0" fontId="37" fillId="0" borderId="0"/>
    <xf numFmtId="0" fontId="44" fillId="0" borderId="0" applyNumberFormat="0" applyFill="0" applyBorder="0" applyAlignment="0" applyProtection="0"/>
    <xf numFmtId="164" fontId="2" fillId="0" borderId="0" applyFont="0" applyFill="0" applyBorder="0" applyAlignment="0" applyProtection="0"/>
  </cellStyleXfs>
  <cellXfs count="352">
    <xf numFmtId="0" fontId="0" fillId="0" borderId="0" xfId="0"/>
    <xf numFmtId="49" fontId="5" fillId="0" borderId="0" xfId="4" applyNumberFormat="1" applyFont="1" applyAlignment="1">
      <alignment horizontal="left"/>
    </xf>
    <xf numFmtId="165" fontId="5" fillId="0" borderId="0" xfId="1" applyNumberFormat="1" applyFont="1" applyAlignment="1">
      <alignment horizontal="left"/>
    </xf>
    <xf numFmtId="166" fontId="5" fillId="0" borderId="0" xfId="4" applyNumberFormat="1" applyFont="1" applyAlignment="1">
      <alignment horizontal="left"/>
    </xf>
    <xf numFmtId="166" fontId="5" fillId="0" borderId="0" xfId="4" applyNumberFormat="1" applyFont="1"/>
    <xf numFmtId="0" fontId="5" fillId="0" borderId="0" xfId="4" applyFont="1" applyAlignment="1">
      <alignment horizontal="left"/>
    </xf>
    <xf numFmtId="0" fontId="5" fillId="0" borderId="0" xfId="4" applyFont="1"/>
    <xf numFmtId="0" fontId="6" fillId="0" borderId="1" xfId="4" applyFont="1" applyBorder="1" applyAlignment="1">
      <alignment horizontal="center"/>
    </xf>
    <xf numFmtId="0" fontId="6" fillId="0" borderId="2" xfId="4" applyFont="1" applyBorder="1" applyAlignment="1">
      <alignment horizontal="center"/>
    </xf>
    <xf numFmtId="165" fontId="6" fillId="0" borderId="2" xfId="1" applyNumberFormat="1" applyFont="1" applyBorder="1" applyAlignment="1">
      <alignment horizontal="center"/>
    </xf>
    <xf numFmtId="49" fontId="6" fillId="0" borderId="4" xfId="4" applyNumberFormat="1" applyFont="1" applyBorder="1" applyAlignment="1">
      <alignment horizontal="left"/>
    </xf>
    <xf numFmtId="165" fontId="6" fillId="0" borderId="5" xfId="1" applyNumberFormat="1" applyFont="1" applyBorder="1" applyAlignment="1">
      <alignment horizontal="left" wrapText="1"/>
    </xf>
    <xf numFmtId="49" fontId="6" fillId="0" borderId="5" xfId="4" applyNumberFormat="1" applyFont="1" applyBorder="1" applyAlignment="1">
      <alignment horizontal="left"/>
    </xf>
    <xf numFmtId="49" fontId="6" fillId="0" borderId="5" xfId="4" applyNumberFormat="1" applyFont="1" applyBorder="1" applyAlignment="1">
      <alignment horizontal="left" wrapText="1"/>
    </xf>
    <xf numFmtId="49" fontId="6" fillId="0" borderId="6" xfId="4" applyNumberFormat="1" applyFont="1" applyBorder="1" applyAlignment="1">
      <alignment horizontal="left" wrapText="1"/>
    </xf>
    <xf numFmtId="166" fontId="6" fillId="0" borderId="6" xfId="4" applyNumberFormat="1" applyFont="1" applyBorder="1" applyAlignment="1">
      <alignment horizontal="left"/>
    </xf>
    <xf numFmtId="166" fontId="6" fillId="0" borderId="2" xfId="4" applyNumberFormat="1" applyFont="1" applyBorder="1" applyAlignment="1">
      <alignment horizontal="left"/>
    </xf>
    <xf numFmtId="17" fontId="6" fillId="0" borderId="4" xfId="4" applyNumberFormat="1" applyFont="1" applyBorder="1" applyAlignment="1">
      <alignment wrapText="1"/>
    </xf>
    <xf numFmtId="49" fontId="5" fillId="0" borderId="7" xfId="4" applyNumberFormat="1" applyFont="1" applyBorder="1" applyAlignment="1">
      <alignment horizontal="left"/>
    </xf>
    <xf numFmtId="165" fontId="5" fillId="0" borderId="7" xfId="1" applyNumberFormat="1" applyFont="1" applyBorder="1" applyAlignment="1">
      <alignment horizontal="left"/>
    </xf>
    <xf numFmtId="166" fontId="5" fillId="0" borderId="7" xfId="4" applyNumberFormat="1" applyFont="1" applyBorder="1" applyAlignment="1">
      <alignment horizontal="left"/>
    </xf>
    <xf numFmtId="166" fontId="5" fillId="0" borderId="7" xfId="4" applyNumberFormat="1" applyFont="1" applyBorder="1"/>
    <xf numFmtId="17" fontId="6" fillId="0" borderId="5" xfId="4" applyNumberFormat="1" applyFont="1" applyBorder="1" applyAlignment="1">
      <alignment wrapText="1"/>
    </xf>
    <xf numFmtId="17" fontId="6" fillId="0" borderId="10" xfId="4" applyNumberFormat="1" applyFont="1" applyBorder="1" applyAlignment="1">
      <alignment wrapText="1"/>
    </xf>
    <xf numFmtId="0" fontId="6" fillId="0" borderId="9" xfId="4" applyFont="1" applyBorder="1" applyAlignment="1">
      <alignment horizontal="left"/>
    </xf>
    <xf numFmtId="0" fontId="5" fillId="0" borderId="7" xfId="4" applyFont="1" applyBorder="1" applyAlignment="1">
      <alignment horizontal="left"/>
    </xf>
    <xf numFmtId="165" fontId="7" fillId="2" borderId="7" xfId="1" applyNumberFormat="1" applyFont="1" applyFill="1" applyBorder="1"/>
    <xf numFmtId="39" fontId="7" fillId="2" borderId="7" xfId="0" applyNumberFormat="1" applyFont="1" applyFill="1" applyBorder="1"/>
    <xf numFmtId="0" fontId="8" fillId="0" borderId="0" xfId="4" applyFont="1"/>
    <xf numFmtId="166" fontId="5" fillId="0" borderId="0" xfId="4" applyNumberFormat="1" applyFont="1" applyAlignment="1">
      <alignment horizontal="right"/>
    </xf>
    <xf numFmtId="165" fontId="9" fillId="0" borderId="7" xfId="1" applyNumberFormat="1" applyFont="1" applyBorder="1"/>
    <xf numFmtId="0" fontId="9" fillId="0" borderId="7" xfId="0" applyFont="1" applyBorder="1"/>
    <xf numFmtId="0" fontId="9" fillId="0" borderId="7" xfId="0" applyFont="1" applyBorder="1" applyAlignment="1">
      <alignment horizontal="left"/>
    </xf>
    <xf numFmtId="167" fontId="5" fillId="0" borderId="7" xfId="4" applyNumberFormat="1" applyFont="1" applyBorder="1" applyAlignment="1">
      <alignment horizontal="center" vertical="top"/>
    </xf>
    <xf numFmtId="49" fontId="9" fillId="0" borderId="7" xfId="0" applyNumberFormat="1" applyFont="1" applyBorder="1" applyAlignment="1">
      <alignment horizontal="left"/>
    </xf>
    <xf numFmtId="165" fontId="5" fillId="0" borderId="7" xfId="1" applyNumberFormat="1" applyFont="1" applyBorder="1"/>
    <xf numFmtId="0" fontId="5" fillId="0" borderId="7" xfId="8" applyFont="1" applyBorder="1"/>
    <xf numFmtId="167" fontId="5" fillId="0" borderId="7" xfId="4" applyNumberFormat="1" applyFont="1" applyBorder="1" applyAlignment="1">
      <alignment horizontal="center"/>
    </xf>
    <xf numFmtId="166" fontId="5" fillId="0" borderId="7" xfId="4" applyNumberFormat="1" applyFont="1" applyBorder="1" applyAlignment="1">
      <alignment horizontal="center"/>
    </xf>
    <xf numFmtId="167" fontId="9" fillId="0" borderId="7" xfId="4" applyNumberFormat="1" applyFont="1" applyBorder="1" applyAlignment="1">
      <alignment horizontal="center"/>
    </xf>
    <xf numFmtId="167" fontId="10" fillId="0" borderId="7" xfId="4" applyNumberFormat="1" applyFont="1" applyBorder="1" applyAlignment="1">
      <alignment horizontal="center"/>
    </xf>
    <xf numFmtId="167" fontId="10" fillId="0" borderId="7" xfId="2" applyNumberFormat="1" applyFont="1" applyFill="1" applyBorder="1" applyAlignment="1">
      <alignment horizontal="center"/>
    </xf>
    <xf numFmtId="167" fontId="11" fillId="0" borderId="7" xfId="4" applyNumberFormat="1" applyFont="1" applyBorder="1" applyAlignment="1">
      <alignment horizontal="center"/>
    </xf>
    <xf numFmtId="167" fontId="12" fillId="0" borderId="7" xfId="4" applyNumberFormat="1" applyFont="1" applyBorder="1" applyAlignment="1">
      <alignment horizontal="center"/>
    </xf>
    <xf numFmtId="0" fontId="9" fillId="0" borderId="7" xfId="4" applyFont="1" applyBorder="1" applyAlignment="1">
      <alignment horizontal="left"/>
    </xf>
    <xf numFmtId="0" fontId="9" fillId="0" borderId="7" xfId="4" applyFont="1" applyBorder="1" applyAlignment="1">
      <alignment horizontal="center"/>
    </xf>
    <xf numFmtId="0" fontId="13" fillId="0" borderId="7" xfId="4" applyFont="1" applyBorder="1" applyAlignment="1">
      <alignment horizontal="left"/>
    </xf>
    <xf numFmtId="166" fontId="13" fillId="0" borderId="7" xfId="4" applyNumberFormat="1" applyFont="1" applyBorder="1" applyAlignment="1">
      <alignment horizontal="left"/>
    </xf>
    <xf numFmtId="166" fontId="5" fillId="0" borderId="7" xfId="4" quotePrefix="1" applyNumberFormat="1" applyFont="1" applyBorder="1" applyAlignment="1">
      <alignment horizontal="left"/>
    </xf>
    <xf numFmtId="0" fontId="23" fillId="0" borderId="0" xfId="4" applyFont="1" applyAlignment="1">
      <alignment horizontal="left"/>
    </xf>
    <xf numFmtId="0" fontId="23" fillId="0" borderId="7" xfId="4" applyFont="1" applyBorder="1" applyAlignment="1">
      <alignment horizontal="left"/>
    </xf>
    <xf numFmtId="166" fontId="23" fillId="0" borderId="0" xfId="4" applyNumberFormat="1" applyFont="1" applyAlignment="1">
      <alignment horizontal="left"/>
    </xf>
    <xf numFmtId="0" fontId="21" fillId="0" borderId="11" xfId="4" applyFont="1" applyBorder="1" applyAlignment="1">
      <alignment horizontal="left"/>
    </xf>
    <xf numFmtId="0" fontId="21" fillId="0" borderId="0" xfId="4" applyFont="1" applyAlignment="1">
      <alignment horizontal="left"/>
    </xf>
    <xf numFmtId="0" fontId="26" fillId="0" borderId="0" xfId="4" applyFont="1" applyAlignment="1">
      <alignment horizontal="left"/>
    </xf>
    <xf numFmtId="49" fontId="23" fillId="0" borderId="0" xfId="4" applyNumberFormat="1" applyFont="1" applyAlignment="1">
      <alignment horizontal="left"/>
    </xf>
    <xf numFmtId="0" fontId="24" fillId="0" borderId="0" xfId="0" applyFont="1" applyAlignment="1">
      <alignment horizontal="left" vertical="top" wrapText="1"/>
    </xf>
    <xf numFmtId="0" fontId="27" fillId="0" borderId="0" xfId="0" applyFont="1" applyAlignment="1">
      <alignment horizontal="left" vertical="top"/>
    </xf>
    <xf numFmtId="0" fontId="28" fillId="0" borderId="0" xfId="0" applyFont="1" applyAlignment="1">
      <alignment horizontal="left" vertical="top"/>
    </xf>
    <xf numFmtId="0" fontId="22" fillId="0" borderId="0" xfId="0" applyFont="1" applyAlignment="1">
      <alignment horizontal="left" vertical="top"/>
    </xf>
    <xf numFmtId="0" fontId="29" fillId="0" borderId="0" xfId="0" applyFont="1" applyAlignment="1">
      <alignment horizontal="left" vertical="top" wrapText="1"/>
    </xf>
    <xf numFmtId="0" fontId="23" fillId="0" borderId="0" xfId="4" applyFont="1"/>
    <xf numFmtId="0" fontId="23" fillId="0" borderId="7" xfId="4" applyFont="1" applyBorder="1"/>
    <xf numFmtId="0" fontId="23" fillId="0" borderId="7" xfId="4" applyFont="1" applyBorder="1" applyAlignment="1">
      <alignment wrapText="1"/>
    </xf>
    <xf numFmtId="49" fontId="23" fillId="0" borderId="7" xfId="4" applyNumberFormat="1" applyFont="1" applyBorder="1" applyAlignment="1">
      <alignment horizontal="left"/>
    </xf>
    <xf numFmtId="166" fontId="23" fillId="0" borderId="7" xfId="4" applyNumberFormat="1" applyFont="1" applyBorder="1" applyAlignment="1">
      <alignment horizontal="left"/>
    </xf>
    <xf numFmtId="0" fontId="33" fillId="0" borderId="7" xfId="4" applyFont="1" applyBorder="1"/>
    <xf numFmtId="0" fontId="33" fillId="0" borderId="7" xfId="4" applyFont="1" applyBorder="1" applyAlignment="1">
      <alignment wrapText="1"/>
    </xf>
    <xf numFmtId="0" fontId="33" fillId="0" borderId="0" xfId="4" applyFont="1"/>
    <xf numFmtId="0" fontId="30" fillId="0" borderId="0" xfId="4" applyFont="1" applyAlignment="1">
      <alignment horizontal="left"/>
    </xf>
    <xf numFmtId="14" fontId="23" fillId="0" borderId="7" xfId="4" applyNumberFormat="1" applyFont="1" applyBorder="1" applyAlignment="1">
      <alignment horizontal="left"/>
    </xf>
    <xf numFmtId="0" fontId="33" fillId="0" borderId="7" xfId="4" applyFont="1" applyBorder="1" applyAlignment="1">
      <alignment horizontal="left"/>
    </xf>
    <xf numFmtId="14" fontId="33" fillId="0" borderId="7" xfId="4" applyNumberFormat="1" applyFont="1" applyBorder="1" applyAlignment="1">
      <alignment horizontal="left"/>
    </xf>
    <xf numFmtId="0" fontId="33" fillId="0" borderId="0" xfId="4" applyFont="1" applyAlignment="1">
      <alignment horizontal="left"/>
    </xf>
    <xf numFmtId="0" fontId="24" fillId="0" borderId="0" xfId="0" applyFont="1" applyAlignment="1">
      <alignment horizontal="left" wrapText="1"/>
    </xf>
    <xf numFmtId="0" fontId="21" fillId="0" borderId="7" xfId="0" applyFont="1" applyBorder="1"/>
    <xf numFmtId="0" fontId="22" fillId="0" borderId="7" xfId="0" applyFont="1" applyBorder="1"/>
    <xf numFmtId="0" fontId="22" fillId="0" borderId="7" xfId="0" quotePrefix="1" applyFont="1" applyBorder="1"/>
    <xf numFmtId="3" fontId="22" fillId="0" borderId="7" xfId="0" applyNumberFormat="1" applyFont="1" applyBorder="1"/>
    <xf numFmtId="0" fontId="25" fillId="4" borderId="15" xfId="0" applyFont="1" applyFill="1" applyBorder="1" applyProtection="1">
      <protection locked="0"/>
    </xf>
    <xf numFmtId="14" fontId="25" fillId="4" borderId="15" xfId="0" applyNumberFormat="1" applyFont="1" applyFill="1" applyBorder="1" applyAlignment="1" applyProtection="1">
      <alignment horizontal="left"/>
      <protection locked="0"/>
    </xf>
    <xf numFmtId="0" fontId="40" fillId="0" borderId="7" xfId="11" quotePrefix="1" applyFont="1" applyBorder="1" applyAlignment="1" applyProtection="1">
      <alignment horizontal="left" vertical="top" wrapText="1"/>
      <protection locked="0"/>
    </xf>
    <xf numFmtId="0" fontId="40" fillId="0" borderId="7" xfId="11" quotePrefix="1" applyFont="1" applyBorder="1" applyAlignment="1" applyProtection="1">
      <alignment horizontal="left" vertical="top"/>
      <protection locked="0"/>
    </xf>
    <xf numFmtId="0" fontId="40" fillId="0" borderId="7" xfId="11" applyFont="1" applyBorder="1" applyAlignment="1" applyProtection="1">
      <alignment horizontal="left" vertical="top" wrapText="1"/>
      <protection locked="0"/>
    </xf>
    <xf numFmtId="14" fontId="40" fillId="0" borderId="7" xfId="11" applyNumberFormat="1" applyFont="1" applyBorder="1" applyAlignment="1" applyProtection="1">
      <alignment horizontal="left"/>
      <protection locked="0"/>
    </xf>
    <xf numFmtId="0" fontId="30" fillId="0" borderId="7" xfId="4" applyFont="1" applyBorder="1"/>
    <xf numFmtId="0" fontId="30" fillId="0" borderId="0" xfId="4" applyFont="1"/>
    <xf numFmtId="49" fontId="30" fillId="0" borderId="7" xfId="4" applyNumberFormat="1" applyFont="1" applyBorder="1" applyAlignment="1">
      <alignment horizontal="left"/>
    </xf>
    <xf numFmtId="166" fontId="30" fillId="0" borderId="7" xfId="4" applyNumberFormat="1" applyFont="1" applyBorder="1" applyAlignment="1">
      <alignment horizontal="left"/>
    </xf>
    <xf numFmtId="14" fontId="40" fillId="0" borderId="7" xfId="11" quotePrefix="1" applyNumberFormat="1" applyFont="1" applyBorder="1" applyAlignment="1" applyProtection="1">
      <alignment horizontal="left" vertical="top"/>
      <protection locked="0"/>
    </xf>
    <xf numFmtId="0" fontId="40" fillId="0" borderId="7" xfId="11" applyFont="1" applyBorder="1" applyAlignment="1" applyProtection="1">
      <alignment horizontal="left" vertical="top"/>
      <protection locked="0"/>
    </xf>
    <xf numFmtId="14" fontId="40" fillId="0" borderId="7" xfId="11" quotePrefix="1" applyNumberFormat="1" applyFont="1" applyBorder="1" applyAlignment="1" applyProtection="1">
      <alignment horizontal="left" vertical="top" wrapText="1"/>
      <protection locked="0"/>
    </xf>
    <xf numFmtId="49" fontId="30" fillId="0" borderId="7" xfId="4" applyNumberFormat="1" applyFont="1" applyBorder="1" applyAlignment="1">
      <alignment horizontal="left" wrapText="1"/>
    </xf>
    <xf numFmtId="39" fontId="41" fillId="2" borderId="7" xfId="0" applyNumberFormat="1" applyFont="1" applyFill="1" applyBorder="1"/>
    <xf numFmtId="14" fontId="23" fillId="0" borderId="0" xfId="4" applyNumberFormat="1" applyFont="1" applyAlignment="1">
      <alignment horizontal="left"/>
    </xf>
    <xf numFmtId="0" fontId="30" fillId="0" borderId="15" xfId="4" applyFont="1" applyBorder="1"/>
    <xf numFmtId="39" fontId="41" fillId="0" borderId="7" xfId="0" applyNumberFormat="1" applyFont="1" applyBorder="1"/>
    <xf numFmtId="0" fontId="23" fillId="2" borderId="7" xfId="0" applyFont="1" applyFill="1" applyBorder="1"/>
    <xf numFmtId="0" fontId="40" fillId="0" borderId="7" xfId="0" applyFont="1" applyBorder="1" applyAlignment="1">
      <alignment horizontal="left" vertical="top" wrapText="1"/>
    </xf>
    <xf numFmtId="0" fontId="23" fillId="0" borderId="7" xfId="0" applyFont="1" applyBorder="1" applyAlignment="1">
      <alignment horizontal="left" vertical="top"/>
    </xf>
    <xf numFmtId="0" fontId="40" fillId="0" borderId="12" xfId="11" quotePrefix="1" applyFont="1" applyBorder="1" applyAlignment="1" applyProtection="1">
      <alignment horizontal="left" vertical="top" wrapText="1"/>
      <protection locked="0"/>
    </xf>
    <xf numFmtId="0" fontId="23" fillId="0" borderId="12" xfId="4" applyFont="1" applyBorder="1" applyAlignment="1">
      <alignment horizontal="left"/>
    </xf>
    <xf numFmtId="0" fontId="33" fillId="0" borderId="12" xfId="4" applyFont="1" applyBorder="1" applyAlignment="1">
      <alignment horizontal="left"/>
    </xf>
    <xf numFmtId="0" fontId="26" fillId="0" borderId="7" xfId="4" applyFont="1" applyBorder="1" applyAlignment="1">
      <alignment horizontal="left"/>
    </xf>
    <xf numFmtId="0" fontId="25" fillId="0" borderId="7" xfId="4" applyFont="1" applyBorder="1" applyAlignment="1">
      <alignment horizontal="left"/>
    </xf>
    <xf numFmtId="165" fontId="29" fillId="0" borderId="0" xfId="1" applyNumberFormat="1" applyFont="1" applyAlignment="1">
      <alignment horizontal="left" vertical="top" wrapText="1"/>
    </xf>
    <xf numFmtId="0" fontId="40" fillId="0" borderId="7" xfId="0" applyFont="1" applyBorder="1" applyAlignment="1">
      <alignment horizontal="left"/>
    </xf>
    <xf numFmtId="49" fontId="33" fillId="0" borderId="7" xfId="4" applyNumberFormat="1" applyFont="1" applyBorder="1" applyAlignment="1">
      <alignment horizontal="left"/>
    </xf>
    <xf numFmtId="0" fontId="33" fillId="0" borderId="7" xfId="0" applyFont="1" applyBorder="1" applyAlignment="1">
      <alignment horizontal="left"/>
    </xf>
    <xf numFmtId="0" fontId="33" fillId="0" borderId="7" xfId="0" applyFont="1" applyBorder="1" applyAlignment="1">
      <alignment horizontal="left" vertical="top" wrapText="1"/>
    </xf>
    <xf numFmtId="0" fontId="33" fillId="0" borderId="7" xfId="0" applyFont="1" applyBorder="1" applyAlignment="1">
      <alignment horizontal="left" vertical="top"/>
    </xf>
    <xf numFmtId="14" fontId="40" fillId="0" borderId="7" xfId="11" applyNumberFormat="1" applyFont="1" applyBorder="1" applyAlignment="1" applyProtection="1">
      <alignment horizontal="left" wrapText="1"/>
      <protection locked="0"/>
    </xf>
    <xf numFmtId="14" fontId="23" fillId="0" borderId="7" xfId="11" applyNumberFormat="1" applyFont="1" applyBorder="1" applyAlignment="1" applyProtection="1">
      <alignment horizontal="left"/>
      <protection locked="0"/>
    </xf>
    <xf numFmtId="0" fontId="33" fillId="0" borderId="7" xfId="11" quotePrefix="1" applyFont="1" applyBorder="1" applyAlignment="1" applyProtection="1">
      <alignment horizontal="left" vertical="top" wrapText="1"/>
      <protection locked="0"/>
    </xf>
    <xf numFmtId="0" fontId="33" fillId="0" borderId="7" xfId="11" applyFont="1" applyBorder="1" applyAlignment="1" applyProtection="1">
      <alignment horizontal="left" vertical="top"/>
      <protection locked="0"/>
    </xf>
    <xf numFmtId="0" fontId="25" fillId="0" borderId="7" xfId="0" applyFont="1" applyBorder="1" applyAlignment="1">
      <alignment horizontal="left"/>
    </xf>
    <xf numFmtId="0" fontId="40" fillId="0" borderId="0" xfId="0" applyFont="1" applyAlignment="1">
      <alignment horizontal="left"/>
    </xf>
    <xf numFmtId="49" fontId="40" fillId="0" borderId="7" xfId="0" applyNumberFormat="1" applyFont="1" applyBorder="1"/>
    <xf numFmtId="0" fontId="40" fillId="0" borderId="7" xfId="0" quotePrefix="1" applyFont="1" applyBorder="1" applyAlignment="1">
      <alignment horizontal="left"/>
    </xf>
    <xf numFmtId="49" fontId="40" fillId="0" borderId="7" xfId="0" applyNumberFormat="1" applyFont="1" applyBorder="1" applyAlignment="1">
      <alignment horizontal="left"/>
    </xf>
    <xf numFmtId="0" fontId="25" fillId="4" borderId="7" xfId="0" applyFont="1" applyFill="1" applyBorder="1" applyProtection="1">
      <protection locked="0"/>
    </xf>
    <xf numFmtId="1" fontId="40" fillId="0" borderId="7" xfId="0" quotePrefix="1" applyNumberFormat="1" applyFont="1" applyBorder="1"/>
    <xf numFmtId="49" fontId="40" fillId="0" borderId="7" xfId="0" quotePrefix="1" applyNumberFormat="1" applyFont="1" applyBorder="1" applyAlignment="1">
      <alignment horizontal="left"/>
    </xf>
    <xf numFmtId="49" fontId="40" fillId="0" borderId="7" xfId="2" quotePrefix="1" applyNumberFormat="1" applyFont="1" applyFill="1" applyBorder="1"/>
    <xf numFmtId="14" fontId="25" fillId="4" borderId="7" xfId="0" applyNumberFormat="1" applyFont="1" applyFill="1" applyBorder="1" applyAlignment="1" applyProtection="1">
      <alignment horizontal="left"/>
      <protection locked="0"/>
    </xf>
    <xf numFmtId="49" fontId="40" fillId="0" borderId="7" xfId="3" applyNumberFormat="1" applyFont="1" applyFill="1" applyBorder="1"/>
    <xf numFmtId="0" fontId="25" fillId="0" borderId="0" xfId="4" applyFont="1" applyAlignment="1">
      <alignment horizontal="left"/>
    </xf>
    <xf numFmtId="0" fontId="33" fillId="0" borderId="15" xfId="4" applyFont="1" applyBorder="1" applyAlignment="1">
      <alignment horizontal="left"/>
    </xf>
    <xf numFmtId="49" fontId="40" fillId="0" borderId="17" xfId="3" quotePrefix="1" applyNumberFormat="1" applyFont="1" applyFill="1" applyBorder="1"/>
    <xf numFmtId="49" fontId="40" fillId="0" borderId="7" xfId="3" quotePrefix="1" applyNumberFormat="1" applyFont="1" applyFill="1" applyBorder="1"/>
    <xf numFmtId="0" fontId="42" fillId="0" borderId="7" xfId="0" applyFont="1" applyBorder="1" applyAlignment="1" applyProtection="1">
      <alignment horizontal="left"/>
      <protection locked="0"/>
    </xf>
    <xf numFmtId="0" fontId="43" fillId="0" borderId="0" xfId="0" applyFont="1" applyAlignment="1">
      <alignment horizontal="left"/>
    </xf>
    <xf numFmtId="0" fontId="43" fillId="0" borderId="0" xfId="4" applyFont="1" applyAlignment="1">
      <alignment horizontal="left"/>
    </xf>
    <xf numFmtId="166" fontId="43" fillId="0" borderId="0" xfId="4" applyNumberFormat="1" applyFont="1" applyAlignment="1">
      <alignment horizontal="left"/>
    </xf>
    <xf numFmtId="0" fontId="43" fillId="4" borderId="0" xfId="0" applyFont="1" applyFill="1" applyProtection="1">
      <protection locked="0"/>
    </xf>
    <xf numFmtId="14" fontId="43" fillId="4" borderId="0" xfId="0" applyNumberFormat="1" applyFont="1" applyFill="1" applyAlignment="1" applyProtection="1">
      <alignment horizontal="left"/>
      <protection locked="0"/>
    </xf>
    <xf numFmtId="0" fontId="4" fillId="0" borderId="0" xfId="0" applyFont="1"/>
    <xf numFmtId="0" fontId="3" fillId="5" borderId="0" xfId="0" applyFont="1" applyFill="1"/>
    <xf numFmtId="0" fontId="35" fillId="0" borderId="7" xfId="0" applyFont="1" applyBorder="1" applyAlignment="1">
      <alignment horizontal="left"/>
    </xf>
    <xf numFmtId="0" fontId="40" fillId="0" borderId="10" xfId="11" quotePrefix="1" applyFont="1" applyBorder="1" applyAlignment="1" applyProtection="1">
      <alignment horizontal="left" vertical="top" wrapText="1"/>
      <protection locked="0"/>
    </xf>
    <xf numFmtId="49" fontId="44" fillId="0" borderId="7" xfId="12" applyNumberFormat="1" applyBorder="1"/>
    <xf numFmtId="14" fontId="40" fillId="0" borderId="10" xfId="11" applyNumberFormat="1" applyFont="1" applyBorder="1" applyAlignment="1" applyProtection="1">
      <alignment horizontal="left"/>
      <protection locked="0"/>
    </xf>
    <xf numFmtId="0" fontId="44" fillId="0" borderId="7" xfId="12" applyBorder="1" applyAlignment="1">
      <alignment horizontal="left"/>
    </xf>
    <xf numFmtId="0" fontId="44" fillId="0" borderId="15" xfId="12" applyBorder="1" applyAlignment="1">
      <alignment horizontal="left"/>
    </xf>
    <xf numFmtId="0" fontId="44" fillId="0" borderId="0" xfId="12" applyAlignment="1">
      <alignment horizontal="left"/>
    </xf>
    <xf numFmtId="0" fontId="40" fillId="0" borderId="0" xfId="0" quotePrefix="1" applyFont="1" applyAlignment="1">
      <alignment horizontal="left"/>
    </xf>
    <xf numFmtId="14" fontId="40" fillId="0" borderId="7" xfId="0" applyNumberFormat="1" applyFont="1" applyBorder="1" applyAlignment="1">
      <alignment horizontal="left"/>
    </xf>
    <xf numFmtId="14" fontId="40" fillId="5" borderId="7" xfId="11" applyNumberFormat="1" applyFont="1" applyFill="1" applyBorder="1" applyAlignment="1" applyProtection="1">
      <alignment horizontal="left"/>
      <protection locked="0"/>
    </xf>
    <xf numFmtId="0" fontId="40" fillId="0" borderId="13" xfId="11" quotePrefix="1" applyFont="1" applyBorder="1" applyAlignment="1" applyProtection="1">
      <alignment horizontal="left" vertical="top" wrapText="1"/>
      <protection locked="0"/>
    </xf>
    <xf numFmtId="0" fontId="40" fillId="0" borderId="16" xfId="11" quotePrefix="1" applyFont="1" applyBorder="1" applyAlignment="1" applyProtection="1">
      <alignment horizontal="left" vertical="top" wrapText="1"/>
      <protection locked="0"/>
    </xf>
    <xf numFmtId="0" fontId="40" fillId="0" borderId="0" xfId="11" quotePrefix="1" applyFont="1" applyAlignment="1" applyProtection="1">
      <alignment horizontal="left" vertical="top" wrapText="1"/>
      <protection locked="0"/>
    </xf>
    <xf numFmtId="14" fontId="40" fillId="6" borderId="7" xfId="11" applyNumberFormat="1" applyFont="1" applyFill="1" applyBorder="1" applyAlignment="1" applyProtection="1">
      <alignment horizontal="left"/>
      <protection locked="0"/>
    </xf>
    <xf numFmtId="0" fontId="44" fillId="0" borderId="7" xfId="12" quotePrefix="1" applyBorder="1" applyAlignment="1" applyProtection="1">
      <alignment horizontal="left" vertical="top" wrapText="1"/>
      <protection locked="0"/>
    </xf>
    <xf numFmtId="14" fontId="23" fillId="0" borderId="0" xfId="4" applyNumberFormat="1" applyFont="1"/>
    <xf numFmtId="39" fontId="33" fillId="2" borderId="7" xfId="0" applyNumberFormat="1" applyFont="1" applyFill="1" applyBorder="1"/>
    <xf numFmtId="0" fontId="40" fillId="0" borderId="0" xfId="0" applyFont="1" applyAlignment="1">
      <alignment horizontal="left" vertical="top" wrapText="1"/>
    </xf>
    <xf numFmtId="49" fontId="46" fillId="0" borderId="7" xfId="0" applyNumberFormat="1" applyFont="1" applyBorder="1"/>
    <xf numFmtId="0" fontId="47" fillId="0" borderId="7" xfId="12" quotePrefix="1" applyFont="1" applyBorder="1" applyAlignment="1" applyProtection="1">
      <alignment horizontal="left" vertical="top" wrapText="1"/>
      <protection locked="0"/>
    </xf>
    <xf numFmtId="39" fontId="47" fillId="2" borderId="7" xfId="12" applyNumberFormat="1" applyFont="1" applyFill="1" applyBorder="1"/>
    <xf numFmtId="0" fontId="40" fillId="6" borderId="7" xfId="11" quotePrefix="1" applyFont="1" applyFill="1" applyBorder="1" applyAlignment="1" applyProtection="1">
      <alignment horizontal="left" vertical="top" wrapText="1"/>
      <protection locked="0"/>
    </xf>
    <xf numFmtId="0" fontId="40" fillId="6" borderId="7" xfId="11" applyFont="1" applyFill="1" applyBorder="1" applyAlignment="1" applyProtection="1">
      <alignment horizontal="left" vertical="top" wrapText="1"/>
      <protection locked="0"/>
    </xf>
    <xf numFmtId="0" fontId="45" fillId="0" borderId="7" xfId="12" quotePrefix="1" applyFont="1" applyBorder="1" applyAlignment="1" applyProtection="1">
      <alignment horizontal="left" vertical="top" wrapText="1"/>
      <protection locked="0"/>
    </xf>
    <xf numFmtId="0" fontId="23" fillId="0" borderId="7" xfId="4" quotePrefix="1" applyFont="1" applyBorder="1"/>
    <xf numFmtId="14" fontId="33" fillId="0" borderId="0" xfId="4" applyNumberFormat="1" applyFont="1" applyAlignment="1">
      <alignment horizontal="left"/>
    </xf>
    <xf numFmtId="0" fontId="30" fillId="0" borderId="7" xfId="4" applyFont="1" applyBorder="1" applyAlignment="1">
      <alignment horizontal="left"/>
    </xf>
    <xf numFmtId="0" fontId="40" fillId="0" borderId="12" xfId="11" applyFont="1" applyBorder="1" applyAlignment="1" applyProtection="1">
      <alignment horizontal="left" vertical="top" wrapText="1"/>
      <protection locked="0"/>
    </xf>
    <xf numFmtId="0" fontId="40" fillId="0" borderId="12" xfId="11" quotePrefix="1" applyFont="1" applyBorder="1" applyAlignment="1" applyProtection="1">
      <alignment horizontal="left" vertical="top"/>
      <protection locked="0"/>
    </xf>
    <xf numFmtId="14" fontId="25" fillId="0" borderId="7" xfId="4" applyNumberFormat="1" applyFont="1" applyBorder="1" applyAlignment="1">
      <alignment horizontal="left"/>
    </xf>
    <xf numFmtId="14" fontId="26" fillId="0" borderId="7" xfId="4" applyNumberFormat="1" applyFont="1" applyBorder="1" applyAlignment="1">
      <alignment horizontal="left"/>
    </xf>
    <xf numFmtId="0" fontId="48" fillId="0" borderId="7" xfId="12" quotePrefix="1" applyFont="1" applyBorder="1" applyAlignment="1" applyProtection="1">
      <alignment horizontal="left" vertical="top" wrapText="1"/>
      <protection locked="0"/>
    </xf>
    <xf numFmtId="0" fontId="33" fillId="0" borderId="7" xfId="0" quotePrefix="1" applyFont="1" applyBorder="1" applyAlignment="1">
      <alignment horizontal="left"/>
    </xf>
    <xf numFmtId="14" fontId="26" fillId="0" borderId="0" xfId="4" applyNumberFormat="1" applyFont="1" applyAlignment="1">
      <alignment horizontal="left"/>
    </xf>
    <xf numFmtId="0" fontId="48" fillId="0" borderId="7" xfId="12" applyFont="1" applyBorder="1" applyAlignment="1">
      <alignment horizontal="left"/>
    </xf>
    <xf numFmtId="0" fontId="40" fillId="5" borderId="7" xfId="0" applyFont="1" applyFill="1" applyBorder="1" applyAlignment="1">
      <alignment horizontal="left" vertical="top" wrapText="1"/>
    </xf>
    <xf numFmtId="0" fontId="33" fillId="0" borderId="7" xfId="0" quotePrefix="1" applyFont="1" applyBorder="1" applyAlignment="1">
      <alignment horizontal="left" vertical="top" wrapText="1"/>
    </xf>
    <xf numFmtId="0" fontId="33" fillId="0" borderId="10" xfId="0" applyFont="1" applyBorder="1" applyAlignment="1">
      <alignment horizontal="left" vertical="top" wrapText="1"/>
    </xf>
    <xf numFmtId="39" fontId="33" fillId="2" borderId="7" xfId="0" quotePrefix="1" applyNumberFormat="1" applyFont="1" applyFill="1" applyBorder="1"/>
    <xf numFmtId="39" fontId="33" fillId="2" borderId="13" xfId="0" quotePrefix="1" applyNumberFormat="1" applyFont="1" applyFill="1" applyBorder="1"/>
    <xf numFmtId="0" fontId="23" fillId="0" borderId="0" xfId="0" applyFont="1" applyAlignment="1">
      <alignment horizontal="left" vertical="top"/>
    </xf>
    <xf numFmtId="49" fontId="46" fillId="0" borderId="7" xfId="2" quotePrefix="1" applyNumberFormat="1" applyFont="1" applyFill="1" applyBorder="1"/>
    <xf numFmtId="49" fontId="47" fillId="0" borderId="7" xfId="12" applyNumberFormat="1" applyFont="1" applyBorder="1"/>
    <xf numFmtId="0" fontId="47" fillId="0" borderId="7" xfId="12" applyFont="1" applyBorder="1"/>
    <xf numFmtId="0" fontId="47" fillId="0" borderId="7" xfId="12" applyFont="1" applyBorder="1" applyAlignment="1">
      <alignment horizontal="left"/>
    </xf>
    <xf numFmtId="0" fontId="47" fillId="0" borderId="10" xfId="12" quotePrefix="1" applyFont="1" applyBorder="1" applyAlignment="1" applyProtection="1">
      <alignment horizontal="left" vertical="top" wrapText="1"/>
      <protection locked="0"/>
    </xf>
    <xf numFmtId="49" fontId="33" fillId="0" borderId="15" xfId="4" applyNumberFormat="1" applyFont="1" applyBorder="1" applyAlignment="1">
      <alignment horizontal="left"/>
    </xf>
    <xf numFmtId="0" fontId="33" fillId="0" borderId="15" xfId="0" applyFont="1" applyBorder="1" applyAlignment="1">
      <alignment horizontal="left"/>
    </xf>
    <xf numFmtId="49" fontId="44" fillId="0" borderId="7" xfId="12" applyNumberFormat="1" applyFill="1" applyBorder="1"/>
    <xf numFmtId="49" fontId="48" fillId="0" borderId="7" xfId="12" applyNumberFormat="1" applyFont="1" applyFill="1" applyBorder="1"/>
    <xf numFmtId="49" fontId="40" fillId="0" borderId="16" xfId="3" quotePrefix="1" applyNumberFormat="1" applyFont="1" applyFill="1" applyBorder="1"/>
    <xf numFmtId="49" fontId="40" fillId="0" borderId="10" xfId="3" applyNumberFormat="1" applyFont="1" applyFill="1" applyBorder="1"/>
    <xf numFmtId="0" fontId="33" fillId="0" borderId="7" xfId="11" applyFont="1" applyBorder="1" applyAlignment="1" applyProtection="1">
      <alignment horizontal="left" vertical="top" wrapText="1"/>
      <protection locked="0"/>
    </xf>
    <xf numFmtId="14" fontId="33" fillId="0" borderId="7" xfId="11" applyNumberFormat="1" applyFont="1" applyBorder="1" applyAlignment="1" applyProtection="1">
      <alignment horizontal="left"/>
      <protection locked="0"/>
    </xf>
    <xf numFmtId="49" fontId="44" fillId="0" borderId="7" xfId="12" quotePrefix="1" applyNumberFormat="1" applyFill="1" applyBorder="1"/>
    <xf numFmtId="14" fontId="23" fillId="0" borderId="7" xfId="4" applyNumberFormat="1" applyFont="1" applyBorder="1"/>
    <xf numFmtId="49" fontId="44" fillId="0" borderId="10" xfId="12" applyNumberFormat="1" applyFill="1" applyBorder="1"/>
    <xf numFmtId="0" fontId="33" fillId="0" borderId="15" xfId="0" quotePrefix="1" applyFont="1" applyBorder="1" applyAlignment="1">
      <alignment horizontal="left"/>
    </xf>
    <xf numFmtId="49" fontId="44" fillId="0" borderId="17" xfId="12" quotePrefix="1" applyNumberFormat="1" applyFill="1" applyBorder="1"/>
    <xf numFmtId="14" fontId="33" fillId="0" borderId="7" xfId="0" applyNumberFormat="1" applyFont="1" applyBorder="1" applyAlignment="1">
      <alignment horizontal="left"/>
    </xf>
    <xf numFmtId="49" fontId="40" fillId="0" borderId="7" xfId="0" quotePrefix="1" applyNumberFormat="1" applyFont="1" applyBorder="1"/>
    <xf numFmtId="49" fontId="47" fillId="0" borderId="7" xfId="12" applyNumberFormat="1" applyFont="1" applyBorder="1" applyAlignment="1">
      <alignment horizontal="left"/>
    </xf>
    <xf numFmtId="0" fontId="25" fillId="0" borderId="0" xfId="0" applyFont="1" applyAlignment="1">
      <alignment horizontal="left"/>
    </xf>
    <xf numFmtId="0" fontId="33" fillId="0" borderId="0" xfId="0" applyFont="1" applyAlignment="1">
      <alignment horizontal="left"/>
    </xf>
    <xf numFmtId="0" fontId="31" fillId="0" borderId="0" xfId="0" applyFont="1" applyAlignment="1">
      <alignment horizontal="left"/>
    </xf>
    <xf numFmtId="0" fontId="39" fillId="0" borderId="0" xfId="0" applyFont="1" applyAlignment="1">
      <alignment horizontal="left"/>
    </xf>
    <xf numFmtId="0" fontId="38" fillId="0" borderId="0" xfId="0" applyFont="1" applyAlignment="1">
      <alignment horizontal="left"/>
    </xf>
    <xf numFmtId="0" fontId="32" fillId="0" borderId="0" xfId="0" applyFont="1" applyAlignment="1">
      <alignment horizontal="left"/>
    </xf>
    <xf numFmtId="49" fontId="40" fillId="0" borderId="7" xfId="2" applyNumberFormat="1" applyFont="1" applyFill="1" applyBorder="1"/>
    <xf numFmtId="0" fontId="26" fillId="0" borderId="0" xfId="4" quotePrefix="1" applyFont="1" applyAlignment="1">
      <alignment horizontal="left"/>
    </xf>
    <xf numFmtId="0" fontId="26" fillId="7" borderId="0" xfId="4" applyFont="1" applyFill="1" applyAlignment="1">
      <alignment horizontal="left"/>
    </xf>
    <xf numFmtId="0" fontId="30" fillId="0" borderId="11" xfId="4" applyFont="1" applyBorder="1" applyAlignment="1">
      <alignment horizontal="left"/>
    </xf>
    <xf numFmtId="0" fontId="40" fillId="0" borderId="0" xfId="0" applyFont="1" applyAlignment="1">
      <alignment horizontal="left" wrapText="1"/>
    </xf>
    <xf numFmtId="0" fontId="48" fillId="0" borderId="0" xfId="12" applyFont="1" applyAlignment="1">
      <alignment horizontal="left"/>
    </xf>
    <xf numFmtId="39" fontId="48" fillId="2" borderId="7" xfId="12" applyNumberFormat="1" applyFont="1" applyFill="1" applyBorder="1"/>
    <xf numFmtId="49" fontId="48" fillId="0" borderId="7" xfId="12" applyNumberFormat="1" applyFont="1" applyBorder="1"/>
    <xf numFmtId="49" fontId="48" fillId="0" borderId="7" xfId="12" quotePrefix="1" applyNumberFormat="1" applyFont="1" applyFill="1" applyBorder="1"/>
    <xf numFmtId="49" fontId="48" fillId="0" borderId="17" xfId="12" quotePrefix="1" applyNumberFormat="1" applyFont="1" applyFill="1" applyBorder="1"/>
    <xf numFmtId="14" fontId="23" fillId="0" borderId="7" xfId="0" applyNumberFormat="1" applyFont="1" applyBorder="1" applyAlignment="1">
      <alignment horizontal="left" vertical="top"/>
    </xf>
    <xf numFmtId="49" fontId="40" fillId="0" borderId="7" xfId="4" applyNumberFormat="1" applyFont="1" applyBorder="1" applyAlignment="1">
      <alignment horizontal="left"/>
    </xf>
    <xf numFmtId="0" fontId="40" fillId="0" borderId="7" xfId="0" applyFont="1" applyBorder="1" applyAlignment="1">
      <alignment horizontal="left" vertical="top"/>
    </xf>
    <xf numFmtId="0" fontId="40" fillId="0" borderId="7" xfId="4" applyFont="1" applyBorder="1" applyAlignment="1">
      <alignment horizontal="left"/>
    </xf>
    <xf numFmtId="0" fontId="40" fillId="0" borderId="12" xfId="4" applyFont="1" applyBorder="1" applyAlignment="1">
      <alignment horizontal="left"/>
    </xf>
    <xf numFmtId="0" fontId="40" fillId="0" borderId="0" xfId="4" applyFont="1" applyAlignment="1">
      <alignment horizontal="left"/>
    </xf>
    <xf numFmtId="14" fontId="40" fillId="0" borderId="7" xfId="0" applyNumberFormat="1" applyFont="1" applyBorder="1" applyAlignment="1">
      <alignment horizontal="left" vertical="top"/>
    </xf>
    <xf numFmtId="0" fontId="50" fillId="0" borderId="7" xfId="12" quotePrefix="1" applyFont="1" applyBorder="1" applyAlignment="1" applyProtection="1">
      <alignment horizontal="left" vertical="top" wrapText="1"/>
      <protection locked="0"/>
    </xf>
    <xf numFmtId="39" fontId="33" fillId="0" borderId="7" xfId="0" applyNumberFormat="1" applyFont="1" applyBorder="1"/>
    <xf numFmtId="0" fontId="49" fillId="0" borderId="7" xfId="0" applyFont="1" applyBorder="1"/>
    <xf numFmtId="0" fontId="51" fillId="0" borderId="0" xfId="0" applyFont="1"/>
    <xf numFmtId="0" fontId="52" fillId="0" borderId="7" xfId="0" applyFont="1" applyBorder="1"/>
    <xf numFmtId="0" fontId="51" fillId="0" borderId="7" xfId="0" applyFont="1" applyBorder="1"/>
    <xf numFmtId="0" fontId="56" fillId="0" borderId="7" xfId="0" applyFont="1" applyBorder="1"/>
    <xf numFmtId="0" fontId="56" fillId="0" borderId="7" xfId="0" applyFont="1" applyBorder="1" applyAlignment="1">
      <alignment horizontal="left"/>
    </xf>
    <xf numFmtId="1" fontId="56" fillId="0" borderId="7" xfId="0" applyNumberFormat="1" applyFont="1" applyBorder="1" applyAlignment="1">
      <alignment horizontal="center"/>
    </xf>
    <xf numFmtId="0" fontId="54" fillId="0" borderId="7" xfId="0" applyFont="1" applyBorder="1"/>
    <xf numFmtId="0" fontId="54" fillId="0" borderId="7" xfId="0" applyFont="1" applyBorder="1" applyAlignment="1">
      <alignment horizontal="left"/>
    </xf>
    <xf numFmtId="1" fontId="54" fillId="0" borderId="7" xfId="0" applyNumberFormat="1" applyFont="1" applyBorder="1" applyAlignment="1">
      <alignment horizontal="center"/>
    </xf>
    <xf numFmtId="164" fontId="54" fillId="0" borderId="7" xfId="1" applyFont="1" applyFill="1" applyBorder="1" applyAlignment="1">
      <alignment horizontal="center" vertical="center"/>
    </xf>
    <xf numFmtId="0" fontId="54" fillId="0" borderId="7" xfId="0" quotePrefix="1" applyFont="1" applyBorder="1" applyAlignment="1">
      <alignment horizontal="center"/>
    </xf>
    <xf numFmtId="0" fontId="54" fillId="0" borderId="7" xfId="0" quotePrefix="1" applyFont="1" applyBorder="1" applyAlignment="1">
      <alignment horizontal="left"/>
    </xf>
    <xf numFmtId="0" fontId="54" fillId="0" borderId="7" xfId="0" applyFont="1" applyBorder="1" applyAlignment="1">
      <alignment horizontal="center"/>
    </xf>
    <xf numFmtId="0" fontId="54" fillId="0" borderId="0" xfId="0" applyFont="1" applyAlignment="1">
      <alignment horizontal="left"/>
    </xf>
    <xf numFmtId="0" fontId="51" fillId="0" borderId="0" xfId="0" quotePrefix="1" applyFont="1" applyAlignment="1">
      <alignment horizontal="center"/>
    </xf>
    <xf numFmtId="0" fontId="54" fillId="2" borderId="7" xfId="13" quotePrefix="1" applyNumberFormat="1" applyFont="1" applyFill="1" applyBorder="1" applyAlignment="1">
      <alignment horizontal="center"/>
    </xf>
    <xf numFmtId="0" fontId="54" fillId="0" borderId="12" xfId="0" applyFont="1" applyBorder="1" applyAlignment="1">
      <alignment horizontal="left"/>
    </xf>
    <xf numFmtId="164" fontId="56" fillId="0" borderId="7" xfId="1" applyFont="1" applyFill="1" applyBorder="1" applyAlignment="1">
      <alignment horizontal="center" vertical="center"/>
    </xf>
    <xf numFmtId="0" fontId="2" fillId="0" borderId="0" xfId="0" applyFont="1"/>
    <xf numFmtId="0" fontId="51" fillId="8" borderId="7" xfId="0" applyFont="1" applyFill="1" applyBorder="1"/>
    <xf numFmtId="14" fontId="33" fillId="0" borderId="0" xfId="4" applyNumberFormat="1" applyFont="1"/>
    <xf numFmtId="0" fontId="50" fillId="0" borderId="7" xfId="12" applyFont="1" applyBorder="1" applyAlignment="1">
      <alignment horizontal="left"/>
    </xf>
    <xf numFmtId="49" fontId="33" fillId="0" borderId="7" xfId="0" applyNumberFormat="1" applyFont="1" applyBorder="1"/>
    <xf numFmtId="49" fontId="50" fillId="0" borderId="7" xfId="12" applyNumberFormat="1" applyFont="1" applyBorder="1"/>
    <xf numFmtId="49" fontId="33" fillId="0" borderId="7" xfId="0" quotePrefix="1" applyNumberFormat="1" applyFont="1" applyBorder="1"/>
    <xf numFmtId="0" fontId="40" fillId="0" borderId="7" xfId="0" quotePrefix="1" applyFont="1" applyBorder="1" applyAlignment="1">
      <alignment horizontal="left" vertical="top" wrapText="1"/>
    </xf>
    <xf numFmtId="0" fontId="44" fillId="0" borderId="7" xfId="12" applyBorder="1" applyAlignment="1">
      <alignment horizontal="left" vertical="top" wrapText="1"/>
    </xf>
    <xf numFmtId="0" fontId="31" fillId="0" borderId="7" xfId="0" applyFont="1" applyBorder="1"/>
    <xf numFmtId="0" fontId="31" fillId="0" borderId="7" xfId="0" quotePrefix="1" applyFont="1" applyBorder="1"/>
    <xf numFmtId="0" fontId="57" fillId="0" borderId="0" xfId="0" applyFont="1"/>
    <xf numFmtId="0" fontId="52" fillId="0" borderId="0" xfId="0" applyFont="1"/>
    <xf numFmtId="14" fontId="40" fillId="0" borderId="13" xfId="11" quotePrefix="1" applyNumberFormat="1" applyFont="1" applyBorder="1" applyAlignment="1" applyProtection="1">
      <alignment horizontal="left" vertical="top"/>
      <protection locked="0"/>
    </xf>
    <xf numFmtId="39" fontId="50" fillId="2" borderId="7" xfId="12" applyNumberFormat="1" applyFont="1" applyFill="1" applyBorder="1"/>
    <xf numFmtId="0" fontId="53" fillId="3" borderId="7" xfId="0" applyFont="1" applyFill="1" applyBorder="1"/>
    <xf numFmtId="0" fontId="53" fillId="5" borderId="7" xfId="0" applyFont="1" applyFill="1" applyBorder="1"/>
    <xf numFmtId="0" fontId="53" fillId="3" borderId="7" xfId="0" applyFont="1" applyFill="1" applyBorder="1" applyAlignment="1">
      <alignment horizontal="left"/>
    </xf>
    <xf numFmtId="49" fontId="54" fillId="3" borderId="7" xfId="5" applyNumberFormat="1" applyFont="1" applyFill="1" applyBorder="1" applyAlignment="1">
      <alignment horizontal="left"/>
    </xf>
    <xf numFmtId="0" fontId="51" fillId="5" borderId="7" xfId="0" applyFont="1" applyFill="1" applyBorder="1"/>
    <xf numFmtId="0" fontId="51" fillId="0" borderId="10" xfId="0" applyFont="1" applyBorder="1"/>
    <xf numFmtId="0" fontId="53" fillId="3" borderId="10" xfId="0" applyFont="1" applyFill="1" applyBorder="1"/>
    <xf numFmtId="0" fontId="55" fillId="3" borderId="0" xfId="0" applyFont="1" applyFill="1"/>
    <xf numFmtId="0" fontId="1" fillId="0" borderId="0" xfId="0" applyFont="1"/>
    <xf numFmtId="49" fontId="33" fillId="0" borderId="10" xfId="4" applyNumberFormat="1" applyFont="1" applyBorder="1" applyAlignment="1">
      <alignment horizontal="left"/>
    </xf>
    <xf numFmtId="39" fontId="33" fillId="2" borderId="10" xfId="0" applyNumberFormat="1" applyFont="1" applyFill="1" applyBorder="1"/>
    <xf numFmtId="39" fontId="33" fillId="2" borderId="10" xfId="0" quotePrefix="1" applyNumberFormat="1" applyFont="1" applyFill="1" applyBorder="1"/>
    <xf numFmtId="39" fontId="44" fillId="2" borderId="10" xfId="12" applyNumberFormat="1" applyFill="1" applyBorder="1"/>
    <xf numFmtId="0" fontId="47" fillId="0" borderId="7" xfId="12" applyFont="1" applyBorder="1" applyAlignment="1">
      <alignment horizontal="left" vertical="top" wrapText="1"/>
    </xf>
    <xf numFmtId="0" fontId="33" fillId="0" borderId="10" xfId="4" applyFont="1" applyBorder="1"/>
    <xf numFmtId="0" fontId="33" fillId="0" borderId="10" xfId="4" applyFont="1" applyBorder="1" applyAlignment="1">
      <alignment horizontal="left"/>
    </xf>
    <xf numFmtId="14" fontId="40" fillId="0" borderId="7" xfId="11" applyNumberFormat="1" applyFont="1" applyBorder="1" applyAlignment="1" applyProtection="1">
      <alignment horizontal="left" vertical="top" wrapText="1"/>
      <protection locked="0"/>
    </xf>
    <xf numFmtId="0" fontId="58" fillId="0" borderId="10" xfId="12" quotePrefix="1" applyFont="1" applyBorder="1" applyAlignment="1" applyProtection="1">
      <alignment horizontal="left" vertical="top" wrapText="1"/>
      <protection locked="0"/>
    </xf>
    <xf numFmtId="0" fontId="58" fillId="0" borderId="7" xfId="12" quotePrefix="1" applyFont="1" applyBorder="1" applyAlignment="1" applyProtection="1">
      <alignment horizontal="left" vertical="top" wrapText="1"/>
      <protection locked="0"/>
    </xf>
    <xf numFmtId="0" fontId="59" fillId="0" borderId="7" xfId="11" quotePrefix="1" applyFont="1" applyBorder="1" applyAlignment="1" applyProtection="1">
      <alignment horizontal="left" vertical="top" wrapText="1"/>
      <protection locked="0"/>
    </xf>
    <xf numFmtId="49" fontId="58" fillId="0" borderId="7" xfId="12" applyNumberFormat="1" applyFont="1" applyBorder="1"/>
    <xf numFmtId="49" fontId="59" fillId="0" borderId="7" xfId="0" applyNumberFormat="1" applyFont="1" applyBorder="1"/>
    <xf numFmtId="0" fontId="58" fillId="0" borderId="7" xfId="12" applyFont="1" applyBorder="1" applyAlignment="1">
      <alignment horizontal="left"/>
    </xf>
    <xf numFmtId="49" fontId="33" fillId="0" borderId="0" xfId="4" applyNumberFormat="1" applyFont="1" applyAlignment="1">
      <alignment horizontal="left"/>
    </xf>
    <xf numFmtId="0" fontId="40" fillId="0" borderId="15" xfId="0" applyFont="1" applyBorder="1" applyAlignment="1">
      <alignment horizontal="left"/>
    </xf>
    <xf numFmtId="39" fontId="33" fillId="2" borderId="0" xfId="0" applyNumberFormat="1" applyFont="1" applyFill="1"/>
    <xf numFmtId="49" fontId="40" fillId="0" borderId="15" xfId="0" quotePrefix="1" applyNumberFormat="1" applyFont="1" applyBorder="1" applyAlignment="1">
      <alignment horizontal="left"/>
    </xf>
    <xf numFmtId="49" fontId="23" fillId="0" borderId="7" xfId="4" quotePrefix="1" applyNumberFormat="1" applyFont="1" applyBorder="1" applyAlignment="1">
      <alignment horizontal="left"/>
    </xf>
    <xf numFmtId="0" fontId="33" fillId="0" borderId="0" xfId="11" quotePrefix="1" applyFont="1" applyAlignment="1" applyProtection="1">
      <alignment horizontal="left" vertical="top" wrapText="1"/>
      <protection locked="0"/>
    </xf>
    <xf numFmtId="0" fontId="33" fillId="0" borderId="16" xfId="0" quotePrefix="1" applyFont="1" applyBorder="1" applyAlignment="1">
      <alignment horizontal="left"/>
    </xf>
    <xf numFmtId="49" fontId="40" fillId="0" borderId="15" xfId="0" applyNumberFormat="1" applyFont="1" applyBorder="1" applyAlignment="1">
      <alignment horizontal="left"/>
    </xf>
    <xf numFmtId="0" fontId="26" fillId="0" borderId="7" xfId="4" quotePrefix="1" applyFont="1" applyBorder="1" applyAlignment="1">
      <alignment horizontal="left"/>
    </xf>
    <xf numFmtId="0" fontId="33" fillId="0" borderId="10" xfId="0" quotePrefix="1" applyFont="1" applyBorder="1" applyAlignment="1">
      <alignment horizontal="left" vertical="top" wrapText="1"/>
    </xf>
    <xf numFmtId="0" fontId="33" fillId="0" borderId="10" xfId="0" applyFont="1" applyBorder="1" applyAlignment="1">
      <alignment horizontal="left"/>
    </xf>
    <xf numFmtId="49" fontId="47" fillId="0" borderId="15" xfId="12" applyNumberFormat="1" applyFont="1" applyBorder="1" applyAlignment="1">
      <alignment horizontal="left"/>
    </xf>
    <xf numFmtId="49" fontId="44" fillId="0" borderId="7" xfId="12" applyNumberFormat="1" applyBorder="1" applyAlignment="1">
      <alignment horizontal="left"/>
    </xf>
    <xf numFmtId="0" fontId="50" fillId="0" borderId="0" xfId="12" quotePrefix="1" applyFont="1" applyBorder="1" applyAlignment="1" applyProtection="1">
      <alignment horizontal="left" vertical="top" wrapText="1"/>
      <protection locked="0"/>
    </xf>
    <xf numFmtId="0" fontId="48" fillId="0" borderId="10" xfId="12" applyFont="1" applyBorder="1" applyAlignment="1">
      <alignment horizontal="left"/>
    </xf>
    <xf numFmtId="0" fontId="47" fillId="0" borderId="15" xfId="12" applyFont="1" applyBorder="1" applyAlignment="1">
      <alignment horizontal="left"/>
    </xf>
    <xf numFmtId="0" fontId="33" fillId="0" borderId="10" xfId="0" applyFont="1" applyBorder="1" applyAlignment="1">
      <alignment horizontal="left" vertical="top"/>
    </xf>
    <xf numFmtId="14" fontId="23" fillId="0" borderId="10" xfId="4" applyNumberFormat="1" applyFont="1" applyBorder="1" applyAlignment="1">
      <alignment horizontal="left"/>
    </xf>
    <xf numFmtId="0" fontId="40" fillId="0" borderId="15" xfId="11" quotePrefix="1" applyFont="1" applyBorder="1" applyAlignment="1" applyProtection="1">
      <alignment horizontal="left" vertical="top"/>
      <protection locked="0"/>
    </xf>
    <xf numFmtId="0" fontId="40" fillId="0" borderId="15" xfId="11" applyFont="1" applyBorder="1" applyAlignment="1" applyProtection="1">
      <alignment horizontal="left" vertical="top" wrapText="1"/>
      <protection locked="0"/>
    </xf>
    <xf numFmtId="0" fontId="40" fillId="0" borderId="0" xfId="11" applyFont="1" applyAlignment="1" applyProtection="1">
      <alignment horizontal="left" vertical="top"/>
      <protection locked="0"/>
    </xf>
    <xf numFmtId="14" fontId="40" fillId="0" borderId="7" xfId="4" applyNumberFormat="1" applyFont="1" applyBorder="1" applyAlignment="1">
      <alignment horizontal="left"/>
    </xf>
    <xf numFmtId="39" fontId="60" fillId="2" borderId="7" xfId="12" applyNumberFormat="1" applyFont="1" applyFill="1" applyBorder="1"/>
    <xf numFmtId="0" fontId="61" fillId="0" borderId="7" xfId="12" applyFont="1" applyBorder="1" applyAlignment="1">
      <alignment horizontal="left"/>
    </xf>
    <xf numFmtId="0" fontId="60" fillId="0" borderId="15" xfId="12" applyFont="1" applyBorder="1" applyAlignment="1">
      <alignment horizontal="left"/>
    </xf>
    <xf numFmtId="0" fontId="25" fillId="0" borderId="15" xfId="0" applyFont="1" applyBorder="1" applyProtection="1">
      <protection locked="0"/>
    </xf>
    <xf numFmtId="49" fontId="33" fillId="0" borderId="7" xfId="3" quotePrefix="1" applyNumberFormat="1" applyFont="1" applyFill="1" applyBorder="1"/>
    <xf numFmtId="49" fontId="33" fillId="0" borderId="7" xfId="3" applyNumberFormat="1" applyFont="1" applyFill="1" applyBorder="1"/>
    <xf numFmtId="49" fontId="60" fillId="0" borderId="7" xfId="12" applyNumberFormat="1" applyFont="1" applyFill="1" applyBorder="1"/>
    <xf numFmtId="14" fontId="33" fillId="0" borderId="7" xfId="4" applyNumberFormat="1" applyFont="1" applyBorder="1"/>
    <xf numFmtId="49" fontId="40" fillId="0" borderId="0" xfId="4" applyNumberFormat="1" applyFont="1" applyAlignment="1">
      <alignment horizontal="left"/>
    </xf>
    <xf numFmtId="0" fontId="40" fillId="0" borderId="15" xfId="4" applyFont="1" applyBorder="1" applyAlignment="1">
      <alignment horizontal="left"/>
    </xf>
    <xf numFmtId="0" fontId="54" fillId="5" borderId="7" xfId="0" applyFont="1" applyFill="1" applyBorder="1"/>
    <xf numFmtId="0" fontId="54" fillId="5" borderId="7" xfId="0" quotePrefix="1" applyFont="1" applyFill="1" applyBorder="1" applyAlignment="1">
      <alignment horizontal="left"/>
    </xf>
    <xf numFmtId="0" fontId="54" fillId="5" borderId="7" xfId="0" quotePrefix="1" applyFont="1" applyFill="1" applyBorder="1" applyAlignment="1">
      <alignment horizontal="center"/>
    </xf>
    <xf numFmtId="164" fontId="54" fillId="5" borderId="7" xfId="1" applyFont="1" applyFill="1" applyBorder="1" applyAlignment="1">
      <alignment horizontal="center" vertical="center"/>
    </xf>
    <xf numFmtId="0" fontId="62" fillId="0" borderId="0" xfId="0" applyFont="1"/>
    <xf numFmtId="0" fontId="63" fillId="2" borderId="13" xfId="13" quotePrefix="1" applyNumberFormat="1" applyFont="1" applyFill="1" applyBorder="1" applyAlignment="1">
      <alignment horizontal="center"/>
    </xf>
    <xf numFmtId="14" fontId="40" fillId="0" borderId="15" xfId="4" applyNumberFormat="1" applyFont="1" applyBorder="1" applyAlignment="1">
      <alignment horizontal="left"/>
    </xf>
    <xf numFmtId="0" fontId="64" fillId="0" borderId="7" xfId="0" applyFont="1" applyBorder="1"/>
    <xf numFmtId="0" fontId="44" fillId="0" borderId="7" xfId="12" applyBorder="1"/>
    <xf numFmtId="49" fontId="13" fillId="0" borderId="7" xfId="4" applyNumberFormat="1" applyFont="1" applyBorder="1" applyAlignment="1">
      <alignment horizontal="left"/>
    </xf>
    <xf numFmtId="165" fontId="13" fillId="0" borderId="7" xfId="1" applyNumberFormat="1" applyFont="1" applyBorder="1"/>
    <xf numFmtId="0" fontId="13" fillId="0" borderId="7" xfId="8" applyFont="1" applyBorder="1"/>
    <xf numFmtId="167" fontId="13" fillId="0" borderId="7" xfId="4" applyNumberFormat="1" applyFont="1" applyBorder="1" applyAlignment="1">
      <alignment horizontal="center"/>
    </xf>
    <xf numFmtId="167" fontId="13" fillId="0" borderId="7" xfId="2" applyNumberFormat="1" applyFont="1" applyFill="1" applyBorder="1" applyAlignment="1">
      <alignment horizontal="center"/>
    </xf>
    <xf numFmtId="0" fontId="13" fillId="0" borderId="0" xfId="4" applyFont="1"/>
    <xf numFmtId="166" fontId="13" fillId="0" borderId="0" xfId="4" applyNumberFormat="1" applyFont="1" applyAlignment="1">
      <alignment horizontal="right"/>
    </xf>
    <xf numFmtId="167" fontId="65" fillId="0" borderId="7" xfId="4" applyNumberFormat="1" applyFont="1" applyBorder="1" applyAlignment="1">
      <alignment horizontal="center"/>
    </xf>
    <xf numFmtId="166" fontId="13" fillId="0" borderId="7" xfId="4" applyNumberFormat="1" applyFont="1" applyBorder="1" applyAlignment="1">
      <alignment horizontal="center"/>
    </xf>
    <xf numFmtId="166" fontId="13" fillId="0" borderId="7" xfId="4" applyNumberFormat="1" applyFont="1" applyBorder="1"/>
    <xf numFmtId="165" fontId="13" fillId="2" borderId="7" xfId="1" applyNumberFormat="1" applyFont="1" applyFill="1" applyBorder="1"/>
    <xf numFmtId="39" fontId="13" fillId="2" borderId="7" xfId="0" applyNumberFormat="1" applyFont="1" applyFill="1" applyBorder="1"/>
    <xf numFmtId="165" fontId="13" fillId="0" borderId="7" xfId="1" applyNumberFormat="1" applyFont="1" applyBorder="1" applyAlignment="1">
      <alignment horizontal="left"/>
    </xf>
    <xf numFmtId="49" fontId="33" fillId="0" borderId="7" xfId="2" quotePrefix="1" applyNumberFormat="1" applyFont="1" applyFill="1" applyBorder="1"/>
    <xf numFmtId="49" fontId="61" fillId="0" borderId="7" xfId="12" applyNumberFormat="1" applyFont="1" applyBorder="1"/>
    <xf numFmtId="166" fontId="33" fillId="0" borderId="7" xfId="4" applyNumberFormat="1" applyFont="1" applyBorder="1" applyAlignment="1">
      <alignment horizontal="left"/>
    </xf>
    <xf numFmtId="0" fontId="33" fillId="0" borderId="12" xfId="4" applyFont="1" applyBorder="1"/>
    <xf numFmtId="0" fontId="40" fillId="0" borderId="14" xfId="0" applyFont="1" applyBorder="1" applyAlignment="1">
      <alignment horizontal="left" wrapText="1"/>
    </xf>
    <xf numFmtId="0" fontId="40" fillId="0" borderId="13" xfId="0" applyFont="1" applyBorder="1" applyAlignment="1">
      <alignment horizontal="left" wrapText="1"/>
    </xf>
    <xf numFmtId="0" fontId="6" fillId="0" borderId="1" xfId="4" applyFont="1" applyBorder="1" applyAlignment="1">
      <alignment horizontal="center"/>
    </xf>
    <xf numFmtId="0" fontId="6" fillId="0" borderId="2" xfId="4" applyFont="1" applyBorder="1" applyAlignment="1">
      <alignment horizontal="center"/>
    </xf>
    <xf numFmtId="0" fontId="6" fillId="0" borderId="9" xfId="4" applyFont="1" applyBorder="1" applyAlignment="1">
      <alignment horizontal="center"/>
    </xf>
    <xf numFmtId="0" fontId="6" fillId="0" borderId="3" xfId="4" applyFont="1" applyBorder="1" applyAlignment="1">
      <alignment horizontal="center"/>
    </xf>
    <xf numFmtId="0" fontId="6" fillId="0" borderId="8" xfId="4" applyFont="1" applyBorder="1" applyAlignment="1">
      <alignment horizontal="center"/>
    </xf>
    <xf numFmtId="0" fontId="24" fillId="0" borderId="14" xfId="0" applyFont="1" applyBorder="1" applyAlignment="1">
      <alignment horizontal="left" wrapText="1"/>
    </xf>
    <xf numFmtId="0" fontId="24" fillId="0" borderId="13" xfId="0" applyFont="1" applyBorder="1" applyAlignment="1">
      <alignment horizontal="left" wrapText="1"/>
    </xf>
    <xf numFmtId="0" fontId="56" fillId="0" borderId="12" xfId="0" applyFont="1" applyBorder="1" applyAlignment="1">
      <alignment horizontal="left"/>
    </xf>
    <xf numFmtId="0" fontId="56" fillId="0" borderId="14" xfId="0" applyFont="1" applyBorder="1" applyAlignment="1">
      <alignment horizontal="left"/>
    </xf>
    <xf numFmtId="0" fontId="56" fillId="0" borderId="13" xfId="0" applyFont="1" applyBorder="1" applyAlignment="1">
      <alignment horizontal="left"/>
    </xf>
  </cellXfs>
  <cellStyles count="14">
    <cellStyle name="Comma" xfId="1" builtinId="3"/>
    <cellStyle name="Comma 2" xfId="2" xr:uid="{00000000-0005-0000-0000-000031000000}"/>
    <cellStyle name="Comma 2 2" xfId="3" xr:uid="{00000000-0005-0000-0000-000032000000}"/>
    <cellStyle name="Comma 3 2" xfId="13" xr:uid="{CE290C09-F846-4B6A-999B-4A4ECF6CC442}"/>
    <cellStyle name="Hyperlink" xfId="12" builtinId="8"/>
    <cellStyle name="Normal" xfId="0" builtinId="0"/>
    <cellStyle name="Normal 2" xfId="4" xr:uid="{00000000-0005-0000-0000-000033000000}"/>
    <cellStyle name="Normal 2 2" xfId="5" xr:uid="{00000000-0005-0000-0000-000034000000}"/>
    <cellStyle name="Normal 2 4" xfId="6" xr:uid="{00000000-0005-0000-0000-000035000000}"/>
    <cellStyle name="Normal 3" xfId="7" xr:uid="{00000000-0005-0000-0000-000036000000}"/>
    <cellStyle name="Normal 3 2" xfId="8" xr:uid="{00000000-0005-0000-0000-000037000000}"/>
    <cellStyle name="Normal 3 2 10 2" xfId="9" xr:uid="{00000000-0005-0000-0000-000038000000}"/>
    <cellStyle name="Normal 3 3" xfId="10" xr:uid="{00000000-0005-0000-0000-000039000000}"/>
    <cellStyle name="Normal 4 2" xfId="11" xr:uid="{10417C22-5997-44F8-8C68-3F3901C0357B}"/>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323232"/>
      </font>
    </dxf>
    <dxf>
      <font>
        <color rgb="FF32323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15</xdr:row>
      <xdr:rowOff>0</xdr:rowOff>
    </xdr:from>
    <xdr:ext cx="9525" cy="295275"/>
    <xdr:pic>
      <xdr:nvPicPr>
        <xdr:cNvPr id="2" name="Picture 82" descr="https://ssl.gstatic.com/ui/v1/icons/mail/images/cleardot.gif">
          <a:extLst>
            <a:ext uri="{FF2B5EF4-FFF2-40B4-BE49-F238E27FC236}">
              <a16:creationId xmlns:a16="http://schemas.microsoft.com/office/drawing/2014/main" id="{5C8156D2-8C19-4862-A15F-02BF11ED0C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 name="Picture 82" descr="https://ssl.gstatic.com/ui/v1/icons/mail/images/cleardot.gif">
          <a:extLst>
            <a:ext uri="{FF2B5EF4-FFF2-40B4-BE49-F238E27FC236}">
              <a16:creationId xmlns:a16="http://schemas.microsoft.com/office/drawing/2014/main" id="{AC3B1937-C12E-4DE4-BC71-9479D5C268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 name="Picture 82" descr="https://ssl.gstatic.com/ui/v1/icons/mail/images/cleardot.gif">
          <a:extLst>
            <a:ext uri="{FF2B5EF4-FFF2-40B4-BE49-F238E27FC236}">
              <a16:creationId xmlns:a16="http://schemas.microsoft.com/office/drawing/2014/main" id="{E589352A-F49B-4049-8E25-D900A8B3D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 name="Picture 82" descr="https://ssl.gstatic.com/ui/v1/icons/mail/images/cleardot.gif">
          <a:extLst>
            <a:ext uri="{FF2B5EF4-FFF2-40B4-BE49-F238E27FC236}">
              <a16:creationId xmlns:a16="http://schemas.microsoft.com/office/drawing/2014/main" id="{21E39956-6E21-4F6F-AC1E-DF8FC1AE61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 name="Picture 82" descr="https://ssl.gstatic.com/ui/v1/icons/mail/images/cleardot.gif">
          <a:extLst>
            <a:ext uri="{FF2B5EF4-FFF2-40B4-BE49-F238E27FC236}">
              <a16:creationId xmlns:a16="http://schemas.microsoft.com/office/drawing/2014/main" id="{C004505C-589D-421C-925C-053AA0E031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 name="Picture 82" descr="https://ssl.gstatic.com/ui/v1/icons/mail/images/cleardot.gif">
          <a:extLst>
            <a:ext uri="{FF2B5EF4-FFF2-40B4-BE49-F238E27FC236}">
              <a16:creationId xmlns:a16="http://schemas.microsoft.com/office/drawing/2014/main" id="{D9866848-3162-4BD3-BE93-A564DBAD03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 name="Picture 82" descr="https://ssl.gstatic.com/ui/v1/icons/mail/images/cleardot.gif">
          <a:extLst>
            <a:ext uri="{FF2B5EF4-FFF2-40B4-BE49-F238E27FC236}">
              <a16:creationId xmlns:a16="http://schemas.microsoft.com/office/drawing/2014/main" id="{A1EB5E89-66B3-4C72-9BF3-027782465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 name="Picture 82" descr="https://ssl.gstatic.com/ui/v1/icons/mail/images/cleardot.gif">
          <a:extLst>
            <a:ext uri="{FF2B5EF4-FFF2-40B4-BE49-F238E27FC236}">
              <a16:creationId xmlns:a16="http://schemas.microsoft.com/office/drawing/2014/main" id="{44E1BFA6-9F11-403F-A935-895B4C5A96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0" name="Picture 82" descr="https://ssl.gstatic.com/ui/v1/icons/mail/images/cleardot.gif">
          <a:extLst>
            <a:ext uri="{FF2B5EF4-FFF2-40B4-BE49-F238E27FC236}">
              <a16:creationId xmlns:a16="http://schemas.microsoft.com/office/drawing/2014/main" id="{9E15B25C-86D8-4F38-B215-79D85FC2EC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1" name="Picture 82" descr="https://ssl.gstatic.com/ui/v1/icons/mail/images/cleardot.gif">
          <a:extLst>
            <a:ext uri="{FF2B5EF4-FFF2-40B4-BE49-F238E27FC236}">
              <a16:creationId xmlns:a16="http://schemas.microsoft.com/office/drawing/2014/main" id="{2BAEB346-5EB4-42E2-8C83-16830599E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2" name="Picture 82" descr="https://ssl.gstatic.com/ui/v1/icons/mail/images/cleardot.gif">
          <a:extLst>
            <a:ext uri="{FF2B5EF4-FFF2-40B4-BE49-F238E27FC236}">
              <a16:creationId xmlns:a16="http://schemas.microsoft.com/office/drawing/2014/main" id="{A9E2D93D-53C9-4A78-B9D2-22BE408117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3" name="Picture 82" descr="https://ssl.gstatic.com/ui/v1/icons/mail/images/cleardot.gif">
          <a:extLst>
            <a:ext uri="{FF2B5EF4-FFF2-40B4-BE49-F238E27FC236}">
              <a16:creationId xmlns:a16="http://schemas.microsoft.com/office/drawing/2014/main" id="{435A1CF9-B0CE-4533-A225-609C4E7866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4" name="Picture 82" descr="https://ssl.gstatic.com/ui/v1/icons/mail/images/cleardot.gif">
          <a:extLst>
            <a:ext uri="{FF2B5EF4-FFF2-40B4-BE49-F238E27FC236}">
              <a16:creationId xmlns:a16="http://schemas.microsoft.com/office/drawing/2014/main" id="{76534C7B-70A8-4985-8DFC-3CAFE1EA5E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5" name="Picture 82" descr="https://ssl.gstatic.com/ui/v1/icons/mail/images/cleardot.gif">
          <a:extLst>
            <a:ext uri="{FF2B5EF4-FFF2-40B4-BE49-F238E27FC236}">
              <a16:creationId xmlns:a16="http://schemas.microsoft.com/office/drawing/2014/main" id="{084EBB85-0C90-4E63-A1D3-E666015E9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6" name="Picture 82" descr="https://ssl.gstatic.com/ui/v1/icons/mail/images/cleardot.gif">
          <a:extLst>
            <a:ext uri="{FF2B5EF4-FFF2-40B4-BE49-F238E27FC236}">
              <a16:creationId xmlns:a16="http://schemas.microsoft.com/office/drawing/2014/main" id="{C7E0AF27-EFF1-4A8F-81EE-3A187E42F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7" name="Picture 82" descr="https://ssl.gstatic.com/ui/v1/icons/mail/images/cleardot.gif">
          <a:extLst>
            <a:ext uri="{FF2B5EF4-FFF2-40B4-BE49-F238E27FC236}">
              <a16:creationId xmlns:a16="http://schemas.microsoft.com/office/drawing/2014/main" id="{2AD38623-8EA8-47C3-B231-B78B851272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8" name="Picture 82" descr="https://ssl.gstatic.com/ui/v1/icons/mail/images/cleardot.gif">
          <a:extLst>
            <a:ext uri="{FF2B5EF4-FFF2-40B4-BE49-F238E27FC236}">
              <a16:creationId xmlns:a16="http://schemas.microsoft.com/office/drawing/2014/main" id="{D89EFADB-E3BC-40F6-8161-3F1ADC3E9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9" name="Picture 82" descr="https://ssl.gstatic.com/ui/v1/icons/mail/images/cleardot.gif">
          <a:extLst>
            <a:ext uri="{FF2B5EF4-FFF2-40B4-BE49-F238E27FC236}">
              <a16:creationId xmlns:a16="http://schemas.microsoft.com/office/drawing/2014/main" id="{DA0925FC-D971-4DF3-9C90-494575A616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0" name="Picture 82" descr="https://ssl.gstatic.com/ui/v1/icons/mail/images/cleardot.gif">
          <a:extLst>
            <a:ext uri="{FF2B5EF4-FFF2-40B4-BE49-F238E27FC236}">
              <a16:creationId xmlns:a16="http://schemas.microsoft.com/office/drawing/2014/main" id="{61A167DB-E1C0-43D1-9DF4-91A54CBBB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1" name="Picture 82" descr="https://ssl.gstatic.com/ui/v1/icons/mail/images/cleardot.gif">
          <a:extLst>
            <a:ext uri="{FF2B5EF4-FFF2-40B4-BE49-F238E27FC236}">
              <a16:creationId xmlns:a16="http://schemas.microsoft.com/office/drawing/2014/main" id="{AD3CC884-C377-40F1-8FF0-2331C97E5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2" name="Picture 82" descr="https://ssl.gstatic.com/ui/v1/icons/mail/images/cleardot.gif">
          <a:extLst>
            <a:ext uri="{FF2B5EF4-FFF2-40B4-BE49-F238E27FC236}">
              <a16:creationId xmlns:a16="http://schemas.microsoft.com/office/drawing/2014/main" id="{F7E7718E-8B76-40AC-8183-1ABC7CBD72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3" name="Picture 82" descr="https://ssl.gstatic.com/ui/v1/icons/mail/images/cleardot.gif">
          <a:extLst>
            <a:ext uri="{FF2B5EF4-FFF2-40B4-BE49-F238E27FC236}">
              <a16:creationId xmlns:a16="http://schemas.microsoft.com/office/drawing/2014/main" id="{73F8F910-728D-4ADB-A184-E40BF9579E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4" name="Picture 82" descr="https://ssl.gstatic.com/ui/v1/icons/mail/images/cleardot.gif">
          <a:extLst>
            <a:ext uri="{FF2B5EF4-FFF2-40B4-BE49-F238E27FC236}">
              <a16:creationId xmlns:a16="http://schemas.microsoft.com/office/drawing/2014/main" id="{7BDCD16E-0120-4EBA-AF58-CBF1214068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5" name="Picture 82" descr="https://ssl.gstatic.com/ui/v1/icons/mail/images/cleardot.gif">
          <a:extLst>
            <a:ext uri="{FF2B5EF4-FFF2-40B4-BE49-F238E27FC236}">
              <a16:creationId xmlns:a16="http://schemas.microsoft.com/office/drawing/2014/main" id="{636380E1-E3F0-43D9-BEBC-98045CBA2F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6" name="Picture 82" descr="https://ssl.gstatic.com/ui/v1/icons/mail/images/cleardot.gif">
          <a:extLst>
            <a:ext uri="{FF2B5EF4-FFF2-40B4-BE49-F238E27FC236}">
              <a16:creationId xmlns:a16="http://schemas.microsoft.com/office/drawing/2014/main" id="{EDA97DEA-2376-4CF5-BC0C-19C9A92CE8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7" name="Picture 82" descr="https://ssl.gstatic.com/ui/v1/icons/mail/images/cleardot.gif">
          <a:extLst>
            <a:ext uri="{FF2B5EF4-FFF2-40B4-BE49-F238E27FC236}">
              <a16:creationId xmlns:a16="http://schemas.microsoft.com/office/drawing/2014/main" id="{CBE0784E-49CF-4E4B-995C-A41ED83B56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8" name="Picture 82" descr="https://ssl.gstatic.com/ui/v1/icons/mail/images/cleardot.gif">
          <a:extLst>
            <a:ext uri="{FF2B5EF4-FFF2-40B4-BE49-F238E27FC236}">
              <a16:creationId xmlns:a16="http://schemas.microsoft.com/office/drawing/2014/main" id="{F7150A53-9EE8-4982-A448-7A7700D305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29" name="Picture 82" descr="https://ssl.gstatic.com/ui/v1/icons/mail/images/cleardot.gif">
          <a:extLst>
            <a:ext uri="{FF2B5EF4-FFF2-40B4-BE49-F238E27FC236}">
              <a16:creationId xmlns:a16="http://schemas.microsoft.com/office/drawing/2014/main" id="{5AD54618-BF85-4EA5-B3AE-F50AB3BC5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0" name="Picture 82" descr="https://ssl.gstatic.com/ui/v1/icons/mail/images/cleardot.gif">
          <a:extLst>
            <a:ext uri="{FF2B5EF4-FFF2-40B4-BE49-F238E27FC236}">
              <a16:creationId xmlns:a16="http://schemas.microsoft.com/office/drawing/2014/main" id="{02104EB3-1AA1-4AEF-B7C0-E40896C233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1" name="Picture 82" descr="https://ssl.gstatic.com/ui/v1/icons/mail/images/cleardot.gif">
          <a:extLst>
            <a:ext uri="{FF2B5EF4-FFF2-40B4-BE49-F238E27FC236}">
              <a16:creationId xmlns:a16="http://schemas.microsoft.com/office/drawing/2014/main" id="{6B818BE9-1921-47F8-A29D-EBD5BA2EA2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2" name="Picture 82" descr="https://ssl.gstatic.com/ui/v1/icons/mail/images/cleardot.gif">
          <a:extLst>
            <a:ext uri="{FF2B5EF4-FFF2-40B4-BE49-F238E27FC236}">
              <a16:creationId xmlns:a16="http://schemas.microsoft.com/office/drawing/2014/main" id="{8AA466A8-494A-4D0E-915D-EFA9DA6362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3" name="Picture 82" descr="https://ssl.gstatic.com/ui/v1/icons/mail/images/cleardot.gif">
          <a:extLst>
            <a:ext uri="{FF2B5EF4-FFF2-40B4-BE49-F238E27FC236}">
              <a16:creationId xmlns:a16="http://schemas.microsoft.com/office/drawing/2014/main" id="{75BF88B2-4546-4754-A500-677C12835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4" name="Picture 82" descr="https://ssl.gstatic.com/ui/v1/icons/mail/images/cleardot.gif">
          <a:extLst>
            <a:ext uri="{FF2B5EF4-FFF2-40B4-BE49-F238E27FC236}">
              <a16:creationId xmlns:a16="http://schemas.microsoft.com/office/drawing/2014/main" id="{E88951E7-2D42-4768-8BAB-740C13AFB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5" name="Picture 82" descr="https://ssl.gstatic.com/ui/v1/icons/mail/images/cleardot.gif">
          <a:extLst>
            <a:ext uri="{FF2B5EF4-FFF2-40B4-BE49-F238E27FC236}">
              <a16:creationId xmlns:a16="http://schemas.microsoft.com/office/drawing/2014/main" id="{B334AB7E-C7E9-4850-9224-1B54846420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6" name="Picture 82" descr="https://ssl.gstatic.com/ui/v1/icons/mail/images/cleardot.gif">
          <a:extLst>
            <a:ext uri="{FF2B5EF4-FFF2-40B4-BE49-F238E27FC236}">
              <a16:creationId xmlns:a16="http://schemas.microsoft.com/office/drawing/2014/main" id="{D580BD4B-AF69-4947-A61C-B35D945BE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7" name="Picture 82" descr="https://ssl.gstatic.com/ui/v1/icons/mail/images/cleardot.gif">
          <a:extLst>
            <a:ext uri="{FF2B5EF4-FFF2-40B4-BE49-F238E27FC236}">
              <a16:creationId xmlns:a16="http://schemas.microsoft.com/office/drawing/2014/main" id="{116498FE-0544-439C-84A1-4B1472C051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8" name="Picture 82" descr="https://ssl.gstatic.com/ui/v1/icons/mail/images/cleardot.gif">
          <a:extLst>
            <a:ext uri="{FF2B5EF4-FFF2-40B4-BE49-F238E27FC236}">
              <a16:creationId xmlns:a16="http://schemas.microsoft.com/office/drawing/2014/main" id="{84806AA6-947D-4552-B970-6DF74A6027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39" name="Picture 82" descr="https://ssl.gstatic.com/ui/v1/icons/mail/images/cleardot.gif">
          <a:extLst>
            <a:ext uri="{FF2B5EF4-FFF2-40B4-BE49-F238E27FC236}">
              <a16:creationId xmlns:a16="http://schemas.microsoft.com/office/drawing/2014/main" id="{3C0FA668-E429-4DEB-A12F-EBD167EFCA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0" name="Picture 82" descr="https://ssl.gstatic.com/ui/v1/icons/mail/images/cleardot.gif">
          <a:extLst>
            <a:ext uri="{FF2B5EF4-FFF2-40B4-BE49-F238E27FC236}">
              <a16:creationId xmlns:a16="http://schemas.microsoft.com/office/drawing/2014/main" id="{AC611CD2-75F3-45B0-ADC4-AC832C73CB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1" name="Picture 82" descr="https://ssl.gstatic.com/ui/v1/icons/mail/images/cleardot.gif">
          <a:extLst>
            <a:ext uri="{FF2B5EF4-FFF2-40B4-BE49-F238E27FC236}">
              <a16:creationId xmlns:a16="http://schemas.microsoft.com/office/drawing/2014/main" id="{C93CF453-C510-4C9A-A2FA-854E935E59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2" name="Picture 82" descr="https://ssl.gstatic.com/ui/v1/icons/mail/images/cleardot.gif">
          <a:extLst>
            <a:ext uri="{FF2B5EF4-FFF2-40B4-BE49-F238E27FC236}">
              <a16:creationId xmlns:a16="http://schemas.microsoft.com/office/drawing/2014/main" id="{023C49AA-415C-4AB3-938E-6AB7F05D5B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3" name="Picture 82" descr="https://ssl.gstatic.com/ui/v1/icons/mail/images/cleardot.gif">
          <a:extLst>
            <a:ext uri="{FF2B5EF4-FFF2-40B4-BE49-F238E27FC236}">
              <a16:creationId xmlns:a16="http://schemas.microsoft.com/office/drawing/2014/main" id="{D5CA9C59-8592-4F0D-841A-7A8F169D2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4" name="Picture 82" descr="https://ssl.gstatic.com/ui/v1/icons/mail/images/cleardot.gif">
          <a:extLst>
            <a:ext uri="{FF2B5EF4-FFF2-40B4-BE49-F238E27FC236}">
              <a16:creationId xmlns:a16="http://schemas.microsoft.com/office/drawing/2014/main" id="{109CE40A-854E-4D61-9B48-31B2081F0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5" name="Picture 82" descr="https://ssl.gstatic.com/ui/v1/icons/mail/images/cleardot.gif">
          <a:extLst>
            <a:ext uri="{FF2B5EF4-FFF2-40B4-BE49-F238E27FC236}">
              <a16:creationId xmlns:a16="http://schemas.microsoft.com/office/drawing/2014/main" id="{10B2B8E0-0253-44B6-A1DA-2DB3039AE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6" name="Picture 82" descr="https://ssl.gstatic.com/ui/v1/icons/mail/images/cleardot.gif">
          <a:extLst>
            <a:ext uri="{FF2B5EF4-FFF2-40B4-BE49-F238E27FC236}">
              <a16:creationId xmlns:a16="http://schemas.microsoft.com/office/drawing/2014/main" id="{1FB6454B-0C1D-4CCE-ACF8-14FA760C1C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7" name="Picture 82" descr="https://ssl.gstatic.com/ui/v1/icons/mail/images/cleardot.gif">
          <a:extLst>
            <a:ext uri="{FF2B5EF4-FFF2-40B4-BE49-F238E27FC236}">
              <a16:creationId xmlns:a16="http://schemas.microsoft.com/office/drawing/2014/main" id="{E0C9E3A7-0082-407F-8EFB-799BA48B9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8" name="Picture 82" descr="https://ssl.gstatic.com/ui/v1/icons/mail/images/cleardot.gif">
          <a:extLst>
            <a:ext uri="{FF2B5EF4-FFF2-40B4-BE49-F238E27FC236}">
              <a16:creationId xmlns:a16="http://schemas.microsoft.com/office/drawing/2014/main" id="{59717DC6-D2FC-4A55-A6B5-EEE6B742CC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49" name="Picture 82" descr="https://ssl.gstatic.com/ui/v1/icons/mail/images/cleardot.gif">
          <a:extLst>
            <a:ext uri="{FF2B5EF4-FFF2-40B4-BE49-F238E27FC236}">
              <a16:creationId xmlns:a16="http://schemas.microsoft.com/office/drawing/2014/main" id="{98246CBB-5D3C-4DFE-B050-DF7186519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0" name="Picture 82" descr="https://ssl.gstatic.com/ui/v1/icons/mail/images/cleardot.gif">
          <a:extLst>
            <a:ext uri="{FF2B5EF4-FFF2-40B4-BE49-F238E27FC236}">
              <a16:creationId xmlns:a16="http://schemas.microsoft.com/office/drawing/2014/main" id="{3E54B842-D66B-4A05-95BE-FBFCD76800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1" name="Picture 82" descr="https://ssl.gstatic.com/ui/v1/icons/mail/images/cleardot.gif">
          <a:extLst>
            <a:ext uri="{FF2B5EF4-FFF2-40B4-BE49-F238E27FC236}">
              <a16:creationId xmlns:a16="http://schemas.microsoft.com/office/drawing/2014/main" id="{B405B5E8-445C-48DA-8B72-7159A55BC4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2" name="Picture 82" descr="https://ssl.gstatic.com/ui/v1/icons/mail/images/cleardot.gif">
          <a:extLst>
            <a:ext uri="{FF2B5EF4-FFF2-40B4-BE49-F238E27FC236}">
              <a16:creationId xmlns:a16="http://schemas.microsoft.com/office/drawing/2014/main" id="{F461A45E-B20C-4082-9EF3-2A0D9DD85F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3" name="Picture 82" descr="https://ssl.gstatic.com/ui/v1/icons/mail/images/cleardot.gif">
          <a:extLst>
            <a:ext uri="{FF2B5EF4-FFF2-40B4-BE49-F238E27FC236}">
              <a16:creationId xmlns:a16="http://schemas.microsoft.com/office/drawing/2014/main" id="{F0FBDAB2-1D1A-46C5-B5AC-890C74588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4" name="Picture 82" descr="https://ssl.gstatic.com/ui/v1/icons/mail/images/cleardot.gif">
          <a:extLst>
            <a:ext uri="{FF2B5EF4-FFF2-40B4-BE49-F238E27FC236}">
              <a16:creationId xmlns:a16="http://schemas.microsoft.com/office/drawing/2014/main" id="{401EF2C1-CE08-47BD-B2D7-587EEB17C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5" name="Picture 54" descr="https://ssl.gstatic.com/ui/v1/icons/mail/images/cleardot.gif">
          <a:extLst>
            <a:ext uri="{FF2B5EF4-FFF2-40B4-BE49-F238E27FC236}">
              <a16:creationId xmlns:a16="http://schemas.microsoft.com/office/drawing/2014/main" id="{EBB50614-6587-49DD-8E51-75899E313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6" name="Picture 82" descr="https://ssl.gstatic.com/ui/v1/icons/mail/images/cleardot.gif">
          <a:extLst>
            <a:ext uri="{FF2B5EF4-FFF2-40B4-BE49-F238E27FC236}">
              <a16:creationId xmlns:a16="http://schemas.microsoft.com/office/drawing/2014/main" id="{37F51240-CF56-4D08-AA6E-0AFD51BAE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7" name="Picture 82" descr="https://ssl.gstatic.com/ui/v1/icons/mail/images/cleardot.gif">
          <a:extLst>
            <a:ext uri="{FF2B5EF4-FFF2-40B4-BE49-F238E27FC236}">
              <a16:creationId xmlns:a16="http://schemas.microsoft.com/office/drawing/2014/main" id="{8C7861F2-F1C6-4BC9-A631-17CB39BC76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8" name="Picture 82" descr="https://ssl.gstatic.com/ui/v1/icons/mail/images/cleardot.gif">
          <a:extLst>
            <a:ext uri="{FF2B5EF4-FFF2-40B4-BE49-F238E27FC236}">
              <a16:creationId xmlns:a16="http://schemas.microsoft.com/office/drawing/2014/main" id="{FE9A5F1C-EC8B-4B0F-8FD1-8CAD331713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59" name="Picture 82" descr="https://ssl.gstatic.com/ui/v1/icons/mail/images/cleardot.gif">
          <a:extLst>
            <a:ext uri="{FF2B5EF4-FFF2-40B4-BE49-F238E27FC236}">
              <a16:creationId xmlns:a16="http://schemas.microsoft.com/office/drawing/2014/main" id="{5C4B13D0-8447-4690-A20C-2E28C6D3F8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0" name="Picture 82" descr="https://ssl.gstatic.com/ui/v1/icons/mail/images/cleardot.gif">
          <a:extLst>
            <a:ext uri="{FF2B5EF4-FFF2-40B4-BE49-F238E27FC236}">
              <a16:creationId xmlns:a16="http://schemas.microsoft.com/office/drawing/2014/main" id="{206C56E1-1474-4469-9E45-E8C0CA3FD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1" name="Picture 82" descr="https://ssl.gstatic.com/ui/v1/icons/mail/images/cleardot.gif">
          <a:extLst>
            <a:ext uri="{FF2B5EF4-FFF2-40B4-BE49-F238E27FC236}">
              <a16:creationId xmlns:a16="http://schemas.microsoft.com/office/drawing/2014/main" id="{089E92C7-A28F-41E1-A6AD-75F3E50AA2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2" name="Picture 82" descr="https://ssl.gstatic.com/ui/v1/icons/mail/images/cleardot.gif">
          <a:extLst>
            <a:ext uri="{FF2B5EF4-FFF2-40B4-BE49-F238E27FC236}">
              <a16:creationId xmlns:a16="http://schemas.microsoft.com/office/drawing/2014/main" id="{3FF7858B-3C18-405D-9906-EDC5ADF77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3" name="Picture 82" descr="https://ssl.gstatic.com/ui/v1/icons/mail/images/cleardot.gif">
          <a:extLst>
            <a:ext uri="{FF2B5EF4-FFF2-40B4-BE49-F238E27FC236}">
              <a16:creationId xmlns:a16="http://schemas.microsoft.com/office/drawing/2014/main" id="{BF0115A6-5DCC-4C17-B778-8F17B8B121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4" name="Picture 82" descr="https://ssl.gstatic.com/ui/v1/icons/mail/images/cleardot.gif">
          <a:extLst>
            <a:ext uri="{FF2B5EF4-FFF2-40B4-BE49-F238E27FC236}">
              <a16:creationId xmlns:a16="http://schemas.microsoft.com/office/drawing/2014/main" id="{EEEFBEE1-EEFC-4630-8C8C-58E2815DA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5" name="Picture 82" descr="https://ssl.gstatic.com/ui/v1/icons/mail/images/cleardot.gif">
          <a:extLst>
            <a:ext uri="{FF2B5EF4-FFF2-40B4-BE49-F238E27FC236}">
              <a16:creationId xmlns:a16="http://schemas.microsoft.com/office/drawing/2014/main" id="{BFCC2319-51FA-4253-9EE0-0C73A62A55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6" name="Picture 82" descr="https://ssl.gstatic.com/ui/v1/icons/mail/images/cleardot.gif">
          <a:extLst>
            <a:ext uri="{FF2B5EF4-FFF2-40B4-BE49-F238E27FC236}">
              <a16:creationId xmlns:a16="http://schemas.microsoft.com/office/drawing/2014/main" id="{6953521D-84EF-4989-AB64-78B06FBC5E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7" name="Picture 82" descr="https://ssl.gstatic.com/ui/v1/icons/mail/images/cleardot.gif">
          <a:extLst>
            <a:ext uri="{FF2B5EF4-FFF2-40B4-BE49-F238E27FC236}">
              <a16:creationId xmlns:a16="http://schemas.microsoft.com/office/drawing/2014/main" id="{A64D8F29-8C73-4F09-A204-E5AB3B269C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8" name="Picture 82" descr="https://ssl.gstatic.com/ui/v1/icons/mail/images/cleardot.gif">
          <a:extLst>
            <a:ext uri="{FF2B5EF4-FFF2-40B4-BE49-F238E27FC236}">
              <a16:creationId xmlns:a16="http://schemas.microsoft.com/office/drawing/2014/main" id="{B91B0288-17BC-4C57-9CAB-54E0E5FDE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69" name="Picture 82" descr="https://ssl.gstatic.com/ui/v1/icons/mail/images/cleardot.gif">
          <a:extLst>
            <a:ext uri="{FF2B5EF4-FFF2-40B4-BE49-F238E27FC236}">
              <a16:creationId xmlns:a16="http://schemas.microsoft.com/office/drawing/2014/main" id="{0FDCA365-2F79-4BC5-A92C-4EE3C5CD5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0" name="Picture 82" descr="https://ssl.gstatic.com/ui/v1/icons/mail/images/cleardot.gif">
          <a:extLst>
            <a:ext uri="{FF2B5EF4-FFF2-40B4-BE49-F238E27FC236}">
              <a16:creationId xmlns:a16="http://schemas.microsoft.com/office/drawing/2014/main" id="{8C0AA686-0CA7-4A1B-81EC-4B2DFF29AF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1" name="Picture 82" descr="https://ssl.gstatic.com/ui/v1/icons/mail/images/cleardot.gif">
          <a:extLst>
            <a:ext uri="{FF2B5EF4-FFF2-40B4-BE49-F238E27FC236}">
              <a16:creationId xmlns:a16="http://schemas.microsoft.com/office/drawing/2014/main" id="{6867455B-A809-4B97-8418-EFF7A93048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2" name="Picture 82" descr="https://ssl.gstatic.com/ui/v1/icons/mail/images/cleardot.gif">
          <a:extLst>
            <a:ext uri="{FF2B5EF4-FFF2-40B4-BE49-F238E27FC236}">
              <a16:creationId xmlns:a16="http://schemas.microsoft.com/office/drawing/2014/main" id="{816359FB-3AAF-467B-B3C8-C8AEDD3C9C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3" name="Picture 82" descr="https://ssl.gstatic.com/ui/v1/icons/mail/images/cleardot.gif">
          <a:extLst>
            <a:ext uri="{FF2B5EF4-FFF2-40B4-BE49-F238E27FC236}">
              <a16:creationId xmlns:a16="http://schemas.microsoft.com/office/drawing/2014/main" id="{2B86D650-DD26-44A4-90BB-EF1C13CCCA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4" name="Picture 82" descr="https://ssl.gstatic.com/ui/v1/icons/mail/images/cleardot.gif">
          <a:extLst>
            <a:ext uri="{FF2B5EF4-FFF2-40B4-BE49-F238E27FC236}">
              <a16:creationId xmlns:a16="http://schemas.microsoft.com/office/drawing/2014/main" id="{6B05FDE3-755E-4B18-995D-A9C13854B9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5" name="Picture 82" descr="https://ssl.gstatic.com/ui/v1/icons/mail/images/cleardot.gif">
          <a:extLst>
            <a:ext uri="{FF2B5EF4-FFF2-40B4-BE49-F238E27FC236}">
              <a16:creationId xmlns:a16="http://schemas.microsoft.com/office/drawing/2014/main" id="{C9146A62-3A46-4182-AACC-8BC1BAEFC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6" name="Picture 82" descr="https://ssl.gstatic.com/ui/v1/icons/mail/images/cleardot.gif">
          <a:extLst>
            <a:ext uri="{FF2B5EF4-FFF2-40B4-BE49-F238E27FC236}">
              <a16:creationId xmlns:a16="http://schemas.microsoft.com/office/drawing/2014/main" id="{1E807AC2-E60D-4E56-9BB2-9BAE9E851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7" name="Picture 82" descr="https://ssl.gstatic.com/ui/v1/icons/mail/images/cleardot.gif">
          <a:extLst>
            <a:ext uri="{FF2B5EF4-FFF2-40B4-BE49-F238E27FC236}">
              <a16:creationId xmlns:a16="http://schemas.microsoft.com/office/drawing/2014/main" id="{8357986C-5BA3-4D54-B535-2B9511CB2A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8" name="Picture 82" descr="https://ssl.gstatic.com/ui/v1/icons/mail/images/cleardot.gif">
          <a:extLst>
            <a:ext uri="{FF2B5EF4-FFF2-40B4-BE49-F238E27FC236}">
              <a16:creationId xmlns:a16="http://schemas.microsoft.com/office/drawing/2014/main" id="{E5369A3D-0705-449C-9CD7-22306204B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79" name="Picture 82" descr="https://ssl.gstatic.com/ui/v1/icons/mail/images/cleardot.gif">
          <a:extLst>
            <a:ext uri="{FF2B5EF4-FFF2-40B4-BE49-F238E27FC236}">
              <a16:creationId xmlns:a16="http://schemas.microsoft.com/office/drawing/2014/main" id="{950C5F7C-4924-451B-A80B-732AE5B305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0" name="Picture 82" descr="https://ssl.gstatic.com/ui/v1/icons/mail/images/cleardot.gif">
          <a:extLst>
            <a:ext uri="{FF2B5EF4-FFF2-40B4-BE49-F238E27FC236}">
              <a16:creationId xmlns:a16="http://schemas.microsoft.com/office/drawing/2014/main" id="{44AFD16B-ECB5-4F7E-9CFA-269C86F2A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1" name="Picture 82" descr="https://ssl.gstatic.com/ui/v1/icons/mail/images/cleardot.gif">
          <a:extLst>
            <a:ext uri="{FF2B5EF4-FFF2-40B4-BE49-F238E27FC236}">
              <a16:creationId xmlns:a16="http://schemas.microsoft.com/office/drawing/2014/main" id="{D04F5560-EFFB-4419-B31D-06EE6AE61F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2" name="Picture 81" descr="https://ssl.gstatic.com/ui/v1/icons/mail/images/cleardot.gif">
          <a:extLst>
            <a:ext uri="{FF2B5EF4-FFF2-40B4-BE49-F238E27FC236}">
              <a16:creationId xmlns:a16="http://schemas.microsoft.com/office/drawing/2014/main" id="{D3871B97-BC23-4C5C-92B7-EBB69B829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3" name="Picture 82" descr="https://ssl.gstatic.com/ui/v1/icons/mail/images/cleardot.gif">
          <a:extLst>
            <a:ext uri="{FF2B5EF4-FFF2-40B4-BE49-F238E27FC236}">
              <a16:creationId xmlns:a16="http://schemas.microsoft.com/office/drawing/2014/main" id="{154359BD-70D2-4F65-B557-04129BAB46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4" name="Picture 82" descr="https://ssl.gstatic.com/ui/v1/icons/mail/images/cleardot.gif">
          <a:extLst>
            <a:ext uri="{FF2B5EF4-FFF2-40B4-BE49-F238E27FC236}">
              <a16:creationId xmlns:a16="http://schemas.microsoft.com/office/drawing/2014/main" id="{D2750A3D-3BB4-486B-84D5-B5F058097A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5" name="Picture 82" descr="https://ssl.gstatic.com/ui/v1/icons/mail/images/cleardot.gif">
          <a:extLst>
            <a:ext uri="{FF2B5EF4-FFF2-40B4-BE49-F238E27FC236}">
              <a16:creationId xmlns:a16="http://schemas.microsoft.com/office/drawing/2014/main" id="{4E2991AF-DDAD-46B3-8CEE-2C9E57711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6" name="Picture 82" descr="https://ssl.gstatic.com/ui/v1/icons/mail/images/cleardot.gif">
          <a:extLst>
            <a:ext uri="{FF2B5EF4-FFF2-40B4-BE49-F238E27FC236}">
              <a16:creationId xmlns:a16="http://schemas.microsoft.com/office/drawing/2014/main" id="{01F49CB3-7446-4C24-B6A0-80E668B8E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7" name="Picture 82" descr="https://ssl.gstatic.com/ui/v1/icons/mail/images/cleardot.gif">
          <a:extLst>
            <a:ext uri="{FF2B5EF4-FFF2-40B4-BE49-F238E27FC236}">
              <a16:creationId xmlns:a16="http://schemas.microsoft.com/office/drawing/2014/main" id="{54B379A3-E63E-4B00-883B-B7FF8F153E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8" name="Picture 82" descr="https://ssl.gstatic.com/ui/v1/icons/mail/images/cleardot.gif">
          <a:extLst>
            <a:ext uri="{FF2B5EF4-FFF2-40B4-BE49-F238E27FC236}">
              <a16:creationId xmlns:a16="http://schemas.microsoft.com/office/drawing/2014/main" id="{81F7A2BA-A0A4-40EE-92BE-0561A8314B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89" name="Picture 82" descr="https://ssl.gstatic.com/ui/v1/icons/mail/images/cleardot.gif">
          <a:extLst>
            <a:ext uri="{FF2B5EF4-FFF2-40B4-BE49-F238E27FC236}">
              <a16:creationId xmlns:a16="http://schemas.microsoft.com/office/drawing/2014/main" id="{3F4A977D-9274-4B18-8DA5-F0E9C69DDA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0" name="Picture 82" descr="https://ssl.gstatic.com/ui/v1/icons/mail/images/cleardot.gif">
          <a:extLst>
            <a:ext uri="{FF2B5EF4-FFF2-40B4-BE49-F238E27FC236}">
              <a16:creationId xmlns:a16="http://schemas.microsoft.com/office/drawing/2014/main" id="{9CA6EA3A-5458-4228-8CB6-7FF6F2252C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1" name="Picture 82" descr="https://ssl.gstatic.com/ui/v1/icons/mail/images/cleardot.gif">
          <a:extLst>
            <a:ext uri="{FF2B5EF4-FFF2-40B4-BE49-F238E27FC236}">
              <a16:creationId xmlns:a16="http://schemas.microsoft.com/office/drawing/2014/main" id="{62A72F13-F1CD-44A3-9EF3-3045F9FD5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2" name="Picture 82" descr="https://ssl.gstatic.com/ui/v1/icons/mail/images/cleardot.gif">
          <a:extLst>
            <a:ext uri="{FF2B5EF4-FFF2-40B4-BE49-F238E27FC236}">
              <a16:creationId xmlns:a16="http://schemas.microsoft.com/office/drawing/2014/main" id="{26A7369A-1244-4E42-9B6D-2EDF4CFCD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3" name="Picture 82" descr="https://ssl.gstatic.com/ui/v1/icons/mail/images/cleardot.gif">
          <a:extLst>
            <a:ext uri="{FF2B5EF4-FFF2-40B4-BE49-F238E27FC236}">
              <a16:creationId xmlns:a16="http://schemas.microsoft.com/office/drawing/2014/main" id="{8FC723AA-B924-4B80-B1EE-8EB5D7B132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4" name="Picture 82" descr="https://ssl.gstatic.com/ui/v1/icons/mail/images/cleardot.gif">
          <a:extLst>
            <a:ext uri="{FF2B5EF4-FFF2-40B4-BE49-F238E27FC236}">
              <a16:creationId xmlns:a16="http://schemas.microsoft.com/office/drawing/2014/main" id="{6753366C-3A30-4848-9D91-CB1CA0F65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5" name="Picture 82" descr="https://ssl.gstatic.com/ui/v1/icons/mail/images/cleardot.gif">
          <a:extLst>
            <a:ext uri="{FF2B5EF4-FFF2-40B4-BE49-F238E27FC236}">
              <a16:creationId xmlns:a16="http://schemas.microsoft.com/office/drawing/2014/main" id="{36382B27-A327-40CC-87C4-96E46A5CF6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6" name="Picture 82" descr="https://ssl.gstatic.com/ui/v1/icons/mail/images/cleardot.gif">
          <a:extLst>
            <a:ext uri="{FF2B5EF4-FFF2-40B4-BE49-F238E27FC236}">
              <a16:creationId xmlns:a16="http://schemas.microsoft.com/office/drawing/2014/main" id="{7BBA99D6-A080-477A-9EF0-FD3404837C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7" name="Picture 82" descr="https://ssl.gstatic.com/ui/v1/icons/mail/images/cleardot.gif">
          <a:extLst>
            <a:ext uri="{FF2B5EF4-FFF2-40B4-BE49-F238E27FC236}">
              <a16:creationId xmlns:a16="http://schemas.microsoft.com/office/drawing/2014/main" id="{AD670943-8F01-455B-8FEF-EFDA61078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8" name="Picture 82" descr="https://ssl.gstatic.com/ui/v1/icons/mail/images/cleardot.gif">
          <a:extLst>
            <a:ext uri="{FF2B5EF4-FFF2-40B4-BE49-F238E27FC236}">
              <a16:creationId xmlns:a16="http://schemas.microsoft.com/office/drawing/2014/main" id="{EB64FA66-D026-4078-9D0E-F6FBC9210A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99" name="Picture 82" descr="https://ssl.gstatic.com/ui/v1/icons/mail/images/cleardot.gif">
          <a:extLst>
            <a:ext uri="{FF2B5EF4-FFF2-40B4-BE49-F238E27FC236}">
              <a16:creationId xmlns:a16="http://schemas.microsoft.com/office/drawing/2014/main" id="{84B67BD7-DE9E-4764-BEDF-70737CB423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00" name="Picture 82" descr="https://ssl.gstatic.com/ui/v1/icons/mail/images/cleardot.gif">
          <a:extLst>
            <a:ext uri="{FF2B5EF4-FFF2-40B4-BE49-F238E27FC236}">
              <a16:creationId xmlns:a16="http://schemas.microsoft.com/office/drawing/2014/main" id="{E3E07EA4-2194-4952-9C24-1961D56886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01" name="Picture 82" descr="https://ssl.gstatic.com/ui/v1/icons/mail/images/cleardot.gif">
          <a:extLst>
            <a:ext uri="{FF2B5EF4-FFF2-40B4-BE49-F238E27FC236}">
              <a16:creationId xmlns:a16="http://schemas.microsoft.com/office/drawing/2014/main" id="{EA7D157D-9747-4FE4-977B-F92CC43FD6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02" name="Picture 82" descr="https://ssl.gstatic.com/ui/v1/icons/mail/images/cleardot.gif">
          <a:extLst>
            <a:ext uri="{FF2B5EF4-FFF2-40B4-BE49-F238E27FC236}">
              <a16:creationId xmlns:a16="http://schemas.microsoft.com/office/drawing/2014/main" id="{9E8C5F43-8B9B-4D5D-9868-C33237D3F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03" name="Picture 82" descr="https://ssl.gstatic.com/ui/v1/icons/mail/images/cleardot.gif">
          <a:extLst>
            <a:ext uri="{FF2B5EF4-FFF2-40B4-BE49-F238E27FC236}">
              <a16:creationId xmlns:a16="http://schemas.microsoft.com/office/drawing/2014/main" id="{45F20807-2868-47D1-BDEA-596FE641C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04" name="Picture 82" descr="https://ssl.gstatic.com/ui/v1/icons/mail/images/cleardot.gif">
          <a:extLst>
            <a:ext uri="{FF2B5EF4-FFF2-40B4-BE49-F238E27FC236}">
              <a16:creationId xmlns:a16="http://schemas.microsoft.com/office/drawing/2014/main" id="{9D6C5E9E-4AEC-406A-9425-CDDDB5774C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15</xdr:row>
      <xdr:rowOff>0</xdr:rowOff>
    </xdr:from>
    <xdr:ext cx="9525" cy="295275"/>
    <xdr:pic>
      <xdr:nvPicPr>
        <xdr:cNvPr id="105" name="Picture 82" descr="https://ssl.gstatic.com/ui/v1/icons/mail/images/cleardot.gif">
          <a:extLst>
            <a:ext uri="{FF2B5EF4-FFF2-40B4-BE49-F238E27FC236}">
              <a16:creationId xmlns:a16="http://schemas.microsoft.com/office/drawing/2014/main" id="{082C4F07-5D28-4B1E-B42E-DD346B711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381000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13</xdr:row>
      <xdr:rowOff>0</xdr:rowOff>
    </xdr:from>
    <xdr:ext cx="9525" cy="295275"/>
    <xdr:pic>
      <xdr:nvPicPr>
        <xdr:cNvPr id="3" name="Picture 82" descr="https://ssl.gstatic.com/ui/v1/icons/mail/images/cleardot.gif">
          <a:extLst>
            <a:ext uri="{FF2B5EF4-FFF2-40B4-BE49-F238E27FC236}">
              <a16:creationId xmlns:a16="http://schemas.microsoft.com/office/drawing/2014/main" id="{36A6A244-4A92-4DE0-90F3-8A668D4CA5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 name="Picture 82" descr="https://ssl.gstatic.com/ui/v1/icons/mail/images/cleardot.gif">
          <a:extLst>
            <a:ext uri="{FF2B5EF4-FFF2-40B4-BE49-F238E27FC236}">
              <a16:creationId xmlns:a16="http://schemas.microsoft.com/office/drawing/2014/main" id="{B69538A2-56CC-46E2-90B1-D9D4DBEDA8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 name="Picture 82" descr="https://ssl.gstatic.com/ui/v1/icons/mail/images/cleardot.gif">
          <a:extLst>
            <a:ext uri="{FF2B5EF4-FFF2-40B4-BE49-F238E27FC236}">
              <a16:creationId xmlns:a16="http://schemas.microsoft.com/office/drawing/2014/main" id="{1813118A-143D-4306-86FE-FC26D18E2C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 name="Picture 82" descr="https://ssl.gstatic.com/ui/v1/icons/mail/images/cleardot.gif">
          <a:extLst>
            <a:ext uri="{FF2B5EF4-FFF2-40B4-BE49-F238E27FC236}">
              <a16:creationId xmlns:a16="http://schemas.microsoft.com/office/drawing/2014/main" id="{22A12A9D-22E5-482E-8F13-145DDFAE95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 name="Picture 82" descr="https://ssl.gstatic.com/ui/v1/icons/mail/images/cleardot.gif">
          <a:extLst>
            <a:ext uri="{FF2B5EF4-FFF2-40B4-BE49-F238E27FC236}">
              <a16:creationId xmlns:a16="http://schemas.microsoft.com/office/drawing/2014/main" id="{7E7D74DB-E633-4DEE-B4DE-7CB35AC59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 name="Picture 82" descr="https://ssl.gstatic.com/ui/v1/icons/mail/images/cleardot.gif">
          <a:extLst>
            <a:ext uri="{FF2B5EF4-FFF2-40B4-BE49-F238E27FC236}">
              <a16:creationId xmlns:a16="http://schemas.microsoft.com/office/drawing/2014/main" id="{367CE171-4CA4-4F02-AEAE-48EC08EAD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 name="Picture 82" descr="https://ssl.gstatic.com/ui/v1/icons/mail/images/cleardot.gif">
          <a:extLst>
            <a:ext uri="{FF2B5EF4-FFF2-40B4-BE49-F238E27FC236}">
              <a16:creationId xmlns:a16="http://schemas.microsoft.com/office/drawing/2014/main" id="{E17A5F01-A31F-4C1C-BCDF-BF1382267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0" name="Picture 82" descr="https://ssl.gstatic.com/ui/v1/icons/mail/images/cleardot.gif">
          <a:extLst>
            <a:ext uri="{FF2B5EF4-FFF2-40B4-BE49-F238E27FC236}">
              <a16:creationId xmlns:a16="http://schemas.microsoft.com/office/drawing/2014/main" id="{1AC2B5E7-AA6D-46B1-96BA-A86533143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1" name="Picture 82" descr="https://ssl.gstatic.com/ui/v1/icons/mail/images/cleardot.gif">
          <a:extLst>
            <a:ext uri="{FF2B5EF4-FFF2-40B4-BE49-F238E27FC236}">
              <a16:creationId xmlns:a16="http://schemas.microsoft.com/office/drawing/2014/main" id="{71BE616C-A413-4719-AB94-71BE412E06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2" name="Picture 82" descr="https://ssl.gstatic.com/ui/v1/icons/mail/images/cleardot.gif">
          <a:extLst>
            <a:ext uri="{FF2B5EF4-FFF2-40B4-BE49-F238E27FC236}">
              <a16:creationId xmlns:a16="http://schemas.microsoft.com/office/drawing/2014/main" id="{FF93A2B2-C15A-4A98-856A-879FFE929D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3" name="Picture 82" descr="https://ssl.gstatic.com/ui/v1/icons/mail/images/cleardot.gif">
          <a:extLst>
            <a:ext uri="{FF2B5EF4-FFF2-40B4-BE49-F238E27FC236}">
              <a16:creationId xmlns:a16="http://schemas.microsoft.com/office/drawing/2014/main" id="{EF77ECF0-7C03-48F0-8BC3-8C1332995F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4" name="Picture 82" descr="https://ssl.gstatic.com/ui/v1/icons/mail/images/cleardot.gif">
          <a:extLst>
            <a:ext uri="{FF2B5EF4-FFF2-40B4-BE49-F238E27FC236}">
              <a16:creationId xmlns:a16="http://schemas.microsoft.com/office/drawing/2014/main" id="{FC54D9C6-6D95-4920-B7E4-A6B908154E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5" name="Picture 82" descr="https://ssl.gstatic.com/ui/v1/icons/mail/images/cleardot.gif">
          <a:extLst>
            <a:ext uri="{FF2B5EF4-FFF2-40B4-BE49-F238E27FC236}">
              <a16:creationId xmlns:a16="http://schemas.microsoft.com/office/drawing/2014/main" id="{B8865947-5573-4CD3-B5BA-D6A48C311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6" name="Picture 82" descr="https://ssl.gstatic.com/ui/v1/icons/mail/images/cleardot.gif">
          <a:extLst>
            <a:ext uri="{FF2B5EF4-FFF2-40B4-BE49-F238E27FC236}">
              <a16:creationId xmlns:a16="http://schemas.microsoft.com/office/drawing/2014/main" id="{CC6E3CCF-6C46-44B0-AAED-E82727C73E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7" name="Picture 82" descr="https://ssl.gstatic.com/ui/v1/icons/mail/images/cleardot.gif">
          <a:extLst>
            <a:ext uri="{FF2B5EF4-FFF2-40B4-BE49-F238E27FC236}">
              <a16:creationId xmlns:a16="http://schemas.microsoft.com/office/drawing/2014/main" id="{0A2FC3FA-8A11-41BA-BBED-209DCFF5B9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8" name="Picture 82" descr="https://ssl.gstatic.com/ui/v1/icons/mail/images/cleardot.gif">
          <a:extLst>
            <a:ext uri="{FF2B5EF4-FFF2-40B4-BE49-F238E27FC236}">
              <a16:creationId xmlns:a16="http://schemas.microsoft.com/office/drawing/2014/main" id="{EEBFD8BD-B413-4391-B1D6-80B5C14DD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9" name="Picture 82" descr="https://ssl.gstatic.com/ui/v1/icons/mail/images/cleardot.gif">
          <a:extLst>
            <a:ext uri="{FF2B5EF4-FFF2-40B4-BE49-F238E27FC236}">
              <a16:creationId xmlns:a16="http://schemas.microsoft.com/office/drawing/2014/main" id="{568BB2EE-4476-4FB7-9BE9-CFC566E4A6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0" name="Picture 82" descr="https://ssl.gstatic.com/ui/v1/icons/mail/images/cleardot.gif">
          <a:extLst>
            <a:ext uri="{FF2B5EF4-FFF2-40B4-BE49-F238E27FC236}">
              <a16:creationId xmlns:a16="http://schemas.microsoft.com/office/drawing/2014/main" id="{C03EF000-DD67-4BFB-B548-8FDF9F0EE1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1" name="Picture 82" descr="https://ssl.gstatic.com/ui/v1/icons/mail/images/cleardot.gif">
          <a:extLst>
            <a:ext uri="{FF2B5EF4-FFF2-40B4-BE49-F238E27FC236}">
              <a16:creationId xmlns:a16="http://schemas.microsoft.com/office/drawing/2014/main" id="{7EF79645-1F41-4218-9DEF-B035C37A8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2" name="Picture 82" descr="https://ssl.gstatic.com/ui/v1/icons/mail/images/cleardot.gif">
          <a:extLst>
            <a:ext uri="{FF2B5EF4-FFF2-40B4-BE49-F238E27FC236}">
              <a16:creationId xmlns:a16="http://schemas.microsoft.com/office/drawing/2014/main" id="{CF84D4AC-47E2-47CB-B4E9-95595EFF8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3" name="Picture 82" descr="https://ssl.gstatic.com/ui/v1/icons/mail/images/cleardot.gif">
          <a:extLst>
            <a:ext uri="{FF2B5EF4-FFF2-40B4-BE49-F238E27FC236}">
              <a16:creationId xmlns:a16="http://schemas.microsoft.com/office/drawing/2014/main" id="{BDDB03D7-FDF5-4949-8558-8A34C34338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4" name="Picture 82" descr="https://ssl.gstatic.com/ui/v1/icons/mail/images/cleardot.gif">
          <a:extLst>
            <a:ext uri="{FF2B5EF4-FFF2-40B4-BE49-F238E27FC236}">
              <a16:creationId xmlns:a16="http://schemas.microsoft.com/office/drawing/2014/main" id="{5954B49D-4C4C-4F74-A5A6-7A23C1A3E2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5" name="Picture 82" descr="https://ssl.gstatic.com/ui/v1/icons/mail/images/cleardot.gif">
          <a:extLst>
            <a:ext uri="{FF2B5EF4-FFF2-40B4-BE49-F238E27FC236}">
              <a16:creationId xmlns:a16="http://schemas.microsoft.com/office/drawing/2014/main" id="{D3EEF971-1B66-4999-8E0B-B68FE30901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6" name="Picture 82" descr="https://ssl.gstatic.com/ui/v1/icons/mail/images/cleardot.gif">
          <a:extLst>
            <a:ext uri="{FF2B5EF4-FFF2-40B4-BE49-F238E27FC236}">
              <a16:creationId xmlns:a16="http://schemas.microsoft.com/office/drawing/2014/main" id="{F276C3A1-976B-432D-A6B9-110DA2ACDF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7" name="Picture 82" descr="https://ssl.gstatic.com/ui/v1/icons/mail/images/cleardot.gif">
          <a:extLst>
            <a:ext uri="{FF2B5EF4-FFF2-40B4-BE49-F238E27FC236}">
              <a16:creationId xmlns:a16="http://schemas.microsoft.com/office/drawing/2014/main" id="{9AD2570C-7871-4EC6-A3B5-C87C16A23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8" name="Picture 82" descr="https://ssl.gstatic.com/ui/v1/icons/mail/images/cleardot.gif">
          <a:extLst>
            <a:ext uri="{FF2B5EF4-FFF2-40B4-BE49-F238E27FC236}">
              <a16:creationId xmlns:a16="http://schemas.microsoft.com/office/drawing/2014/main" id="{9E1BEF46-DD3D-4111-92A8-6E779A6516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29" name="Picture 82" descr="https://ssl.gstatic.com/ui/v1/icons/mail/images/cleardot.gif">
          <a:extLst>
            <a:ext uri="{FF2B5EF4-FFF2-40B4-BE49-F238E27FC236}">
              <a16:creationId xmlns:a16="http://schemas.microsoft.com/office/drawing/2014/main" id="{B4B64E2A-A18D-4CEE-A3DB-6D034344D4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0" name="Picture 82" descr="https://ssl.gstatic.com/ui/v1/icons/mail/images/cleardot.gif">
          <a:extLst>
            <a:ext uri="{FF2B5EF4-FFF2-40B4-BE49-F238E27FC236}">
              <a16:creationId xmlns:a16="http://schemas.microsoft.com/office/drawing/2014/main" id="{28A047BB-4378-4F49-9B1F-2AC511685E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1" name="Picture 82" descr="https://ssl.gstatic.com/ui/v1/icons/mail/images/cleardot.gif">
          <a:extLst>
            <a:ext uri="{FF2B5EF4-FFF2-40B4-BE49-F238E27FC236}">
              <a16:creationId xmlns:a16="http://schemas.microsoft.com/office/drawing/2014/main" id="{2B03946B-951B-44BE-948F-7C29B733E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2" name="Picture 82" descr="https://ssl.gstatic.com/ui/v1/icons/mail/images/cleardot.gif">
          <a:extLst>
            <a:ext uri="{FF2B5EF4-FFF2-40B4-BE49-F238E27FC236}">
              <a16:creationId xmlns:a16="http://schemas.microsoft.com/office/drawing/2014/main" id="{275B089F-B75D-45ED-B7F5-DCC669D4CA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3" name="Picture 82" descr="https://ssl.gstatic.com/ui/v1/icons/mail/images/cleardot.gif">
          <a:extLst>
            <a:ext uri="{FF2B5EF4-FFF2-40B4-BE49-F238E27FC236}">
              <a16:creationId xmlns:a16="http://schemas.microsoft.com/office/drawing/2014/main" id="{966D161E-4DBA-4CCD-8C9E-0DA5D18BE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4" name="Picture 82" descr="https://ssl.gstatic.com/ui/v1/icons/mail/images/cleardot.gif">
          <a:extLst>
            <a:ext uri="{FF2B5EF4-FFF2-40B4-BE49-F238E27FC236}">
              <a16:creationId xmlns:a16="http://schemas.microsoft.com/office/drawing/2014/main" id="{A91188B4-BBEF-4349-9815-369DEB08C6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5" name="Picture 82" descr="https://ssl.gstatic.com/ui/v1/icons/mail/images/cleardot.gif">
          <a:extLst>
            <a:ext uri="{FF2B5EF4-FFF2-40B4-BE49-F238E27FC236}">
              <a16:creationId xmlns:a16="http://schemas.microsoft.com/office/drawing/2014/main" id="{75C82ED2-5414-4476-9E6B-19982E76EF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6" name="Picture 82" descr="https://ssl.gstatic.com/ui/v1/icons/mail/images/cleardot.gif">
          <a:extLst>
            <a:ext uri="{FF2B5EF4-FFF2-40B4-BE49-F238E27FC236}">
              <a16:creationId xmlns:a16="http://schemas.microsoft.com/office/drawing/2014/main" id="{4A3AD57B-DF95-46DC-B3E6-7AC76CDC71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7" name="Picture 82" descr="https://ssl.gstatic.com/ui/v1/icons/mail/images/cleardot.gif">
          <a:extLst>
            <a:ext uri="{FF2B5EF4-FFF2-40B4-BE49-F238E27FC236}">
              <a16:creationId xmlns:a16="http://schemas.microsoft.com/office/drawing/2014/main" id="{62A4DA93-D4B5-44B8-970A-469F46093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8" name="Picture 82" descr="https://ssl.gstatic.com/ui/v1/icons/mail/images/cleardot.gif">
          <a:extLst>
            <a:ext uri="{FF2B5EF4-FFF2-40B4-BE49-F238E27FC236}">
              <a16:creationId xmlns:a16="http://schemas.microsoft.com/office/drawing/2014/main" id="{FF01E31C-3F8E-494B-9BCC-99A0145D59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39" name="Picture 82" descr="https://ssl.gstatic.com/ui/v1/icons/mail/images/cleardot.gif">
          <a:extLst>
            <a:ext uri="{FF2B5EF4-FFF2-40B4-BE49-F238E27FC236}">
              <a16:creationId xmlns:a16="http://schemas.microsoft.com/office/drawing/2014/main" id="{6B66FA8A-3757-4FA5-BF30-B286F88C3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0" name="Picture 82" descr="https://ssl.gstatic.com/ui/v1/icons/mail/images/cleardot.gif">
          <a:extLst>
            <a:ext uri="{FF2B5EF4-FFF2-40B4-BE49-F238E27FC236}">
              <a16:creationId xmlns:a16="http://schemas.microsoft.com/office/drawing/2014/main" id="{AD6FC7CA-68FB-4220-B19F-70C4883E47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1" name="Picture 82" descr="https://ssl.gstatic.com/ui/v1/icons/mail/images/cleardot.gif">
          <a:extLst>
            <a:ext uri="{FF2B5EF4-FFF2-40B4-BE49-F238E27FC236}">
              <a16:creationId xmlns:a16="http://schemas.microsoft.com/office/drawing/2014/main" id="{E5788C5C-EC6C-42C4-AF2D-12AB45BF7B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2" name="Picture 82" descr="https://ssl.gstatic.com/ui/v1/icons/mail/images/cleardot.gif">
          <a:extLst>
            <a:ext uri="{FF2B5EF4-FFF2-40B4-BE49-F238E27FC236}">
              <a16:creationId xmlns:a16="http://schemas.microsoft.com/office/drawing/2014/main" id="{4B3D9114-3352-4352-967E-A6C12B5B1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3" name="Picture 82" descr="https://ssl.gstatic.com/ui/v1/icons/mail/images/cleardot.gif">
          <a:extLst>
            <a:ext uri="{FF2B5EF4-FFF2-40B4-BE49-F238E27FC236}">
              <a16:creationId xmlns:a16="http://schemas.microsoft.com/office/drawing/2014/main" id="{28D20DB1-546C-4377-AA12-F7DA917029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4" name="Picture 82" descr="https://ssl.gstatic.com/ui/v1/icons/mail/images/cleardot.gif">
          <a:extLst>
            <a:ext uri="{FF2B5EF4-FFF2-40B4-BE49-F238E27FC236}">
              <a16:creationId xmlns:a16="http://schemas.microsoft.com/office/drawing/2014/main" id="{79D03F4B-10FC-4D1F-BA77-0FFF5B9AE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5" name="Picture 82" descr="https://ssl.gstatic.com/ui/v1/icons/mail/images/cleardot.gif">
          <a:extLst>
            <a:ext uri="{FF2B5EF4-FFF2-40B4-BE49-F238E27FC236}">
              <a16:creationId xmlns:a16="http://schemas.microsoft.com/office/drawing/2014/main" id="{476C597F-F8BB-4E5B-B217-7C1CE7DA3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6" name="Picture 82" descr="https://ssl.gstatic.com/ui/v1/icons/mail/images/cleardot.gif">
          <a:extLst>
            <a:ext uri="{FF2B5EF4-FFF2-40B4-BE49-F238E27FC236}">
              <a16:creationId xmlns:a16="http://schemas.microsoft.com/office/drawing/2014/main" id="{40FB3542-EB9A-450A-ADE9-475824C0E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7" name="Picture 82" descr="https://ssl.gstatic.com/ui/v1/icons/mail/images/cleardot.gif">
          <a:extLst>
            <a:ext uri="{FF2B5EF4-FFF2-40B4-BE49-F238E27FC236}">
              <a16:creationId xmlns:a16="http://schemas.microsoft.com/office/drawing/2014/main" id="{CA4E8AFB-6339-42AE-83EF-065DDE2B27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8" name="Picture 82" descr="https://ssl.gstatic.com/ui/v1/icons/mail/images/cleardot.gif">
          <a:extLst>
            <a:ext uri="{FF2B5EF4-FFF2-40B4-BE49-F238E27FC236}">
              <a16:creationId xmlns:a16="http://schemas.microsoft.com/office/drawing/2014/main" id="{FB9E4116-BC8A-4771-AABB-D3E125D69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49" name="Picture 82" descr="https://ssl.gstatic.com/ui/v1/icons/mail/images/cleardot.gif">
          <a:extLst>
            <a:ext uri="{FF2B5EF4-FFF2-40B4-BE49-F238E27FC236}">
              <a16:creationId xmlns:a16="http://schemas.microsoft.com/office/drawing/2014/main" id="{ECBF919D-A941-4C74-AE00-F371723F7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0" name="Picture 82" descr="https://ssl.gstatic.com/ui/v1/icons/mail/images/cleardot.gif">
          <a:extLst>
            <a:ext uri="{FF2B5EF4-FFF2-40B4-BE49-F238E27FC236}">
              <a16:creationId xmlns:a16="http://schemas.microsoft.com/office/drawing/2014/main" id="{98D8E6C0-8296-4B90-8141-770ADD5F79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1" name="Picture 82" descr="https://ssl.gstatic.com/ui/v1/icons/mail/images/cleardot.gif">
          <a:extLst>
            <a:ext uri="{FF2B5EF4-FFF2-40B4-BE49-F238E27FC236}">
              <a16:creationId xmlns:a16="http://schemas.microsoft.com/office/drawing/2014/main" id="{7DA8F68A-AF6C-4342-87AE-8C3BC3E94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2" name="Picture 82" descr="https://ssl.gstatic.com/ui/v1/icons/mail/images/cleardot.gif">
          <a:extLst>
            <a:ext uri="{FF2B5EF4-FFF2-40B4-BE49-F238E27FC236}">
              <a16:creationId xmlns:a16="http://schemas.microsoft.com/office/drawing/2014/main" id="{9CB410B1-3C1C-4B18-BE69-F9BF75240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3" name="Picture 82" descr="https://ssl.gstatic.com/ui/v1/icons/mail/images/cleardot.gif">
          <a:extLst>
            <a:ext uri="{FF2B5EF4-FFF2-40B4-BE49-F238E27FC236}">
              <a16:creationId xmlns:a16="http://schemas.microsoft.com/office/drawing/2014/main" id="{54C5D1BD-DF50-4C43-A298-3C6BA0D9C4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4" name="Picture 82" descr="https://ssl.gstatic.com/ui/v1/icons/mail/images/cleardot.gif">
          <a:extLst>
            <a:ext uri="{FF2B5EF4-FFF2-40B4-BE49-F238E27FC236}">
              <a16:creationId xmlns:a16="http://schemas.microsoft.com/office/drawing/2014/main" id="{012885AE-5E8C-43FF-B790-663E0E22A3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5" name="Picture 82" descr="https://ssl.gstatic.com/ui/v1/icons/mail/images/cleardot.gif">
          <a:extLst>
            <a:ext uri="{FF2B5EF4-FFF2-40B4-BE49-F238E27FC236}">
              <a16:creationId xmlns:a16="http://schemas.microsoft.com/office/drawing/2014/main" id="{589B8EC4-07E4-4712-B0DE-A11564D088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6" name="Picture 55" descr="https://ssl.gstatic.com/ui/v1/icons/mail/images/cleardot.gif">
          <a:extLst>
            <a:ext uri="{FF2B5EF4-FFF2-40B4-BE49-F238E27FC236}">
              <a16:creationId xmlns:a16="http://schemas.microsoft.com/office/drawing/2014/main" id="{71D78F8F-7975-4B22-B231-CA48989AA2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7" name="Picture 82" descr="https://ssl.gstatic.com/ui/v1/icons/mail/images/cleardot.gif">
          <a:extLst>
            <a:ext uri="{FF2B5EF4-FFF2-40B4-BE49-F238E27FC236}">
              <a16:creationId xmlns:a16="http://schemas.microsoft.com/office/drawing/2014/main" id="{3BAEBF3B-9415-4873-94A0-C011FAE05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8" name="Picture 82" descr="https://ssl.gstatic.com/ui/v1/icons/mail/images/cleardot.gif">
          <a:extLst>
            <a:ext uri="{FF2B5EF4-FFF2-40B4-BE49-F238E27FC236}">
              <a16:creationId xmlns:a16="http://schemas.microsoft.com/office/drawing/2014/main" id="{FAD46962-6AFF-40B4-85A9-4BE30DCD26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59" name="Picture 82" descr="https://ssl.gstatic.com/ui/v1/icons/mail/images/cleardot.gif">
          <a:extLst>
            <a:ext uri="{FF2B5EF4-FFF2-40B4-BE49-F238E27FC236}">
              <a16:creationId xmlns:a16="http://schemas.microsoft.com/office/drawing/2014/main" id="{3753CACE-60B3-4FE3-B52E-2D50DAC52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0" name="Picture 82" descr="https://ssl.gstatic.com/ui/v1/icons/mail/images/cleardot.gif">
          <a:extLst>
            <a:ext uri="{FF2B5EF4-FFF2-40B4-BE49-F238E27FC236}">
              <a16:creationId xmlns:a16="http://schemas.microsoft.com/office/drawing/2014/main" id="{9CBCEE58-3EC5-491F-B9BD-BB2240E951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1" name="Picture 82" descr="https://ssl.gstatic.com/ui/v1/icons/mail/images/cleardot.gif">
          <a:extLst>
            <a:ext uri="{FF2B5EF4-FFF2-40B4-BE49-F238E27FC236}">
              <a16:creationId xmlns:a16="http://schemas.microsoft.com/office/drawing/2014/main" id="{A1E3F2BD-BECE-4015-8C3B-AF25D0678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2" name="Picture 82" descr="https://ssl.gstatic.com/ui/v1/icons/mail/images/cleardot.gif">
          <a:extLst>
            <a:ext uri="{FF2B5EF4-FFF2-40B4-BE49-F238E27FC236}">
              <a16:creationId xmlns:a16="http://schemas.microsoft.com/office/drawing/2014/main" id="{E8E3352A-CAE5-4BAC-80FC-D21BE198F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3" name="Picture 82" descr="https://ssl.gstatic.com/ui/v1/icons/mail/images/cleardot.gif">
          <a:extLst>
            <a:ext uri="{FF2B5EF4-FFF2-40B4-BE49-F238E27FC236}">
              <a16:creationId xmlns:a16="http://schemas.microsoft.com/office/drawing/2014/main" id="{3807F005-83EB-405B-86C5-DE22022722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4" name="Picture 82" descr="https://ssl.gstatic.com/ui/v1/icons/mail/images/cleardot.gif">
          <a:extLst>
            <a:ext uri="{FF2B5EF4-FFF2-40B4-BE49-F238E27FC236}">
              <a16:creationId xmlns:a16="http://schemas.microsoft.com/office/drawing/2014/main" id="{70A2EB1B-580E-4D2B-B409-AF35D8D36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5" name="Picture 82" descr="https://ssl.gstatic.com/ui/v1/icons/mail/images/cleardot.gif">
          <a:extLst>
            <a:ext uri="{FF2B5EF4-FFF2-40B4-BE49-F238E27FC236}">
              <a16:creationId xmlns:a16="http://schemas.microsoft.com/office/drawing/2014/main" id="{C02162D8-BFEE-4DE2-B575-3ADF7F6ED9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6" name="Picture 82" descr="https://ssl.gstatic.com/ui/v1/icons/mail/images/cleardot.gif">
          <a:extLst>
            <a:ext uri="{FF2B5EF4-FFF2-40B4-BE49-F238E27FC236}">
              <a16:creationId xmlns:a16="http://schemas.microsoft.com/office/drawing/2014/main" id="{249D0719-0F6B-47D2-B3CC-729AE8C67D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7" name="Picture 82" descr="https://ssl.gstatic.com/ui/v1/icons/mail/images/cleardot.gif">
          <a:extLst>
            <a:ext uri="{FF2B5EF4-FFF2-40B4-BE49-F238E27FC236}">
              <a16:creationId xmlns:a16="http://schemas.microsoft.com/office/drawing/2014/main" id="{23FCEB4E-0E2D-4397-BA43-DE065C7A5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8" name="Picture 82" descr="https://ssl.gstatic.com/ui/v1/icons/mail/images/cleardot.gif">
          <a:extLst>
            <a:ext uri="{FF2B5EF4-FFF2-40B4-BE49-F238E27FC236}">
              <a16:creationId xmlns:a16="http://schemas.microsoft.com/office/drawing/2014/main" id="{0F690E8A-7491-43CB-863F-5B47CB0CF8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69" name="Picture 82" descr="https://ssl.gstatic.com/ui/v1/icons/mail/images/cleardot.gif">
          <a:extLst>
            <a:ext uri="{FF2B5EF4-FFF2-40B4-BE49-F238E27FC236}">
              <a16:creationId xmlns:a16="http://schemas.microsoft.com/office/drawing/2014/main" id="{3580F560-012E-47F3-8F69-745A8D3313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0" name="Picture 82" descr="https://ssl.gstatic.com/ui/v1/icons/mail/images/cleardot.gif">
          <a:extLst>
            <a:ext uri="{FF2B5EF4-FFF2-40B4-BE49-F238E27FC236}">
              <a16:creationId xmlns:a16="http://schemas.microsoft.com/office/drawing/2014/main" id="{30B5C9A2-D821-4F74-99D4-984D8EBCB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1" name="Picture 82" descr="https://ssl.gstatic.com/ui/v1/icons/mail/images/cleardot.gif">
          <a:extLst>
            <a:ext uri="{FF2B5EF4-FFF2-40B4-BE49-F238E27FC236}">
              <a16:creationId xmlns:a16="http://schemas.microsoft.com/office/drawing/2014/main" id="{FBA6F86D-3126-4C4E-99B4-368162DA5A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2" name="Picture 82" descr="https://ssl.gstatic.com/ui/v1/icons/mail/images/cleardot.gif">
          <a:extLst>
            <a:ext uri="{FF2B5EF4-FFF2-40B4-BE49-F238E27FC236}">
              <a16:creationId xmlns:a16="http://schemas.microsoft.com/office/drawing/2014/main" id="{470A9608-D0EB-4DDE-9A48-C23CA9C10A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3" name="Picture 82" descr="https://ssl.gstatic.com/ui/v1/icons/mail/images/cleardot.gif">
          <a:extLst>
            <a:ext uri="{FF2B5EF4-FFF2-40B4-BE49-F238E27FC236}">
              <a16:creationId xmlns:a16="http://schemas.microsoft.com/office/drawing/2014/main" id="{FFDD7A39-AD89-4984-82D9-B379D55F52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4" name="Picture 82" descr="https://ssl.gstatic.com/ui/v1/icons/mail/images/cleardot.gif">
          <a:extLst>
            <a:ext uri="{FF2B5EF4-FFF2-40B4-BE49-F238E27FC236}">
              <a16:creationId xmlns:a16="http://schemas.microsoft.com/office/drawing/2014/main" id="{79E48FBD-BEC3-4577-91CC-BB1646C6D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5" name="Picture 82" descr="https://ssl.gstatic.com/ui/v1/icons/mail/images/cleardot.gif">
          <a:extLst>
            <a:ext uri="{FF2B5EF4-FFF2-40B4-BE49-F238E27FC236}">
              <a16:creationId xmlns:a16="http://schemas.microsoft.com/office/drawing/2014/main" id="{B883E651-BA50-49BB-BFBE-8EF9F080B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6" name="Picture 82" descr="https://ssl.gstatic.com/ui/v1/icons/mail/images/cleardot.gif">
          <a:extLst>
            <a:ext uri="{FF2B5EF4-FFF2-40B4-BE49-F238E27FC236}">
              <a16:creationId xmlns:a16="http://schemas.microsoft.com/office/drawing/2014/main" id="{8359285B-9876-4147-96E0-2A4BC77B9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7" name="Picture 82" descr="https://ssl.gstatic.com/ui/v1/icons/mail/images/cleardot.gif">
          <a:extLst>
            <a:ext uri="{FF2B5EF4-FFF2-40B4-BE49-F238E27FC236}">
              <a16:creationId xmlns:a16="http://schemas.microsoft.com/office/drawing/2014/main" id="{E7CE5E58-D2EE-4B7D-B4E7-2883930287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8" name="Picture 82" descr="https://ssl.gstatic.com/ui/v1/icons/mail/images/cleardot.gif">
          <a:extLst>
            <a:ext uri="{FF2B5EF4-FFF2-40B4-BE49-F238E27FC236}">
              <a16:creationId xmlns:a16="http://schemas.microsoft.com/office/drawing/2014/main" id="{85E86438-299B-4A32-87B3-85A0586121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79" name="Picture 82" descr="https://ssl.gstatic.com/ui/v1/icons/mail/images/cleardot.gif">
          <a:extLst>
            <a:ext uri="{FF2B5EF4-FFF2-40B4-BE49-F238E27FC236}">
              <a16:creationId xmlns:a16="http://schemas.microsoft.com/office/drawing/2014/main" id="{ED5365E6-EB7F-4728-B44D-FF02AC545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0" name="Picture 82" descr="https://ssl.gstatic.com/ui/v1/icons/mail/images/cleardot.gif">
          <a:extLst>
            <a:ext uri="{FF2B5EF4-FFF2-40B4-BE49-F238E27FC236}">
              <a16:creationId xmlns:a16="http://schemas.microsoft.com/office/drawing/2014/main" id="{2160A1B1-402A-4143-8F66-15AB5688FF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1" name="Picture 82" descr="https://ssl.gstatic.com/ui/v1/icons/mail/images/cleardot.gif">
          <a:extLst>
            <a:ext uri="{FF2B5EF4-FFF2-40B4-BE49-F238E27FC236}">
              <a16:creationId xmlns:a16="http://schemas.microsoft.com/office/drawing/2014/main" id="{0BC02F70-99AB-4EA6-AF15-5E7B4DDFC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2" name="Picture 82" descr="https://ssl.gstatic.com/ui/v1/icons/mail/images/cleardot.gif">
          <a:extLst>
            <a:ext uri="{FF2B5EF4-FFF2-40B4-BE49-F238E27FC236}">
              <a16:creationId xmlns:a16="http://schemas.microsoft.com/office/drawing/2014/main" id="{AAB8EC2D-B956-4E8E-9018-23BFC4A9F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3" name="Picture 82" descr="https://ssl.gstatic.com/ui/v1/icons/mail/images/cleardot.gif">
          <a:extLst>
            <a:ext uri="{FF2B5EF4-FFF2-40B4-BE49-F238E27FC236}">
              <a16:creationId xmlns:a16="http://schemas.microsoft.com/office/drawing/2014/main" id="{BF45300D-3067-43B7-8207-3BD0046C5B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4" name="Picture 82" descr="https://ssl.gstatic.com/ui/v1/icons/mail/images/cleardot.gif">
          <a:extLst>
            <a:ext uri="{FF2B5EF4-FFF2-40B4-BE49-F238E27FC236}">
              <a16:creationId xmlns:a16="http://schemas.microsoft.com/office/drawing/2014/main" id="{B1749740-0F4F-4C9A-845F-BB5576CAB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5" name="Picture 82" descr="https://ssl.gstatic.com/ui/v1/icons/mail/images/cleardot.gif">
          <a:extLst>
            <a:ext uri="{FF2B5EF4-FFF2-40B4-BE49-F238E27FC236}">
              <a16:creationId xmlns:a16="http://schemas.microsoft.com/office/drawing/2014/main" id="{215C8165-43ED-4286-A094-68D4E4A50B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6" name="Picture 82" descr="https://ssl.gstatic.com/ui/v1/icons/mail/images/cleardot.gif">
          <a:extLst>
            <a:ext uri="{FF2B5EF4-FFF2-40B4-BE49-F238E27FC236}">
              <a16:creationId xmlns:a16="http://schemas.microsoft.com/office/drawing/2014/main" id="{03B2932A-4C5A-4A36-AC11-B332F366D1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7" name="Picture 82" descr="https://ssl.gstatic.com/ui/v1/icons/mail/images/cleardot.gif">
          <a:extLst>
            <a:ext uri="{FF2B5EF4-FFF2-40B4-BE49-F238E27FC236}">
              <a16:creationId xmlns:a16="http://schemas.microsoft.com/office/drawing/2014/main" id="{11B0561A-C179-4D47-A55C-71D672B1CA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8" name="Picture 82" descr="https://ssl.gstatic.com/ui/v1/icons/mail/images/cleardot.gif">
          <a:extLst>
            <a:ext uri="{FF2B5EF4-FFF2-40B4-BE49-F238E27FC236}">
              <a16:creationId xmlns:a16="http://schemas.microsoft.com/office/drawing/2014/main" id="{4018F88E-3853-4A35-BDA8-22A8202829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89" name="Picture 82" descr="https://ssl.gstatic.com/ui/v1/icons/mail/images/cleardot.gif">
          <a:extLst>
            <a:ext uri="{FF2B5EF4-FFF2-40B4-BE49-F238E27FC236}">
              <a16:creationId xmlns:a16="http://schemas.microsoft.com/office/drawing/2014/main" id="{23633E8A-1DEC-4E5B-8C0B-9F9AF493D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0" name="Picture 82" descr="https://ssl.gstatic.com/ui/v1/icons/mail/images/cleardot.gif">
          <a:extLst>
            <a:ext uri="{FF2B5EF4-FFF2-40B4-BE49-F238E27FC236}">
              <a16:creationId xmlns:a16="http://schemas.microsoft.com/office/drawing/2014/main" id="{516CBF63-B2F2-443D-8C15-43D1458DF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1" name="Picture 82" descr="https://ssl.gstatic.com/ui/v1/icons/mail/images/cleardot.gif">
          <a:extLst>
            <a:ext uri="{FF2B5EF4-FFF2-40B4-BE49-F238E27FC236}">
              <a16:creationId xmlns:a16="http://schemas.microsoft.com/office/drawing/2014/main" id="{DE1EA6AB-D51E-48CD-BC8D-961A09FB3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2" name="Picture 82" descr="https://ssl.gstatic.com/ui/v1/icons/mail/images/cleardot.gif">
          <a:extLst>
            <a:ext uri="{FF2B5EF4-FFF2-40B4-BE49-F238E27FC236}">
              <a16:creationId xmlns:a16="http://schemas.microsoft.com/office/drawing/2014/main" id="{C3D353B3-A93B-4451-9A10-DE8DEE9778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3" name="Picture 82" descr="https://ssl.gstatic.com/ui/v1/icons/mail/images/cleardot.gif">
          <a:extLst>
            <a:ext uri="{FF2B5EF4-FFF2-40B4-BE49-F238E27FC236}">
              <a16:creationId xmlns:a16="http://schemas.microsoft.com/office/drawing/2014/main" id="{D0CC9EA3-A00A-4A19-B41A-124A544B59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4" name="Picture 82" descr="https://ssl.gstatic.com/ui/v1/icons/mail/images/cleardot.gif">
          <a:extLst>
            <a:ext uri="{FF2B5EF4-FFF2-40B4-BE49-F238E27FC236}">
              <a16:creationId xmlns:a16="http://schemas.microsoft.com/office/drawing/2014/main" id="{BF5EADEA-F9B0-49F8-8689-0BAD665FBC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5" name="Picture 82" descr="https://ssl.gstatic.com/ui/v1/icons/mail/images/cleardot.gif">
          <a:extLst>
            <a:ext uri="{FF2B5EF4-FFF2-40B4-BE49-F238E27FC236}">
              <a16:creationId xmlns:a16="http://schemas.microsoft.com/office/drawing/2014/main" id="{C1BB5C77-0E68-4259-A1B4-A1112A281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6" name="Picture 82" descr="https://ssl.gstatic.com/ui/v1/icons/mail/images/cleardot.gif">
          <a:extLst>
            <a:ext uri="{FF2B5EF4-FFF2-40B4-BE49-F238E27FC236}">
              <a16:creationId xmlns:a16="http://schemas.microsoft.com/office/drawing/2014/main" id="{0BB6A88E-2189-4B67-8CE1-8712A3B19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7" name="Picture 82" descr="https://ssl.gstatic.com/ui/v1/icons/mail/images/cleardot.gif">
          <a:extLst>
            <a:ext uri="{FF2B5EF4-FFF2-40B4-BE49-F238E27FC236}">
              <a16:creationId xmlns:a16="http://schemas.microsoft.com/office/drawing/2014/main" id="{416AB0CB-D558-49C0-B064-7BF4050FFC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8" name="Picture 82" descr="https://ssl.gstatic.com/ui/v1/icons/mail/images/cleardot.gif">
          <a:extLst>
            <a:ext uri="{FF2B5EF4-FFF2-40B4-BE49-F238E27FC236}">
              <a16:creationId xmlns:a16="http://schemas.microsoft.com/office/drawing/2014/main" id="{3659512D-A727-4CA2-A1D7-70A6874F0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99" name="Picture 82" descr="https://ssl.gstatic.com/ui/v1/icons/mail/images/cleardot.gif">
          <a:extLst>
            <a:ext uri="{FF2B5EF4-FFF2-40B4-BE49-F238E27FC236}">
              <a16:creationId xmlns:a16="http://schemas.microsoft.com/office/drawing/2014/main" id="{9120BF63-0454-4FA8-8A3A-FD1997E475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00" name="Picture 82" descr="https://ssl.gstatic.com/ui/v1/icons/mail/images/cleardot.gif">
          <a:extLst>
            <a:ext uri="{FF2B5EF4-FFF2-40B4-BE49-F238E27FC236}">
              <a16:creationId xmlns:a16="http://schemas.microsoft.com/office/drawing/2014/main" id="{ECA672FA-599F-4506-BE3B-859A974D1C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01" name="Picture 82" descr="https://ssl.gstatic.com/ui/v1/icons/mail/images/cleardot.gif">
          <a:extLst>
            <a:ext uri="{FF2B5EF4-FFF2-40B4-BE49-F238E27FC236}">
              <a16:creationId xmlns:a16="http://schemas.microsoft.com/office/drawing/2014/main" id="{E17FB7F9-350C-4F36-8026-572C3EE0CC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02" name="Picture 82" descr="https://ssl.gstatic.com/ui/v1/icons/mail/images/cleardot.gif">
          <a:extLst>
            <a:ext uri="{FF2B5EF4-FFF2-40B4-BE49-F238E27FC236}">
              <a16:creationId xmlns:a16="http://schemas.microsoft.com/office/drawing/2014/main" id="{745BF4D2-4047-4534-93E3-7302B215AC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03" name="Picture 82" descr="https://ssl.gstatic.com/ui/v1/icons/mail/images/cleardot.gif">
          <a:extLst>
            <a:ext uri="{FF2B5EF4-FFF2-40B4-BE49-F238E27FC236}">
              <a16:creationId xmlns:a16="http://schemas.microsoft.com/office/drawing/2014/main" id="{B779470F-E430-4728-84E6-911CF96202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04" name="Picture 82" descr="https://ssl.gstatic.com/ui/v1/icons/mail/images/cleardot.gif">
          <a:extLst>
            <a:ext uri="{FF2B5EF4-FFF2-40B4-BE49-F238E27FC236}">
              <a16:creationId xmlns:a16="http://schemas.microsoft.com/office/drawing/2014/main" id="{15D127DE-6915-4213-814A-9EEBD0DC4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05" name="Picture 82" descr="https://ssl.gstatic.com/ui/v1/icons/mail/images/cleardot.gif">
          <a:extLst>
            <a:ext uri="{FF2B5EF4-FFF2-40B4-BE49-F238E27FC236}">
              <a16:creationId xmlns:a16="http://schemas.microsoft.com/office/drawing/2014/main" id="{112D7E39-E052-4ECE-B76D-1A38BF51B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13</xdr:row>
      <xdr:rowOff>0</xdr:rowOff>
    </xdr:from>
    <xdr:ext cx="9525" cy="295275"/>
    <xdr:pic>
      <xdr:nvPicPr>
        <xdr:cNvPr id="106" name="Picture 82" descr="https://ssl.gstatic.com/ui/v1/icons/mail/images/cleardot.gif">
          <a:extLst>
            <a:ext uri="{FF2B5EF4-FFF2-40B4-BE49-F238E27FC236}">
              <a16:creationId xmlns:a16="http://schemas.microsoft.com/office/drawing/2014/main" id="{A8AA95BD-AB87-4555-A320-E4DD342A3F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5350" y="12985750"/>
          <a:ext cx="95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persons/person.xml><?xml version="1.0" encoding="utf-8"?>
<personList xmlns="http://schemas.microsoft.com/office/spreadsheetml/2018/threadedcomments" xmlns:x="http://schemas.openxmlformats.org/spreadsheetml/2006/main">
  <person displayName="Edith Gitobu" id="{ABF9D675-BA76-416B-A75A-3B82F831CB38}" userId="S::egitobu@chak.or.ke::f29dba8e-26ab-4665-82ae-e0d221cb0ca2" providerId="AD"/>
  <person displayName="Patrick Kyalo Mutua" id="{BC98DA0B-EC8A-474B-8C69-16CC59B89C2C}" userId="S::patrick@chak.or.ke::2f833572-5bf0-42e6-92ee-a8b079f310ce" providerId="AD"/>
  <person displayName="Patrick Mwanzia Musyoki" id="{99E7C60E-275C-45C4-85DD-D2C2AB56A8A6}" userId="S::pmusyoki@chak.or.ke::81aa0632-229f-4635-a283-21dfe83bbfa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24" dT="2025-10-08T10:49:19.46" personId="{BC98DA0B-EC8A-474B-8C69-16CC59B89C2C}" id="{1ACC24D8-F878-4A34-96A7-F300D0892CD5}">
    <text xml:space="preserve">Staff requested non renewal
</text>
  </threadedComment>
</ThreadedComments>
</file>

<file path=xl/threadedComments/threadedComment2.xml><?xml version="1.0" encoding="utf-8"?>
<ThreadedComments xmlns="http://schemas.microsoft.com/office/spreadsheetml/2018/threadedcomments" xmlns:x="http://schemas.openxmlformats.org/spreadsheetml/2006/main">
  <threadedComment ref="B56" dT="2023-11-27T10:33:16.55" personId="{99E7C60E-275C-45C4-85DD-D2C2AB56A8A6}" id="{35946FAA-D183-43AC-AB9A-FDCE527A8B8B}">
    <text xml:space="preserve">Pay through Yetu Sacco Society Ltd
Member No:123226
</text>
  </threadedComment>
  <threadedComment ref="B79" dT="2023-05-26T06:12:13.03" personId="{99E7C60E-275C-45C4-85DD-D2C2AB56A8A6}" id="{5EC88E29-071C-4FE3-B068-4A1CE727F987}">
    <text>Pay via Jamii yetu SACCO Ltd - Mebership No. 79238</text>
  </threadedComment>
  <threadedComment ref="B113" dT="2025-03-25T23:21:37.70" personId="{ABF9D675-BA76-416B-A75A-3B82F831CB38}" id="{D3ACB857-8690-4AD1-B6E2-00945C69679C}">
    <text>Redesignated as clinical mentor wef 1st March2025</text>
  </threadedComment>
  <threadedComment ref="B113" dT="2025-05-23T08:23:07.86" personId="{ABF9D675-BA76-416B-A75A-3B82F831CB38}" id="{DCCF04C4-B803-472B-AB37-357E75EAA5D2}" parentId="{D3ACB857-8690-4AD1-B6E2-00945C69679C}">
    <text>Reinstated as C.O effective May1</text>
  </threadedComment>
  <threadedComment ref="B141" dT="2024-02-23T13:47:04.58" personId="{99E7C60E-275C-45C4-85DD-D2C2AB56A8A6}" id="{DCBAF967-28D1-4081-9516-5079665CC182}">
    <text>Pay via YETU SACCO SOCIETY LTD
11125655/30124661</text>
  </threadedComment>
  <threadedComment ref="B161" dT="2023-12-19T13:56:45.09" personId="{99E7C60E-275C-45C4-85DD-D2C2AB56A8A6}" id="{DCC4C345-CB76-4796-80DF-7B34487004A4}">
    <text>Pay salary prorated from 4/12/23</text>
  </threadedComment>
  <threadedComment ref="B162" dT="2023-12-19T13:56:30.46" personId="{99E7C60E-275C-45C4-85DD-D2C2AB56A8A6}" id="{09FD72B6-22DC-4DC8-ABB6-DDC741FEAF29}">
    <text>pay salary prorated from 5/12/23</text>
  </threadedComment>
  <threadedComment ref="B163" dT="2023-12-19T13:56:16.24" personId="{99E7C60E-275C-45C4-85DD-D2C2AB56A8A6}" id="{CF51F969-457D-4790-BF07-7A2A6EBDAA4E}">
    <text>pay salary prorated from 5/12/23</text>
  </threadedComment>
  <threadedComment ref="B164" dT="2023-12-19T13:55:56.47" personId="{99E7C60E-275C-45C4-85DD-D2C2AB56A8A6}" id="{337396F7-9226-4D0B-8DE7-19ED85A46AFD}">
    <text>pay salary prorated from18/12/23</text>
  </threadedComment>
  <threadedComment ref="B174" dT="2024-07-25T09:05:41.38" personId="{ABF9D675-BA76-416B-A75A-3B82F831CB38}" id="{F628CBD5-FE80-4510-A034-34143216C11B}">
    <text>Upto 30th Sep 2024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mailto:koomejuster@gmail.com" TargetMode="External"/><Relationship Id="rId21" Type="http://schemas.openxmlformats.org/officeDocument/2006/relationships/hyperlink" Target="mailto:peterkivuti@gmail.com" TargetMode="External"/><Relationship Id="rId63" Type="http://schemas.openxmlformats.org/officeDocument/2006/relationships/hyperlink" Target="mailto:jospjinekathure18@gmail.com" TargetMode="External"/><Relationship Id="rId159" Type="http://schemas.openxmlformats.org/officeDocument/2006/relationships/hyperlink" Target="mailto:evanskiprotich8@gmail.com" TargetMode="External"/><Relationship Id="rId170" Type="http://schemas.openxmlformats.org/officeDocument/2006/relationships/hyperlink" Target="mailto:mungojoo@gmail.com" TargetMode="External"/><Relationship Id="rId226" Type="http://schemas.openxmlformats.org/officeDocument/2006/relationships/hyperlink" Target="mailto:githusussy@gmail.com" TargetMode="External"/><Relationship Id="rId268" Type="http://schemas.openxmlformats.org/officeDocument/2006/relationships/hyperlink" Target="mailto:syetemesi@gmail.com" TargetMode="External"/><Relationship Id="rId32" Type="http://schemas.openxmlformats.org/officeDocument/2006/relationships/hyperlink" Target="mailto:johnpetermurimi@gmail.com" TargetMode="External"/><Relationship Id="rId74" Type="http://schemas.openxmlformats.org/officeDocument/2006/relationships/hyperlink" Target="mailto:louiskyalo@gmail.com" TargetMode="External"/><Relationship Id="rId128" Type="http://schemas.openxmlformats.org/officeDocument/2006/relationships/hyperlink" Target="mailto:tonnykimathipeter@gmail.com" TargetMode="External"/><Relationship Id="rId5" Type="http://schemas.openxmlformats.org/officeDocument/2006/relationships/hyperlink" Target="mailto:jacintamuthonij@gmail.com" TargetMode="External"/><Relationship Id="rId95" Type="http://schemas.openxmlformats.org/officeDocument/2006/relationships/hyperlink" Target="mailto:ruthphilip17@gmail.com" TargetMode="External"/><Relationship Id="rId160" Type="http://schemas.openxmlformats.org/officeDocument/2006/relationships/hyperlink" Target="mailto:ahmilkims45@gmail.com" TargetMode="External"/><Relationship Id="rId181" Type="http://schemas.openxmlformats.org/officeDocument/2006/relationships/hyperlink" Target="mailto:mosesrng@yahoo.com" TargetMode="External"/><Relationship Id="rId216" Type="http://schemas.openxmlformats.org/officeDocument/2006/relationships/hyperlink" Target="mailto:rosewangari45@yahoo.com" TargetMode="External"/><Relationship Id="rId237" Type="http://schemas.openxmlformats.org/officeDocument/2006/relationships/hyperlink" Target="mailto:jeanireri3@gmail.com" TargetMode="External"/><Relationship Id="rId258" Type="http://schemas.openxmlformats.org/officeDocument/2006/relationships/hyperlink" Target="mailto:monicahkainyu96@gmail.com" TargetMode="External"/><Relationship Id="rId22" Type="http://schemas.openxmlformats.org/officeDocument/2006/relationships/hyperlink" Target="mailto:wawirapolly7@yahoo.com" TargetMode="External"/><Relationship Id="rId43" Type="http://schemas.openxmlformats.org/officeDocument/2006/relationships/hyperlink" Target="mailto:nyagaflo80@gmail.com%3e" TargetMode="External"/><Relationship Id="rId64" Type="http://schemas.openxmlformats.org/officeDocument/2006/relationships/hyperlink" Target="mailto:josphinekananu1988@gmail.com" TargetMode="External"/><Relationship Id="rId118" Type="http://schemas.openxmlformats.org/officeDocument/2006/relationships/hyperlink" Target="mailto:kibwan85@gmail.com" TargetMode="External"/><Relationship Id="rId139" Type="http://schemas.openxmlformats.org/officeDocument/2006/relationships/hyperlink" Target="mailto:rutereg@gmail.com" TargetMode="External"/><Relationship Id="rId85" Type="http://schemas.openxmlformats.org/officeDocument/2006/relationships/hyperlink" Target="mailto:paulkirimi45@gmail.com" TargetMode="External"/><Relationship Id="rId150" Type="http://schemas.openxmlformats.org/officeDocument/2006/relationships/hyperlink" Target="mailto:stephenmwongera89@gmail.com" TargetMode="External"/><Relationship Id="rId171" Type="http://schemas.openxmlformats.org/officeDocument/2006/relationships/hyperlink" Target="mailto:mwangimargaret561@gmail.com" TargetMode="External"/><Relationship Id="rId192" Type="http://schemas.openxmlformats.org/officeDocument/2006/relationships/hyperlink" Target="mailto:wamuiwinnie@gmail.com" TargetMode="External"/><Relationship Id="rId206" Type="http://schemas.openxmlformats.org/officeDocument/2006/relationships/hyperlink" Target="mailto:jonnydkamau20@gmail.com" TargetMode="External"/><Relationship Id="rId227" Type="http://schemas.openxmlformats.org/officeDocument/2006/relationships/hyperlink" Target="mailto:alicenjeri75@gmail.com" TargetMode="External"/><Relationship Id="rId248" Type="http://schemas.openxmlformats.org/officeDocument/2006/relationships/hyperlink" Target="mailto:stlsonnie@gmail.com" TargetMode="External"/><Relationship Id="rId269" Type="http://schemas.openxmlformats.org/officeDocument/2006/relationships/hyperlink" Target="mailto:violetnderitu@gmail.com" TargetMode="External"/><Relationship Id="rId12" Type="http://schemas.openxmlformats.org/officeDocument/2006/relationships/hyperlink" Target="mailto:lnjeru11@gmail.com" TargetMode="External"/><Relationship Id="rId33" Type="http://schemas.openxmlformats.org/officeDocument/2006/relationships/hyperlink" Target="mailto:mercienyari150@gmail.com" TargetMode="External"/><Relationship Id="rId108" Type="http://schemas.openxmlformats.org/officeDocument/2006/relationships/hyperlink" Target="mailto:aggiga954@gmail.com" TargetMode="External"/><Relationship Id="rId129" Type="http://schemas.openxmlformats.org/officeDocument/2006/relationships/hyperlink" Target="mailto:annkamamir@gmail.com" TargetMode="External"/><Relationship Id="rId54" Type="http://schemas.openxmlformats.org/officeDocument/2006/relationships/hyperlink" Target="mailto:fridahnaitore45@gmail.com" TargetMode="External"/><Relationship Id="rId75" Type="http://schemas.openxmlformats.org/officeDocument/2006/relationships/hyperlink" Target="mailto:gaklynn@yahoo.com" TargetMode="External"/><Relationship Id="rId96" Type="http://schemas.openxmlformats.org/officeDocument/2006/relationships/hyperlink" Target="mailto:salomegacheri14@gmail.com" TargetMode="External"/><Relationship Id="rId140" Type="http://schemas.openxmlformats.org/officeDocument/2006/relationships/hyperlink" Target="mailto:jeniffermigwi1973@gmail.com" TargetMode="External"/><Relationship Id="rId161" Type="http://schemas.openxmlformats.org/officeDocument/2006/relationships/hyperlink" Target="mailto:gladyskamuren@gmail.com" TargetMode="External"/><Relationship Id="rId182" Type="http://schemas.openxmlformats.org/officeDocument/2006/relationships/hyperlink" Target="mailto:nelliewairi@gmail.com" TargetMode="External"/><Relationship Id="rId217" Type="http://schemas.openxmlformats.org/officeDocument/2006/relationships/hyperlink" Target="mailto:msalomemuthoni@gmail.com" TargetMode="External"/><Relationship Id="rId6" Type="http://schemas.openxmlformats.org/officeDocument/2006/relationships/hyperlink" Target="mailto:jameskafiroo@gmail.com" TargetMode="External"/><Relationship Id="rId238" Type="http://schemas.openxmlformats.org/officeDocument/2006/relationships/hyperlink" Target="mailto:josmunuve166@gmail.com" TargetMode="External"/><Relationship Id="rId259" Type="http://schemas.openxmlformats.org/officeDocument/2006/relationships/hyperlink" Target="mailto:rispernkatha.rn@gmail.com" TargetMode="External"/><Relationship Id="rId23" Type="http://schemas.openxmlformats.org/officeDocument/2006/relationships/hyperlink" Target="mailto:rosendidz90@gmail.com" TargetMode="External"/><Relationship Id="rId119" Type="http://schemas.openxmlformats.org/officeDocument/2006/relationships/hyperlink" Target="mailto:christinegichangi@yahoo.com" TargetMode="External"/><Relationship Id="rId270" Type="http://schemas.openxmlformats.org/officeDocument/2006/relationships/hyperlink" Target="mailto:hoseakimathi11@gmail.com" TargetMode="External"/><Relationship Id="rId44" Type="http://schemas.openxmlformats.org/officeDocument/2006/relationships/hyperlink" Target="mailto:pharesgladyskananu@gmail.com%3e" TargetMode="External"/><Relationship Id="rId65" Type="http://schemas.openxmlformats.org/officeDocument/2006/relationships/hyperlink" Target="mailto:joykagwiriag@gmail.com" TargetMode="External"/><Relationship Id="rId86" Type="http://schemas.openxmlformats.org/officeDocument/2006/relationships/hyperlink" Target="mailto:paulthuras254@gmail.com" TargetMode="External"/><Relationship Id="rId130" Type="http://schemas.openxmlformats.org/officeDocument/2006/relationships/hyperlink" Target="mailto:gitonganto88@gmail.com" TargetMode="External"/><Relationship Id="rId151" Type="http://schemas.openxmlformats.org/officeDocument/2006/relationships/hyperlink" Target="mailto:lengima9@gmail.com" TargetMode="External"/><Relationship Id="rId172" Type="http://schemas.openxmlformats.org/officeDocument/2006/relationships/hyperlink" Target="mailto:kasavimaina20@gmail.com" TargetMode="External"/><Relationship Id="rId193" Type="http://schemas.openxmlformats.org/officeDocument/2006/relationships/hyperlink" Target="mailto:carolynnwambui@gmail.com" TargetMode="External"/><Relationship Id="rId207" Type="http://schemas.openxmlformats.org/officeDocument/2006/relationships/hyperlink" Target="mailto:jwgitao@yahoo.com" TargetMode="External"/><Relationship Id="rId228" Type="http://schemas.openxmlformats.org/officeDocument/2006/relationships/hyperlink" Target="mailto:annjoykanake1@gmail.com" TargetMode="External"/><Relationship Id="rId249" Type="http://schemas.openxmlformats.org/officeDocument/2006/relationships/hyperlink" Target="mailto:willymurithi96@gmail.com" TargetMode="External"/><Relationship Id="rId13" Type="http://schemas.openxmlformats.org/officeDocument/2006/relationships/hyperlink" Target="mailto:mwilusalia88@gmail.com" TargetMode="External"/><Relationship Id="rId109" Type="http://schemas.openxmlformats.org/officeDocument/2006/relationships/hyperlink" Target="mailto:kaibiriaalex@gmail.com" TargetMode="External"/><Relationship Id="rId260" Type="http://schemas.openxmlformats.org/officeDocument/2006/relationships/hyperlink" Target="mailto:violetayuma98@gmail.com" TargetMode="External"/><Relationship Id="rId34" Type="http://schemas.openxmlformats.org/officeDocument/2006/relationships/hyperlink" Target="mailto:newtonmaina80@gmail.com" TargetMode="External"/><Relationship Id="rId55" Type="http://schemas.openxmlformats.org/officeDocument/2006/relationships/hyperlink" Target="mailto:wangagithendu165@gmail.com" TargetMode="External"/><Relationship Id="rId76" Type="http://schemas.openxmlformats.org/officeDocument/2006/relationships/hyperlink" Target="mailto:maggyonuarite@gmail.com" TargetMode="External"/><Relationship Id="rId97" Type="http://schemas.openxmlformats.org/officeDocument/2006/relationships/hyperlink" Target="mailto:sallyabdih@gmail.com" TargetMode="External"/><Relationship Id="rId120" Type="http://schemas.openxmlformats.org/officeDocument/2006/relationships/hyperlink" Target="mailto:danielmuthomi195@gmail.com" TargetMode="External"/><Relationship Id="rId141" Type="http://schemas.openxmlformats.org/officeDocument/2006/relationships/hyperlink" Target="mailto:jgatugi@gmail.com" TargetMode="External"/><Relationship Id="rId7" Type="http://schemas.openxmlformats.org/officeDocument/2006/relationships/hyperlink" Target="mailto:joeyckoi@gmail.com" TargetMode="External"/><Relationship Id="rId162" Type="http://schemas.openxmlformats.org/officeDocument/2006/relationships/hyperlink" Target="mailto:gbiwott99@gmail.com" TargetMode="External"/><Relationship Id="rId183" Type="http://schemas.openxmlformats.org/officeDocument/2006/relationships/hyperlink" Target="mailto:maingi843@gmail.com" TargetMode="External"/><Relationship Id="rId218" Type="http://schemas.openxmlformats.org/officeDocument/2006/relationships/hyperlink" Target="mailto:suemwas45@gmail.com" TargetMode="External"/><Relationship Id="rId239" Type="http://schemas.openxmlformats.org/officeDocument/2006/relationships/hyperlink" Target="mailto:judynjagi16@gmail.com" TargetMode="External"/><Relationship Id="rId250" Type="http://schemas.openxmlformats.org/officeDocument/2006/relationships/hyperlink" Target="mailto:kambuawinfred5@gmail.com" TargetMode="External"/><Relationship Id="rId271" Type="http://schemas.openxmlformats.org/officeDocument/2006/relationships/hyperlink" Target="mailto:ericakanana2019@gmail.com" TargetMode="External"/><Relationship Id="rId24" Type="http://schemas.openxmlformats.org/officeDocument/2006/relationships/hyperlink" Target="mailto:weddswawira@gmail.com" TargetMode="External"/><Relationship Id="rId45" Type="http://schemas.openxmlformats.org/officeDocument/2006/relationships/hyperlink" Target="mailto:stephenkigotho@gmail.com" TargetMode="External"/><Relationship Id="rId66" Type="http://schemas.openxmlformats.org/officeDocument/2006/relationships/hyperlink" Target="mailto:joymake44@yahoo.com" TargetMode="External"/><Relationship Id="rId87" Type="http://schemas.openxmlformats.org/officeDocument/2006/relationships/hyperlink" Target="mailto:peninahgacheri312@yahoo.com" TargetMode="External"/><Relationship Id="rId110" Type="http://schemas.openxmlformats.org/officeDocument/2006/relationships/hyperlink" Target="mailto:mwitimugambi88@gmail.com" TargetMode="External"/><Relationship Id="rId131" Type="http://schemas.openxmlformats.org/officeDocument/2006/relationships/hyperlink" Target="mailto:kananubetty4@gmail.com" TargetMode="External"/><Relationship Id="rId152" Type="http://schemas.openxmlformats.org/officeDocument/2006/relationships/hyperlink" Target="mailto:beatricewangui136@gmail.com" TargetMode="External"/><Relationship Id="rId173" Type="http://schemas.openxmlformats.org/officeDocument/2006/relationships/hyperlink" Target="mailto:martinkamau329@gmail.com" TargetMode="External"/><Relationship Id="rId194" Type="http://schemas.openxmlformats.org/officeDocument/2006/relationships/hyperlink" Target="mailto:nyakioo700@gmail.com" TargetMode="External"/><Relationship Id="rId208" Type="http://schemas.openxmlformats.org/officeDocument/2006/relationships/hyperlink" Target="mailto:judygitau33@gmail.com" TargetMode="External"/><Relationship Id="rId229" Type="http://schemas.openxmlformats.org/officeDocument/2006/relationships/hyperlink" Target="mailto:kajuju78@gmail.com" TargetMode="External"/><Relationship Id="rId240" Type="http://schemas.openxmlformats.org/officeDocument/2006/relationships/hyperlink" Target="mailto:lanahmaks@gmail.com" TargetMode="External"/><Relationship Id="rId261" Type="http://schemas.openxmlformats.org/officeDocument/2006/relationships/hyperlink" Target="mailto:marykabeti98@gmail.com" TargetMode="External"/><Relationship Id="rId14" Type="http://schemas.openxmlformats.org/officeDocument/2006/relationships/hyperlink" Target="mailto:pwawirandambiri@gmail.com" TargetMode="External"/><Relationship Id="rId35" Type="http://schemas.openxmlformats.org/officeDocument/2006/relationships/hyperlink" Target="mailto:bentanyawira678@gmail.com%3e" TargetMode="External"/><Relationship Id="rId56" Type="http://schemas.openxmlformats.org/officeDocument/2006/relationships/hyperlink" Target="mailto:friwanj@gmail.com" TargetMode="External"/><Relationship Id="rId77" Type="http://schemas.openxmlformats.org/officeDocument/2006/relationships/hyperlink" Target="mailto:kimathim23@gmail.com" TargetMode="External"/><Relationship Id="rId100" Type="http://schemas.openxmlformats.org/officeDocument/2006/relationships/hyperlink" Target="mailto:sophiemikson@yahoo.com" TargetMode="External"/><Relationship Id="rId8" Type="http://schemas.openxmlformats.org/officeDocument/2006/relationships/hyperlink" Target="mailto:juditamurugi@gmail.com" TargetMode="External"/><Relationship Id="rId98" Type="http://schemas.openxmlformats.org/officeDocument/2006/relationships/hyperlink" Target="mailto:sarah.kagwi87@gmail.com" TargetMode="External"/><Relationship Id="rId121" Type="http://schemas.openxmlformats.org/officeDocument/2006/relationships/hyperlink" Target="mailto:dennisgitari01@gmail.com" TargetMode="External"/><Relationship Id="rId142" Type="http://schemas.openxmlformats.org/officeDocument/2006/relationships/hyperlink" Target="mailto:joykoreta@gmail.com" TargetMode="External"/><Relationship Id="rId163" Type="http://schemas.openxmlformats.org/officeDocument/2006/relationships/hyperlink" Target="mailto:gladysnyakeru@gmail.com" TargetMode="External"/><Relationship Id="rId184" Type="http://schemas.openxmlformats.org/officeDocument/2006/relationships/hyperlink" Target="mailto:p.kageta@gmail.com" TargetMode="External"/><Relationship Id="rId219" Type="http://schemas.openxmlformats.org/officeDocument/2006/relationships/hyperlink" Target="mailto:susanwangui076@gmail.com" TargetMode="External"/><Relationship Id="rId230" Type="http://schemas.openxmlformats.org/officeDocument/2006/relationships/hyperlink" Target="mailto:consolatammugambi@gmail.com" TargetMode="External"/><Relationship Id="rId251" Type="http://schemas.openxmlformats.org/officeDocument/2006/relationships/hyperlink" Target="mailto:nicoletakaregi@gmail.com" TargetMode="External"/><Relationship Id="rId25" Type="http://schemas.openxmlformats.org/officeDocument/2006/relationships/hyperlink" Target="mailto:lucymbindye@gmail.com" TargetMode="External"/><Relationship Id="rId46" Type="http://schemas.openxmlformats.org/officeDocument/2006/relationships/hyperlink" Target="mailto:dorothyntinyari@gmail.com" TargetMode="External"/><Relationship Id="rId67" Type="http://schemas.openxmlformats.org/officeDocument/2006/relationships/hyperlink" Target="mailto:kendijuster13@gmail.com" TargetMode="External"/><Relationship Id="rId272" Type="http://schemas.openxmlformats.org/officeDocument/2006/relationships/hyperlink" Target="mailto:mwami254@gmail.com" TargetMode="External"/><Relationship Id="rId88" Type="http://schemas.openxmlformats.org/officeDocument/2006/relationships/hyperlink" Target="mailto:peninah.twish@gmail.com" TargetMode="External"/><Relationship Id="rId111" Type="http://schemas.openxmlformats.org/officeDocument/2006/relationships/hyperlink" Target="mailto:baniskathomi@gmail.com" TargetMode="External"/><Relationship Id="rId132" Type="http://schemas.openxmlformats.org/officeDocument/2006/relationships/hyperlink" Target="mailto:davisjilloo@gmail.com" TargetMode="External"/><Relationship Id="rId153" Type="http://schemas.openxmlformats.org/officeDocument/2006/relationships/hyperlink" Target="mailto:merrykaburu@gmail.com" TargetMode="External"/><Relationship Id="rId174" Type="http://schemas.openxmlformats.org/officeDocument/2006/relationships/hyperlink" Target="mailto:martinkamau320@gmail.com" TargetMode="External"/><Relationship Id="rId195" Type="http://schemas.openxmlformats.org/officeDocument/2006/relationships/hyperlink" Target="mailto:kaurekinyanjui@gmail.com" TargetMode="External"/><Relationship Id="rId209" Type="http://schemas.openxmlformats.org/officeDocument/2006/relationships/hyperlink" Target="mailto:judytomno@gmail.com" TargetMode="External"/><Relationship Id="rId220" Type="http://schemas.openxmlformats.org/officeDocument/2006/relationships/hyperlink" Target="mailto:trizamanjane@gmail.com" TargetMode="External"/><Relationship Id="rId241" Type="http://schemas.openxmlformats.org/officeDocument/2006/relationships/hyperlink" Target="mailto:MMURITHI99@GMAIL.COM" TargetMode="External"/><Relationship Id="rId15" Type="http://schemas.openxmlformats.org/officeDocument/2006/relationships/hyperlink" Target="mailto:wairimuruth394@gmail.com" TargetMode="External"/><Relationship Id="rId36" Type="http://schemas.openxmlformats.org/officeDocument/2006/relationships/hyperlink" Target="mailto:muthoniemili45@gmail.com" TargetMode="External"/><Relationship Id="rId57" Type="http://schemas.openxmlformats.org/officeDocument/2006/relationships/hyperlink" Target="mailto:mukamiwakonji@gmail.com" TargetMode="External"/><Relationship Id="rId262" Type="http://schemas.openxmlformats.org/officeDocument/2006/relationships/hyperlink" Target="mailto:alicewanjikuwamuyu@gmail.com" TargetMode="External"/><Relationship Id="rId78" Type="http://schemas.openxmlformats.org/officeDocument/2006/relationships/hyperlink" Target="mailto:mercynkatha944@gmail.com" TargetMode="External"/><Relationship Id="rId99" Type="http://schemas.openxmlformats.org/officeDocument/2006/relationships/hyperlink" Target="mailto:kendisharon96@gmail.com" TargetMode="External"/><Relationship Id="rId101" Type="http://schemas.openxmlformats.org/officeDocument/2006/relationships/hyperlink" Target="mailto:mugambistanley14@gmail.com" TargetMode="External"/><Relationship Id="rId122" Type="http://schemas.openxmlformats.org/officeDocument/2006/relationships/hyperlink" Target="mailto:koomedicken@gmail.com" TargetMode="External"/><Relationship Id="rId143" Type="http://schemas.openxmlformats.org/officeDocument/2006/relationships/hyperlink" Target="mailto:judjoyjjnana@gmail.com" TargetMode="External"/><Relationship Id="rId164" Type="http://schemas.openxmlformats.org/officeDocument/2006/relationships/hyperlink" Target="mailto:janetokiru522@yahoo.com" TargetMode="External"/><Relationship Id="rId185" Type="http://schemas.openxmlformats.org/officeDocument/2006/relationships/hyperlink" Target="mailto:samwelnderitu9@gmail.com" TargetMode="External"/><Relationship Id="rId9" Type="http://schemas.openxmlformats.org/officeDocument/2006/relationships/hyperlink" Target="mailto:kellenwaj@yahoo.com" TargetMode="External"/><Relationship Id="rId210" Type="http://schemas.openxmlformats.org/officeDocument/2006/relationships/hyperlink" Target="mailto:lwaithe2014@gmail.com" TargetMode="External"/><Relationship Id="rId26" Type="http://schemas.openxmlformats.org/officeDocument/2006/relationships/hyperlink" Target="mailto:wakiogladys86@gmail.com" TargetMode="External"/><Relationship Id="rId231" Type="http://schemas.openxmlformats.org/officeDocument/2006/relationships/hyperlink" Target="mailto:dnokarani@gmail.com" TargetMode="External"/><Relationship Id="rId252" Type="http://schemas.openxmlformats.org/officeDocument/2006/relationships/hyperlink" Target="mailto:mutembeiy48@gmail.com" TargetMode="External"/><Relationship Id="rId273" Type="http://schemas.openxmlformats.org/officeDocument/2006/relationships/printerSettings" Target="../printerSettings/printerSettings2.bin"/><Relationship Id="rId47" Type="http://schemas.openxmlformats.org/officeDocument/2006/relationships/hyperlink" Target="mailto:dyna.muthoni@gmail.com" TargetMode="External"/><Relationship Id="rId68" Type="http://schemas.openxmlformats.org/officeDocument/2006/relationships/hyperlink" Target="mailto:kelvinmwe2015@gmail.com" TargetMode="External"/><Relationship Id="rId89" Type="http://schemas.openxmlformats.org/officeDocument/2006/relationships/hyperlink" Target="mailto:mwendwapeninah93@gmail.com" TargetMode="External"/><Relationship Id="rId112" Type="http://schemas.openxmlformats.org/officeDocument/2006/relationships/hyperlink" Target="mailto:bethkendi32@gmail.com" TargetMode="External"/><Relationship Id="rId133" Type="http://schemas.openxmlformats.org/officeDocument/2006/relationships/hyperlink" Target="mailto:donokelo@gmail.com" TargetMode="External"/><Relationship Id="rId154" Type="http://schemas.openxmlformats.org/officeDocument/2006/relationships/hyperlink" Target="mailto:candygakimaina@gmail.com" TargetMode="External"/><Relationship Id="rId175" Type="http://schemas.openxmlformats.org/officeDocument/2006/relationships/hyperlink" Target="mailto:maryann.ma794@gmail.com" TargetMode="External"/><Relationship Id="rId196" Type="http://schemas.openxmlformats.org/officeDocument/2006/relationships/hyperlink" Target="mailto:drichu7@gmail.com" TargetMode="External"/><Relationship Id="rId200" Type="http://schemas.openxmlformats.org/officeDocument/2006/relationships/hyperlink" Target="mailto:faithgaikia94@gmail.com" TargetMode="External"/><Relationship Id="rId16" Type="http://schemas.openxmlformats.org/officeDocument/2006/relationships/hyperlink" Target="mailto:salomenjoki52@gmail.com" TargetMode="External"/><Relationship Id="rId221" Type="http://schemas.openxmlformats.org/officeDocument/2006/relationships/hyperlink" Target="mailto:karanjat580@gmail.com" TargetMode="External"/><Relationship Id="rId242" Type="http://schemas.openxmlformats.org/officeDocument/2006/relationships/hyperlink" Target="mailto:martin.g.m962@gmail.com" TargetMode="External"/><Relationship Id="rId263" Type="http://schemas.openxmlformats.org/officeDocument/2006/relationships/hyperlink" Target="mailto:annmutuku@gmail.com" TargetMode="External"/><Relationship Id="rId37" Type="http://schemas.openxmlformats.org/officeDocument/2006/relationships/hyperlink" Target="mailto:njogubeatrice36@gmail.com" TargetMode="External"/><Relationship Id="rId58" Type="http://schemas.openxmlformats.org/officeDocument/2006/relationships/hyperlink" Target="mailto:godfreymunoru@gmail.com" TargetMode="External"/><Relationship Id="rId79" Type="http://schemas.openxmlformats.org/officeDocument/2006/relationships/hyperlink" Target="mailto:mathewmutuma@gmail.com" TargetMode="External"/><Relationship Id="rId102" Type="http://schemas.openxmlformats.org/officeDocument/2006/relationships/hyperlink" Target="mailto:stellaygacheri@gmail.com" TargetMode="External"/><Relationship Id="rId123" Type="http://schemas.openxmlformats.org/officeDocument/2006/relationships/hyperlink" Target="mailto:orangadorcas@gmail.com" TargetMode="External"/><Relationship Id="rId144" Type="http://schemas.openxmlformats.org/officeDocument/2006/relationships/hyperlink" Target="mailto:keddykananangeera@gmail.com" TargetMode="External"/><Relationship Id="rId90" Type="http://schemas.openxmlformats.org/officeDocument/2006/relationships/hyperlink" Target="mailto:peteranampiu7@gmail.com" TargetMode="External"/><Relationship Id="rId165" Type="http://schemas.openxmlformats.org/officeDocument/2006/relationships/hyperlink" Target="mailto:jamesmuigai52@gmail.com" TargetMode="External"/><Relationship Id="rId186" Type="http://schemas.openxmlformats.org/officeDocument/2006/relationships/hyperlink" Target="mailto:sweenshilavula@gmail.com" TargetMode="External"/><Relationship Id="rId211" Type="http://schemas.openxmlformats.org/officeDocument/2006/relationships/hyperlink" Target="mailto:mary.tyler45@yahoo.com" TargetMode="External"/><Relationship Id="rId232" Type="http://schemas.openxmlformats.org/officeDocument/2006/relationships/hyperlink" Target="mailto:evalynewairimu86@gmail.com" TargetMode="External"/><Relationship Id="rId253" Type="http://schemas.openxmlformats.org/officeDocument/2006/relationships/hyperlink" Target="mailto:irenenjagi20@gmail.com" TargetMode="External"/><Relationship Id="rId274" Type="http://schemas.openxmlformats.org/officeDocument/2006/relationships/drawing" Target="../drawings/drawing1.xml"/><Relationship Id="rId27" Type="http://schemas.openxmlformats.org/officeDocument/2006/relationships/hyperlink" Target="mailto:francistajeu24@gmail.com" TargetMode="External"/><Relationship Id="rId48" Type="http://schemas.openxmlformats.org/officeDocument/2006/relationships/hyperlink" Target="mailto:mwendaemmanuel07@gmail.com" TargetMode="External"/><Relationship Id="rId69" Type="http://schemas.openxmlformats.org/officeDocument/2006/relationships/hyperlink" Target="mailto:kenkauu@gmail.com" TargetMode="External"/><Relationship Id="rId113" Type="http://schemas.openxmlformats.org/officeDocument/2006/relationships/hyperlink" Target="mailto:bethwanjiru2030@gmail.com" TargetMode="External"/><Relationship Id="rId134" Type="http://schemas.openxmlformats.org/officeDocument/2006/relationships/hyperlink" Target="mailto:nyatichieverline@gmail.com" TargetMode="External"/><Relationship Id="rId80" Type="http://schemas.openxmlformats.org/officeDocument/2006/relationships/hyperlink" Target="mailto:moreenkendi30@gmail.com" TargetMode="External"/><Relationship Id="rId155" Type="http://schemas.openxmlformats.org/officeDocument/2006/relationships/hyperlink" Target="mailto:dianamoraa257@gmail.com" TargetMode="External"/><Relationship Id="rId176" Type="http://schemas.openxmlformats.org/officeDocument/2006/relationships/hyperlink" Target="mailto:marymburu98@gmail.com" TargetMode="External"/><Relationship Id="rId197" Type="http://schemas.openxmlformats.org/officeDocument/2006/relationships/hyperlink" Target="mailto:mainadwambui@gmail.com" TargetMode="External"/><Relationship Id="rId201" Type="http://schemas.openxmlformats.org/officeDocument/2006/relationships/hyperlink" Target="mailto:muturifiddey@gmail.com" TargetMode="External"/><Relationship Id="rId222" Type="http://schemas.openxmlformats.org/officeDocument/2006/relationships/hyperlink" Target="mailto:Willykiplangat1726@gmail.com" TargetMode="External"/><Relationship Id="rId243" Type="http://schemas.openxmlformats.org/officeDocument/2006/relationships/hyperlink" Target="mailto:karaythi@gmail.com" TargetMode="External"/><Relationship Id="rId264" Type="http://schemas.openxmlformats.org/officeDocument/2006/relationships/hyperlink" Target="mailto:mnaammanzachary@gmail.com" TargetMode="External"/><Relationship Id="rId17" Type="http://schemas.openxmlformats.org/officeDocument/2006/relationships/hyperlink" Target="mailto:jgakiimuriungi@gmail.com" TargetMode="External"/><Relationship Id="rId38" Type="http://schemas.openxmlformats.org/officeDocument/2006/relationships/hyperlink" Target="mailto:emukami73@yahoo.com" TargetMode="External"/><Relationship Id="rId59" Type="http://schemas.openxmlformats.org/officeDocument/2006/relationships/hyperlink" Target="mailto:halimazarish@gmail.com" TargetMode="External"/><Relationship Id="rId103" Type="http://schemas.openxmlformats.org/officeDocument/2006/relationships/hyperlink" Target="mailto:winfredmwirabua@yahoo.com" TargetMode="External"/><Relationship Id="rId124" Type="http://schemas.openxmlformats.org/officeDocument/2006/relationships/hyperlink" Target="mailto:kagendodoreen271@gmail.com" TargetMode="External"/><Relationship Id="rId70" Type="http://schemas.openxmlformats.org/officeDocument/2006/relationships/hyperlink" Target="mailto:kestinekagweni@gmail.com" TargetMode="External"/><Relationship Id="rId91" Type="http://schemas.openxmlformats.org/officeDocument/2006/relationships/hyperlink" Target="mailto:gikundiriungu@gmail.com" TargetMode="External"/><Relationship Id="rId145" Type="http://schemas.openxmlformats.org/officeDocument/2006/relationships/hyperlink" Target="mailto:gachuicaroline8@gmail.com" TargetMode="External"/><Relationship Id="rId166" Type="http://schemas.openxmlformats.org/officeDocument/2006/relationships/hyperlink" Target="mailto:kuikamande@gmail.com" TargetMode="External"/><Relationship Id="rId187" Type="http://schemas.openxmlformats.org/officeDocument/2006/relationships/hyperlink" Target="mailto:tessykago@gmail.com" TargetMode="External"/><Relationship Id="rId1" Type="http://schemas.openxmlformats.org/officeDocument/2006/relationships/hyperlink" Target="mailto:nhildanjir@gmail.com" TargetMode="External"/><Relationship Id="rId212" Type="http://schemas.openxmlformats.org/officeDocument/2006/relationships/hyperlink" Target="mailto:mbaitinyambura@gmail.com" TargetMode="External"/><Relationship Id="rId233" Type="http://schemas.openxmlformats.org/officeDocument/2006/relationships/hyperlink" Target="mailto:faithmuchira@gmail.com" TargetMode="External"/><Relationship Id="rId254" Type="http://schemas.openxmlformats.org/officeDocument/2006/relationships/hyperlink" Target="mailto:dianamuthoni449@gmail.com" TargetMode="External"/><Relationship Id="rId28" Type="http://schemas.openxmlformats.org/officeDocument/2006/relationships/hyperlink" Target="mailto:wanjiramuchira@gmail.com" TargetMode="External"/><Relationship Id="rId49" Type="http://schemas.openxmlformats.org/officeDocument/2006/relationships/hyperlink" Target="mailto:faithkanjak@gmail.com" TargetMode="External"/><Relationship Id="rId114" Type="http://schemas.openxmlformats.org/officeDocument/2006/relationships/hyperlink" Target="mailto:brendanyari@gmail.com" TargetMode="External"/><Relationship Id="rId60" Type="http://schemas.openxmlformats.org/officeDocument/2006/relationships/hyperlink" Target="mailto:njerrimmah@gmail.com" TargetMode="External"/><Relationship Id="rId81" Type="http://schemas.openxmlformats.org/officeDocument/2006/relationships/hyperlink" Target="mailto:kirujamorris@gmail.com" TargetMode="External"/><Relationship Id="rId135" Type="http://schemas.openxmlformats.org/officeDocument/2006/relationships/hyperlink" Target="mailto:gracekinya2@gmail.com" TargetMode="External"/><Relationship Id="rId156" Type="http://schemas.openxmlformats.org/officeDocument/2006/relationships/hyperlink" Target="mailto:bemo.me16@gmail.com" TargetMode="External"/><Relationship Id="rId177" Type="http://schemas.openxmlformats.org/officeDocument/2006/relationships/hyperlink" Target="mailto:ogolamercy40@gmail.com" TargetMode="External"/><Relationship Id="rId198" Type="http://schemas.openxmlformats.org/officeDocument/2006/relationships/hyperlink" Target="mailto:emukethak@gmail.com" TargetMode="External"/><Relationship Id="rId202" Type="http://schemas.openxmlformats.org/officeDocument/2006/relationships/hyperlink" Target="mailto:jnjogu15@gmail.com" TargetMode="External"/><Relationship Id="rId223" Type="http://schemas.openxmlformats.org/officeDocument/2006/relationships/hyperlink" Target="mailto:mungaij640@gmail.com" TargetMode="External"/><Relationship Id="rId244" Type="http://schemas.openxmlformats.org/officeDocument/2006/relationships/hyperlink" Target="mailto:keekmercy@gmail.com" TargetMode="External"/><Relationship Id="rId18" Type="http://schemas.openxmlformats.org/officeDocument/2006/relationships/hyperlink" Target="mailto:lydiawawira116@gmail.com" TargetMode="External"/><Relationship Id="rId39" Type="http://schemas.openxmlformats.org/officeDocument/2006/relationships/hyperlink" Target="mailto:carolshiro39@gmail.com" TargetMode="External"/><Relationship Id="rId265" Type="http://schemas.openxmlformats.org/officeDocument/2006/relationships/hyperlink" Target="mailto:peterchomba306@gmail.com" TargetMode="External"/><Relationship Id="rId50" Type="http://schemas.openxmlformats.org/officeDocument/2006/relationships/hyperlink" Target="mailto:francismugambi1994@gmail.com" TargetMode="External"/><Relationship Id="rId104" Type="http://schemas.openxmlformats.org/officeDocument/2006/relationships/hyperlink" Target="mailto:willygichunge@gmail.com" TargetMode="External"/><Relationship Id="rId125" Type="http://schemas.openxmlformats.org/officeDocument/2006/relationships/hyperlink" Target="mailto:doreenvalerio1@gmail.com" TargetMode="External"/><Relationship Id="rId146" Type="http://schemas.openxmlformats.org/officeDocument/2006/relationships/hyperlink" Target="mailto:albertmwendia47@gmail.com" TargetMode="External"/><Relationship Id="rId167" Type="http://schemas.openxmlformats.org/officeDocument/2006/relationships/hyperlink" Target="mailto:janegito27@gmail.com" TargetMode="External"/><Relationship Id="rId188" Type="http://schemas.openxmlformats.org/officeDocument/2006/relationships/hyperlink" Target="mailto:evalinecherotich58@gmail.com" TargetMode="External"/><Relationship Id="rId71" Type="http://schemas.openxmlformats.org/officeDocument/2006/relationships/hyperlink" Target="mailto:muchorileah@gmail.com" TargetMode="External"/><Relationship Id="rId92" Type="http://schemas.openxmlformats.org/officeDocument/2006/relationships/hyperlink" Target="mailto:pollykagwiria98@gmail.com" TargetMode="External"/><Relationship Id="rId213" Type="http://schemas.openxmlformats.org/officeDocument/2006/relationships/hyperlink" Target="mailto:mwmuyah@gmail.com" TargetMode="External"/><Relationship Id="rId234" Type="http://schemas.openxmlformats.org/officeDocument/2006/relationships/hyperlink" Target="mailto:nyaberahumphrey@gmail.com" TargetMode="External"/><Relationship Id="rId2" Type="http://schemas.openxmlformats.org/officeDocument/2006/relationships/hyperlink" Target="mailto:muchiriraingo@gmailcom" TargetMode="External"/><Relationship Id="rId29" Type="http://schemas.openxmlformats.org/officeDocument/2006/relationships/hyperlink" Target="mailto:athanasionjiru@gmail.com" TargetMode="External"/><Relationship Id="rId255" Type="http://schemas.openxmlformats.org/officeDocument/2006/relationships/hyperlink" Target="mailto:hrnjoka@yahoo.com" TargetMode="External"/><Relationship Id="rId40" Type="http://schemas.openxmlformats.org/officeDocument/2006/relationships/hyperlink" Target="mailto:daviendwiga@gmail.com" TargetMode="External"/><Relationship Id="rId115" Type="http://schemas.openxmlformats.org/officeDocument/2006/relationships/hyperlink" Target="mailto:m.brianmuriuki97@gmail.com" TargetMode="External"/><Relationship Id="rId136" Type="http://schemas.openxmlformats.org/officeDocument/2006/relationships/hyperlink" Target="mailto:fridahkinya63@gmail.com" TargetMode="External"/><Relationship Id="rId157" Type="http://schemas.openxmlformats.org/officeDocument/2006/relationships/hyperlink" Target="mailto:elizanduku92@gmail.com" TargetMode="External"/><Relationship Id="rId178" Type="http://schemas.openxmlformats.org/officeDocument/2006/relationships/hyperlink" Target="mailto:mercykaburio@gmail.com" TargetMode="External"/><Relationship Id="rId61" Type="http://schemas.openxmlformats.org/officeDocument/2006/relationships/hyperlink" Target="mailto:jacklinekamencu2018@gmail.com" TargetMode="External"/><Relationship Id="rId82" Type="http://schemas.openxmlformats.org/officeDocument/2006/relationships/hyperlink" Target="mailto:nehexkam@gmail.com" TargetMode="External"/><Relationship Id="rId199" Type="http://schemas.openxmlformats.org/officeDocument/2006/relationships/hyperlink" Target="mailto:eunicengugi23@gmail.com" TargetMode="External"/><Relationship Id="rId203" Type="http://schemas.openxmlformats.org/officeDocument/2006/relationships/hyperlink" Target="mailto:janemugechi@gmail.com" TargetMode="External"/><Relationship Id="rId19" Type="http://schemas.openxmlformats.org/officeDocument/2006/relationships/hyperlink" Target="mailto:mwami254@gmail.com" TargetMode="External"/><Relationship Id="rId224" Type="http://schemas.openxmlformats.org/officeDocument/2006/relationships/hyperlink" Target="mailto:ikinyagrace@gmail.com" TargetMode="External"/><Relationship Id="rId245" Type="http://schemas.openxmlformats.org/officeDocument/2006/relationships/hyperlink" Target="mailto:nancynyaga@gmail.com" TargetMode="External"/><Relationship Id="rId266" Type="http://schemas.openxmlformats.org/officeDocument/2006/relationships/hyperlink" Target="mailto:jacoamba34@gmail.com" TargetMode="External"/><Relationship Id="rId30" Type="http://schemas.openxmlformats.org/officeDocument/2006/relationships/hyperlink" Target="mailto:mbathacornel@gmail.com" TargetMode="External"/><Relationship Id="rId105" Type="http://schemas.openxmlformats.org/officeDocument/2006/relationships/hyperlink" Target="mailto:tonuihillary13@gmail.com" TargetMode="External"/><Relationship Id="rId126" Type="http://schemas.openxmlformats.org/officeDocument/2006/relationships/hyperlink" Target="mailto:gutetadoreenki@gmail.com" TargetMode="External"/><Relationship Id="rId147" Type="http://schemas.openxmlformats.org/officeDocument/2006/relationships/hyperlink" Target="mailto:millicentmukami1993@gmail.com" TargetMode="External"/><Relationship Id="rId168" Type="http://schemas.openxmlformats.org/officeDocument/2006/relationships/hyperlink" Target="mailto:kurialilian84@gmail.com" TargetMode="External"/><Relationship Id="rId51" Type="http://schemas.openxmlformats.org/officeDocument/2006/relationships/hyperlink" Target="mailto:faithkiambi5@gmail.com" TargetMode="External"/><Relationship Id="rId72" Type="http://schemas.openxmlformats.org/officeDocument/2006/relationships/hyperlink" Target="mailto:lenahmaromo@gmail.com" TargetMode="External"/><Relationship Id="rId93" Type="http://schemas.openxmlformats.org/officeDocument/2006/relationships/hyperlink" Target="mailto:rosewatetu84@gmail.com" TargetMode="External"/><Relationship Id="rId189" Type="http://schemas.openxmlformats.org/officeDocument/2006/relationships/hyperlink" Target="mailto:viclyd17@gmail.com" TargetMode="External"/><Relationship Id="rId3" Type="http://schemas.openxmlformats.org/officeDocument/2006/relationships/hyperlink" Target="mailto:ikarimi38@gmail.com" TargetMode="External"/><Relationship Id="rId214" Type="http://schemas.openxmlformats.org/officeDocument/2006/relationships/hyperlink" Target="mailto:wanjirakingara10@gmail.com" TargetMode="External"/><Relationship Id="rId235" Type="http://schemas.openxmlformats.org/officeDocument/2006/relationships/hyperlink" Target="mailto:isabellahkarema@gmail.com" TargetMode="External"/><Relationship Id="rId256" Type="http://schemas.openxmlformats.org/officeDocument/2006/relationships/hyperlink" Target="mailto:jamesbeeh@gmail.com" TargetMode="External"/><Relationship Id="rId116" Type="http://schemas.openxmlformats.org/officeDocument/2006/relationships/hyperlink" Target="mailto:carolkaranu2014@gmail.com" TargetMode="External"/><Relationship Id="rId137" Type="http://schemas.openxmlformats.org/officeDocument/2006/relationships/hyperlink" Target="mailto:jkanario006@gmail.com" TargetMode="External"/><Relationship Id="rId158" Type="http://schemas.openxmlformats.org/officeDocument/2006/relationships/hyperlink" Target="mailto:wanguiemily43@gmail.com" TargetMode="External"/><Relationship Id="rId20" Type="http://schemas.openxmlformats.org/officeDocument/2006/relationships/hyperlink" Target="mailto:pesykuria@gmail.com" TargetMode="External"/><Relationship Id="rId41" Type="http://schemas.openxmlformats.org/officeDocument/2006/relationships/hyperlink" Target="mailto:murithidennis69@gmail.com" TargetMode="External"/><Relationship Id="rId62" Type="http://schemas.openxmlformats.org/officeDocument/2006/relationships/hyperlink" Target="mailto:mutindwajane@gmail.com" TargetMode="External"/><Relationship Id="rId83" Type="http://schemas.openxmlformats.org/officeDocument/2006/relationships/hyperlink" Target="mailto:pamzonkubu11@gmail.com" TargetMode="External"/><Relationship Id="rId179" Type="http://schemas.openxmlformats.org/officeDocument/2006/relationships/hyperlink" Target="mailto:miriammaina92@gmail.com" TargetMode="External"/><Relationship Id="rId190" Type="http://schemas.openxmlformats.org/officeDocument/2006/relationships/hyperlink" Target="mailto:willimugo97@gmail.com" TargetMode="External"/><Relationship Id="rId204" Type="http://schemas.openxmlformats.org/officeDocument/2006/relationships/hyperlink" Target="mailto:janethkips@gmail.com" TargetMode="External"/><Relationship Id="rId225" Type="http://schemas.openxmlformats.org/officeDocument/2006/relationships/hyperlink" Target="mailto:reenkyule@gmail.com" TargetMode="External"/><Relationship Id="rId246" Type="http://schemas.openxmlformats.org/officeDocument/2006/relationships/hyperlink" Target="mailto:pmarangu2018@gmail.com" TargetMode="External"/><Relationship Id="rId267" Type="http://schemas.openxmlformats.org/officeDocument/2006/relationships/hyperlink" Target="mailto:josephineobwora@gmail.com" TargetMode="External"/><Relationship Id="rId106" Type="http://schemas.openxmlformats.org/officeDocument/2006/relationships/hyperlink" Target="mailto:susankendi694@gmail.com" TargetMode="External"/><Relationship Id="rId127" Type="http://schemas.openxmlformats.org/officeDocument/2006/relationships/hyperlink" Target="mailto:kimaitaeva@gmail.com" TargetMode="External"/><Relationship Id="rId10" Type="http://schemas.openxmlformats.org/officeDocument/2006/relationships/hyperlink" Target="mailto:klvnmanase@gmail.com" TargetMode="External"/><Relationship Id="rId31" Type="http://schemas.openxmlformats.org/officeDocument/2006/relationships/hyperlink" Target="mailto:dorissaidi9@gmail.com" TargetMode="External"/><Relationship Id="rId52" Type="http://schemas.openxmlformats.org/officeDocument/2006/relationships/hyperlink" Target="mailto:kendifridah19996@gmail.com" TargetMode="External"/><Relationship Id="rId73" Type="http://schemas.openxmlformats.org/officeDocument/2006/relationships/hyperlink" Target="mailto:lenitymukami4@gmail.com" TargetMode="External"/><Relationship Id="rId94" Type="http://schemas.openxmlformats.org/officeDocument/2006/relationships/hyperlink" Target="mailto:roselinekendi70@gmail.com" TargetMode="External"/><Relationship Id="rId148" Type="http://schemas.openxmlformats.org/officeDocument/2006/relationships/hyperlink" Target="mailto:raelmukiri70@gmail.com" TargetMode="External"/><Relationship Id="rId169" Type="http://schemas.openxmlformats.org/officeDocument/2006/relationships/hyperlink" Target="mailto:kimethuke@gmail.com" TargetMode="External"/><Relationship Id="rId4" Type="http://schemas.openxmlformats.org/officeDocument/2006/relationships/hyperlink" Target="mailto:jacintanjeru73@yahoo.com" TargetMode="External"/><Relationship Id="rId180" Type="http://schemas.openxmlformats.org/officeDocument/2006/relationships/hyperlink" Target="mailto:milkibe@gmail.com" TargetMode="External"/><Relationship Id="rId215" Type="http://schemas.openxmlformats.org/officeDocument/2006/relationships/hyperlink" Target="mailto:rahabmuiru@gmail.com" TargetMode="External"/><Relationship Id="rId236" Type="http://schemas.openxmlformats.org/officeDocument/2006/relationships/hyperlink" Target="mailto:jgatwiri50@gmail.com" TargetMode="External"/><Relationship Id="rId257" Type="http://schemas.openxmlformats.org/officeDocument/2006/relationships/hyperlink" Target="mailto:liliannjue@gmail.com" TargetMode="External"/><Relationship Id="rId42" Type="http://schemas.openxmlformats.org/officeDocument/2006/relationships/hyperlink" Target="mailto:festusfrncs@gmail.com" TargetMode="External"/><Relationship Id="rId84" Type="http://schemas.openxmlformats.org/officeDocument/2006/relationships/hyperlink" Target="mailto:mutuapatrick93@gmail.com" TargetMode="External"/><Relationship Id="rId138" Type="http://schemas.openxmlformats.org/officeDocument/2006/relationships/hyperlink" Target="mailto:jackyjerotich1@gmail.com" TargetMode="External"/><Relationship Id="rId191" Type="http://schemas.openxmlformats.org/officeDocument/2006/relationships/hyperlink" Target="mailto:kihiuzipporah2020@gmail.com" TargetMode="External"/><Relationship Id="rId205" Type="http://schemas.openxmlformats.org/officeDocument/2006/relationships/hyperlink" Target="mailto:jonniekamau1@gmail.com" TargetMode="External"/><Relationship Id="rId247" Type="http://schemas.openxmlformats.org/officeDocument/2006/relationships/hyperlink" Target="mailto:sammienjogu8@gmail.com" TargetMode="External"/><Relationship Id="rId107" Type="http://schemas.openxmlformats.org/officeDocument/2006/relationships/hyperlink" Target="mailto:anampiuaaron@gmail.com" TargetMode="External"/><Relationship Id="rId11" Type="http://schemas.openxmlformats.org/officeDocument/2006/relationships/hyperlink" Target="mailto:kennehmugambi12@gmail.com" TargetMode="External"/><Relationship Id="rId53" Type="http://schemas.openxmlformats.org/officeDocument/2006/relationships/hyperlink" Target="mailto:makenafrida80@yahoo.com" TargetMode="External"/><Relationship Id="rId149" Type="http://schemas.openxmlformats.org/officeDocument/2006/relationships/hyperlink" Target="mailto:lucylinegatwiri@gmail.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mwilusalia88@gmail.com" TargetMode="External"/><Relationship Id="rId18" Type="http://schemas.openxmlformats.org/officeDocument/2006/relationships/hyperlink" Target="mailto:lydiawawira116@gmail.com" TargetMode="External"/><Relationship Id="rId26" Type="http://schemas.openxmlformats.org/officeDocument/2006/relationships/hyperlink" Target="mailto:wakiogladys86@gmail.com" TargetMode="External"/><Relationship Id="rId39" Type="http://schemas.openxmlformats.org/officeDocument/2006/relationships/hyperlink" Target="mailto:carolshiro39@gmail.com" TargetMode="External"/><Relationship Id="rId21" Type="http://schemas.openxmlformats.org/officeDocument/2006/relationships/hyperlink" Target="mailto:peterkivuti@gmail.com" TargetMode="External"/><Relationship Id="rId34" Type="http://schemas.openxmlformats.org/officeDocument/2006/relationships/hyperlink" Target="mailto:newtonmaina80@gmail.com" TargetMode="External"/><Relationship Id="rId42" Type="http://schemas.openxmlformats.org/officeDocument/2006/relationships/hyperlink" Target="mailto:festusfrncs@gmail.com" TargetMode="External"/><Relationship Id="rId47" Type="http://schemas.openxmlformats.org/officeDocument/2006/relationships/printerSettings" Target="../printerSettings/printerSettings3.bin"/><Relationship Id="rId7" Type="http://schemas.openxmlformats.org/officeDocument/2006/relationships/hyperlink" Target="mailto:joeyckoi@gmail.com" TargetMode="External"/><Relationship Id="rId2" Type="http://schemas.openxmlformats.org/officeDocument/2006/relationships/hyperlink" Target="mailto:muchiriraingo@gmailcom" TargetMode="External"/><Relationship Id="rId16" Type="http://schemas.openxmlformats.org/officeDocument/2006/relationships/hyperlink" Target="mailto:salomenjoki52@gmail.com" TargetMode="External"/><Relationship Id="rId29" Type="http://schemas.openxmlformats.org/officeDocument/2006/relationships/hyperlink" Target="mailto:athanasionjiru@gmail.com" TargetMode="External"/><Relationship Id="rId1" Type="http://schemas.openxmlformats.org/officeDocument/2006/relationships/hyperlink" Target="mailto:nhildanjir@gmail.com" TargetMode="External"/><Relationship Id="rId6" Type="http://schemas.openxmlformats.org/officeDocument/2006/relationships/hyperlink" Target="mailto:jameskafiroo@gmail.com" TargetMode="External"/><Relationship Id="rId11" Type="http://schemas.openxmlformats.org/officeDocument/2006/relationships/hyperlink" Target="mailto:kennehmugambi12@gmail.com" TargetMode="External"/><Relationship Id="rId24" Type="http://schemas.openxmlformats.org/officeDocument/2006/relationships/hyperlink" Target="mailto:weddswawira@gmail.com" TargetMode="External"/><Relationship Id="rId32" Type="http://schemas.openxmlformats.org/officeDocument/2006/relationships/hyperlink" Target="mailto:johnpetermurimi@gmail.com" TargetMode="External"/><Relationship Id="rId37" Type="http://schemas.openxmlformats.org/officeDocument/2006/relationships/hyperlink" Target="mailto:njogubeatrice36@gmail.com" TargetMode="External"/><Relationship Id="rId40" Type="http://schemas.openxmlformats.org/officeDocument/2006/relationships/hyperlink" Target="mailto:daviendwiga@gmail.com" TargetMode="External"/><Relationship Id="rId45" Type="http://schemas.openxmlformats.org/officeDocument/2006/relationships/hyperlink" Target="mailto:stephenkigotho@gmail.com" TargetMode="External"/><Relationship Id="rId5" Type="http://schemas.openxmlformats.org/officeDocument/2006/relationships/hyperlink" Target="mailto:jacintamuthonij@gmail.com" TargetMode="External"/><Relationship Id="rId15" Type="http://schemas.openxmlformats.org/officeDocument/2006/relationships/hyperlink" Target="mailto:wairimuruth394@gmail.com" TargetMode="External"/><Relationship Id="rId23" Type="http://schemas.openxmlformats.org/officeDocument/2006/relationships/hyperlink" Target="mailto:rosendidz90@gmail.com" TargetMode="External"/><Relationship Id="rId28" Type="http://schemas.openxmlformats.org/officeDocument/2006/relationships/hyperlink" Target="mailto:wanjiramuchira@gmail.com" TargetMode="External"/><Relationship Id="rId36" Type="http://schemas.openxmlformats.org/officeDocument/2006/relationships/hyperlink" Target="mailto:muthoniemili45@gmail.com" TargetMode="External"/><Relationship Id="rId10" Type="http://schemas.openxmlformats.org/officeDocument/2006/relationships/hyperlink" Target="mailto:klvnmanase@gmail.com" TargetMode="External"/><Relationship Id="rId19" Type="http://schemas.openxmlformats.org/officeDocument/2006/relationships/hyperlink" Target="mailto:mwami254@gmail.com" TargetMode="External"/><Relationship Id="rId31" Type="http://schemas.openxmlformats.org/officeDocument/2006/relationships/hyperlink" Target="mailto:dorissaidi9@gmail.com" TargetMode="External"/><Relationship Id="rId44" Type="http://schemas.openxmlformats.org/officeDocument/2006/relationships/hyperlink" Target="mailto:pharesgladyskananu@gmail.com%3e" TargetMode="External"/><Relationship Id="rId4" Type="http://schemas.openxmlformats.org/officeDocument/2006/relationships/hyperlink" Target="mailto:jacintanjeru73@yahoo.com" TargetMode="External"/><Relationship Id="rId9" Type="http://schemas.openxmlformats.org/officeDocument/2006/relationships/hyperlink" Target="mailto:kellenwaj@yahoo.com" TargetMode="External"/><Relationship Id="rId14" Type="http://schemas.openxmlformats.org/officeDocument/2006/relationships/hyperlink" Target="mailto:pwawirandambiri@gmail.com" TargetMode="External"/><Relationship Id="rId22" Type="http://schemas.openxmlformats.org/officeDocument/2006/relationships/hyperlink" Target="mailto:wawirapolly7@yahoo.com" TargetMode="External"/><Relationship Id="rId27" Type="http://schemas.openxmlformats.org/officeDocument/2006/relationships/hyperlink" Target="mailto:francistajeu24@gmail.com" TargetMode="External"/><Relationship Id="rId30" Type="http://schemas.openxmlformats.org/officeDocument/2006/relationships/hyperlink" Target="mailto:mbathacornel@gmail.com" TargetMode="External"/><Relationship Id="rId35" Type="http://schemas.openxmlformats.org/officeDocument/2006/relationships/hyperlink" Target="mailto:bentanyawira678@gmail.com%3e" TargetMode="External"/><Relationship Id="rId43" Type="http://schemas.openxmlformats.org/officeDocument/2006/relationships/hyperlink" Target="mailto:nyagaflo80@gmail.com%3e" TargetMode="External"/><Relationship Id="rId8" Type="http://schemas.openxmlformats.org/officeDocument/2006/relationships/hyperlink" Target="mailto:juditamurugi@gmail.com" TargetMode="External"/><Relationship Id="rId3" Type="http://schemas.openxmlformats.org/officeDocument/2006/relationships/hyperlink" Target="mailto:ikarimi38@gmail.com" TargetMode="External"/><Relationship Id="rId12" Type="http://schemas.openxmlformats.org/officeDocument/2006/relationships/hyperlink" Target="mailto:lnjeru11@gmail.com" TargetMode="External"/><Relationship Id="rId17" Type="http://schemas.openxmlformats.org/officeDocument/2006/relationships/hyperlink" Target="mailto:jgakiimuriungi@gmail.com" TargetMode="External"/><Relationship Id="rId25" Type="http://schemas.openxmlformats.org/officeDocument/2006/relationships/hyperlink" Target="mailto:lucymbindye@gmail.com" TargetMode="External"/><Relationship Id="rId33" Type="http://schemas.openxmlformats.org/officeDocument/2006/relationships/hyperlink" Target="mailto:mercienyari150@gmail.com" TargetMode="External"/><Relationship Id="rId38" Type="http://schemas.openxmlformats.org/officeDocument/2006/relationships/hyperlink" Target="mailto:emukami73@yahoo.com" TargetMode="External"/><Relationship Id="rId46" Type="http://schemas.openxmlformats.org/officeDocument/2006/relationships/hyperlink" Target="mailto:syetemesi@gmail.com" TargetMode="External"/><Relationship Id="rId20" Type="http://schemas.openxmlformats.org/officeDocument/2006/relationships/hyperlink" Target="mailto:pesykuria@gmail.com" TargetMode="External"/><Relationship Id="rId41" Type="http://schemas.openxmlformats.org/officeDocument/2006/relationships/hyperlink" Target="mailto:murithidennis69@gmail.com"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muchorileah@gmail.com" TargetMode="External"/><Relationship Id="rId21" Type="http://schemas.openxmlformats.org/officeDocument/2006/relationships/hyperlink" Target="mailto:joymake44@yahoo.com" TargetMode="External"/><Relationship Id="rId42" Type="http://schemas.openxmlformats.org/officeDocument/2006/relationships/hyperlink" Target="mailto:peninahgacheri312@yahoo.com" TargetMode="External"/><Relationship Id="rId47" Type="http://schemas.openxmlformats.org/officeDocument/2006/relationships/hyperlink" Target="mailto:pollykagwiria98@gmail.com" TargetMode="External"/><Relationship Id="rId63" Type="http://schemas.openxmlformats.org/officeDocument/2006/relationships/hyperlink" Target="mailto:aggiga954@gmail.com" TargetMode="External"/><Relationship Id="rId68" Type="http://schemas.openxmlformats.org/officeDocument/2006/relationships/hyperlink" Target="mailto:bethwanjiru2030@gmail.com" TargetMode="External"/><Relationship Id="rId84" Type="http://schemas.openxmlformats.org/officeDocument/2006/relationships/hyperlink" Target="mailto:annkamamir@gmail.com" TargetMode="External"/><Relationship Id="rId89" Type="http://schemas.openxmlformats.org/officeDocument/2006/relationships/hyperlink" Target="mailto:nyatichieverline@gmail.com" TargetMode="External"/><Relationship Id="rId16" Type="http://schemas.openxmlformats.org/officeDocument/2006/relationships/hyperlink" Target="mailto:jacklinekamencu2018@gmail.com" TargetMode="External"/><Relationship Id="rId107" Type="http://schemas.openxmlformats.org/officeDocument/2006/relationships/drawing" Target="../drawings/drawing2.xml"/><Relationship Id="rId11" Type="http://schemas.openxmlformats.org/officeDocument/2006/relationships/hyperlink" Target="mailto:friwanj@gmail.com" TargetMode="External"/><Relationship Id="rId32" Type="http://schemas.openxmlformats.org/officeDocument/2006/relationships/hyperlink" Target="mailto:kimathim23@gmail.com" TargetMode="External"/><Relationship Id="rId37" Type="http://schemas.openxmlformats.org/officeDocument/2006/relationships/hyperlink" Target="mailto:nehexkam@gmail.com" TargetMode="External"/><Relationship Id="rId53" Type="http://schemas.openxmlformats.org/officeDocument/2006/relationships/hyperlink" Target="mailto:sarah.kagwi87@gmail.com" TargetMode="External"/><Relationship Id="rId58" Type="http://schemas.openxmlformats.org/officeDocument/2006/relationships/hyperlink" Target="mailto:winfredmwirabua@yahoo.com" TargetMode="External"/><Relationship Id="rId74" Type="http://schemas.openxmlformats.org/officeDocument/2006/relationships/hyperlink" Target="mailto:christinegichangi@yahoo.com" TargetMode="External"/><Relationship Id="rId79" Type="http://schemas.openxmlformats.org/officeDocument/2006/relationships/hyperlink" Target="mailto:kagendodoreen271@gmail.com" TargetMode="External"/><Relationship Id="rId102" Type="http://schemas.openxmlformats.org/officeDocument/2006/relationships/hyperlink" Target="mailto:millicentmukami1993@gmail.com" TargetMode="External"/><Relationship Id="rId5" Type="http://schemas.openxmlformats.org/officeDocument/2006/relationships/hyperlink" Target="mailto:francismugambi1994@gmail.com" TargetMode="External"/><Relationship Id="rId90" Type="http://schemas.openxmlformats.org/officeDocument/2006/relationships/hyperlink" Target="mailto:gracekinya2@gmail.com" TargetMode="External"/><Relationship Id="rId95" Type="http://schemas.openxmlformats.org/officeDocument/2006/relationships/hyperlink" Target="mailto:jeniffermigwi1973@gmail.com" TargetMode="External"/><Relationship Id="rId22" Type="http://schemas.openxmlformats.org/officeDocument/2006/relationships/hyperlink" Target="mailto:kendijuster13@gmail.com" TargetMode="External"/><Relationship Id="rId27" Type="http://schemas.openxmlformats.org/officeDocument/2006/relationships/hyperlink" Target="mailto:lenahmaromo@gmail.com" TargetMode="External"/><Relationship Id="rId43" Type="http://schemas.openxmlformats.org/officeDocument/2006/relationships/hyperlink" Target="mailto:peninah.twish@gmail.com" TargetMode="External"/><Relationship Id="rId48" Type="http://schemas.openxmlformats.org/officeDocument/2006/relationships/hyperlink" Target="mailto:rosewatetu84@gmail.com" TargetMode="External"/><Relationship Id="rId64" Type="http://schemas.openxmlformats.org/officeDocument/2006/relationships/hyperlink" Target="mailto:kaibiriaalex@gmail.com" TargetMode="External"/><Relationship Id="rId69" Type="http://schemas.openxmlformats.org/officeDocument/2006/relationships/hyperlink" Target="mailto:brendanyari@gmail.com" TargetMode="External"/><Relationship Id="rId80" Type="http://schemas.openxmlformats.org/officeDocument/2006/relationships/hyperlink" Target="mailto:doreenvalerio1@gmail.com" TargetMode="External"/><Relationship Id="rId85" Type="http://schemas.openxmlformats.org/officeDocument/2006/relationships/hyperlink" Target="mailto:gitonganto88@gmail.com" TargetMode="External"/><Relationship Id="rId12" Type="http://schemas.openxmlformats.org/officeDocument/2006/relationships/hyperlink" Target="mailto:mukamiwakonji@gmail.com" TargetMode="External"/><Relationship Id="rId17" Type="http://schemas.openxmlformats.org/officeDocument/2006/relationships/hyperlink" Target="mailto:mutindwajane@gmail.com" TargetMode="External"/><Relationship Id="rId33" Type="http://schemas.openxmlformats.org/officeDocument/2006/relationships/hyperlink" Target="mailto:mercynkatha944@gmail.com" TargetMode="External"/><Relationship Id="rId38" Type="http://schemas.openxmlformats.org/officeDocument/2006/relationships/hyperlink" Target="mailto:pamzonkubu11@gmail.com" TargetMode="External"/><Relationship Id="rId59" Type="http://schemas.openxmlformats.org/officeDocument/2006/relationships/hyperlink" Target="mailto:willygichunge@gmail.com" TargetMode="External"/><Relationship Id="rId103" Type="http://schemas.openxmlformats.org/officeDocument/2006/relationships/hyperlink" Target="mailto:raelmukiri70@gmail.com" TargetMode="External"/><Relationship Id="rId20" Type="http://schemas.openxmlformats.org/officeDocument/2006/relationships/hyperlink" Target="mailto:joykagwiriag@gmail.com" TargetMode="External"/><Relationship Id="rId41" Type="http://schemas.openxmlformats.org/officeDocument/2006/relationships/hyperlink" Target="mailto:paulthuras254@gmail.com" TargetMode="External"/><Relationship Id="rId54" Type="http://schemas.openxmlformats.org/officeDocument/2006/relationships/hyperlink" Target="mailto:kendisharon96@gmail.com" TargetMode="External"/><Relationship Id="rId62" Type="http://schemas.openxmlformats.org/officeDocument/2006/relationships/hyperlink" Target="mailto:anampiuaaron@gmail.com" TargetMode="External"/><Relationship Id="rId70" Type="http://schemas.openxmlformats.org/officeDocument/2006/relationships/hyperlink" Target="mailto:m.brianmuriuki97@gmail.com" TargetMode="External"/><Relationship Id="rId75" Type="http://schemas.openxmlformats.org/officeDocument/2006/relationships/hyperlink" Target="mailto:danielmuthomi195@gmail.com" TargetMode="External"/><Relationship Id="rId83" Type="http://schemas.openxmlformats.org/officeDocument/2006/relationships/hyperlink" Target="mailto:tonnykimathipeter@gmail.com" TargetMode="External"/><Relationship Id="rId88" Type="http://schemas.openxmlformats.org/officeDocument/2006/relationships/hyperlink" Target="mailto:donokelo@gmail.com" TargetMode="External"/><Relationship Id="rId91" Type="http://schemas.openxmlformats.org/officeDocument/2006/relationships/hyperlink" Target="mailto:fridahkinya63@gmail.com" TargetMode="External"/><Relationship Id="rId96" Type="http://schemas.openxmlformats.org/officeDocument/2006/relationships/hyperlink" Target="mailto:jgatugi@gmail.com" TargetMode="External"/><Relationship Id="rId1" Type="http://schemas.openxmlformats.org/officeDocument/2006/relationships/hyperlink" Target="mailto:dorothyntinyari@gmail.com" TargetMode="External"/><Relationship Id="rId6" Type="http://schemas.openxmlformats.org/officeDocument/2006/relationships/hyperlink" Target="mailto:faithkiambi5@gmail.com" TargetMode="External"/><Relationship Id="rId15" Type="http://schemas.openxmlformats.org/officeDocument/2006/relationships/hyperlink" Target="mailto:njerrimmah@gmail.com" TargetMode="External"/><Relationship Id="rId23" Type="http://schemas.openxmlformats.org/officeDocument/2006/relationships/hyperlink" Target="mailto:kelvinmwe2015@gmail.com" TargetMode="External"/><Relationship Id="rId28" Type="http://schemas.openxmlformats.org/officeDocument/2006/relationships/hyperlink" Target="mailto:lenitymukami4@gmail.com" TargetMode="External"/><Relationship Id="rId36" Type="http://schemas.openxmlformats.org/officeDocument/2006/relationships/hyperlink" Target="mailto:kirujamorris@gmail.com" TargetMode="External"/><Relationship Id="rId49" Type="http://schemas.openxmlformats.org/officeDocument/2006/relationships/hyperlink" Target="mailto:roselinekendi70@gmail.com" TargetMode="External"/><Relationship Id="rId57" Type="http://schemas.openxmlformats.org/officeDocument/2006/relationships/hyperlink" Target="mailto:stellaygacheri@gmail.com" TargetMode="External"/><Relationship Id="rId106" Type="http://schemas.openxmlformats.org/officeDocument/2006/relationships/printerSettings" Target="../printerSettings/printerSettings4.bin"/><Relationship Id="rId10" Type="http://schemas.openxmlformats.org/officeDocument/2006/relationships/hyperlink" Target="mailto:wangagithendu165@gmail.com" TargetMode="External"/><Relationship Id="rId31" Type="http://schemas.openxmlformats.org/officeDocument/2006/relationships/hyperlink" Target="mailto:maggyonuarite@gmail.com" TargetMode="External"/><Relationship Id="rId44" Type="http://schemas.openxmlformats.org/officeDocument/2006/relationships/hyperlink" Target="mailto:mwendwapeninah93@gmail.com" TargetMode="External"/><Relationship Id="rId52" Type="http://schemas.openxmlformats.org/officeDocument/2006/relationships/hyperlink" Target="mailto:sallyabdih@gmail.com" TargetMode="External"/><Relationship Id="rId60" Type="http://schemas.openxmlformats.org/officeDocument/2006/relationships/hyperlink" Target="mailto:tonuihillary13@gmail.com" TargetMode="External"/><Relationship Id="rId65" Type="http://schemas.openxmlformats.org/officeDocument/2006/relationships/hyperlink" Target="mailto:mwitimugambi88@gmail.com" TargetMode="External"/><Relationship Id="rId73" Type="http://schemas.openxmlformats.org/officeDocument/2006/relationships/hyperlink" Target="mailto:kibwan85@gmail.com" TargetMode="External"/><Relationship Id="rId78" Type="http://schemas.openxmlformats.org/officeDocument/2006/relationships/hyperlink" Target="mailto:orangadorcas@gmail.com" TargetMode="External"/><Relationship Id="rId81" Type="http://schemas.openxmlformats.org/officeDocument/2006/relationships/hyperlink" Target="mailto:gutetadoreenki@gmail.com" TargetMode="External"/><Relationship Id="rId86" Type="http://schemas.openxmlformats.org/officeDocument/2006/relationships/hyperlink" Target="mailto:kananubetty4@gmail.com" TargetMode="External"/><Relationship Id="rId94" Type="http://schemas.openxmlformats.org/officeDocument/2006/relationships/hyperlink" Target="mailto:rutereg@gmail.com" TargetMode="External"/><Relationship Id="rId99" Type="http://schemas.openxmlformats.org/officeDocument/2006/relationships/hyperlink" Target="mailto:keddykananangeera@gmail.com" TargetMode="External"/><Relationship Id="rId101" Type="http://schemas.openxmlformats.org/officeDocument/2006/relationships/hyperlink" Target="mailto:albertmwendia47@gmail.com" TargetMode="External"/><Relationship Id="rId4" Type="http://schemas.openxmlformats.org/officeDocument/2006/relationships/hyperlink" Target="mailto:faithkanjak@gmail.com" TargetMode="External"/><Relationship Id="rId9" Type="http://schemas.openxmlformats.org/officeDocument/2006/relationships/hyperlink" Target="mailto:fridahnaitore45@gmail.com" TargetMode="External"/><Relationship Id="rId13" Type="http://schemas.openxmlformats.org/officeDocument/2006/relationships/hyperlink" Target="mailto:godfreymunoru@gmail.com" TargetMode="External"/><Relationship Id="rId18" Type="http://schemas.openxmlformats.org/officeDocument/2006/relationships/hyperlink" Target="mailto:jospjinekathure18@gmail.com" TargetMode="External"/><Relationship Id="rId39" Type="http://schemas.openxmlformats.org/officeDocument/2006/relationships/hyperlink" Target="mailto:mutuapatrick93@gmail.com" TargetMode="External"/><Relationship Id="rId34" Type="http://schemas.openxmlformats.org/officeDocument/2006/relationships/hyperlink" Target="mailto:mathewmutuma@gmail.com" TargetMode="External"/><Relationship Id="rId50" Type="http://schemas.openxmlformats.org/officeDocument/2006/relationships/hyperlink" Target="mailto:ruthphilip17@gmail.com" TargetMode="External"/><Relationship Id="rId55" Type="http://schemas.openxmlformats.org/officeDocument/2006/relationships/hyperlink" Target="mailto:sophiemikson@yahoo.com" TargetMode="External"/><Relationship Id="rId76" Type="http://schemas.openxmlformats.org/officeDocument/2006/relationships/hyperlink" Target="mailto:dennisgitari01@gmail.com" TargetMode="External"/><Relationship Id="rId97" Type="http://schemas.openxmlformats.org/officeDocument/2006/relationships/hyperlink" Target="mailto:joykoreta@gmail.com" TargetMode="External"/><Relationship Id="rId104" Type="http://schemas.openxmlformats.org/officeDocument/2006/relationships/hyperlink" Target="mailto:lucylinegatwiri@gmail.com" TargetMode="External"/><Relationship Id="rId7" Type="http://schemas.openxmlformats.org/officeDocument/2006/relationships/hyperlink" Target="mailto:kendifridah19996@gmail.com" TargetMode="External"/><Relationship Id="rId71" Type="http://schemas.openxmlformats.org/officeDocument/2006/relationships/hyperlink" Target="mailto:carolkaranu2014@gmail.com" TargetMode="External"/><Relationship Id="rId92" Type="http://schemas.openxmlformats.org/officeDocument/2006/relationships/hyperlink" Target="mailto:jkanario006@gmail.com" TargetMode="External"/><Relationship Id="rId2" Type="http://schemas.openxmlformats.org/officeDocument/2006/relationships/hyperlink" Target="mailto:dyna.muthoni@gmail.com" TargetMode="External"/><Relationship Id="rId29" Type="http://schemas.openxmlformats.org/officeDocument/2006/relationships/hyperlink" Target="mailto:louiskyalo@gmail.com" TargetMode="External"/><Relationship Id="rId24" Type="http://schemas.openxmlformats.org/officeDocument/2006/relationships/hyperlink" Target="mailto:kenkauu@gmail.com" TargetMode="External"/><Relationship Id="rId40" Type="http://schemas.openxmlformats.org/officeDocument/2006/relationships/hyperlink" Target="mailto:paulkirimi45@gmail.com" TargetMode="External"/><Relationship Id="rId45" Type="http://schemas.openxmlformats.org/officeDocument/2006/relationships/hyperlink" Target="mailto:peteranampiu7@gmail.com" TargetMode="External"/><Relationship Id="rId66" Type="http://schemas.openxmlformats.org/officeDocument/2006/relationships/hyperlink" Target="mailto:baniskathomi@gmail.com" TargetMode="External"/><Relationship Id="rId87" Type="http://schemas.openxmlformats.org/officeDocument/2006/relationships/hyperlink" Target="mailto:davisjilloo@gmail.com" TargetMode="External"/><Relationship Id="rId61" Type="http://schemas.openxmlformats.org/officeDocument/2006/relationships/hyperlink" Target="mailto:susankendi694@gmail.com" TargetMode="External"/><Relationship Id="rId82" Type="http://schemas.openxmlformats.org/officeDocument/2006/relationships/hyperlink" Target="mailto:kimaitaeva@gmail.com" TargetMode="External"/><Relationship Id="rId19" Type="http://schemas.openxmlformats.org/officeDocument/2006/relationships/hyperlink" Target="mailto:josphinekananu1988@gmail.com" TargetMode="External"/><Relationship Id="rId14" Type="http://schemas.openxmlformats.org/officeDocument/2006/relationships/hyperlink" Target="mailto:halimazarish@gmail.com" TargetMode="External"/><Relationship Id="rId30" Type="http://schemas.openxmlformats.org/officeDocument/2006/relationships/hyperlink" Target="mailto:gaklynn@yahoo.com" TargetMode="External"/><Relationship Id="rId35" Type="http://schemas.openxmlformats.org/officeDocument/2006/relationships/hyperlink" Target="mailto:moreenkendi30@gmail.com" TargetMode="External"/><Relationship Id="rId56" Type="http://schemas.openxmlformats.org/officeDocument/2006/relationships/hyperlink" Target="mailto:mugambistanley14@gmail.com" TargetMode="External"/><Relationship Id="rId77" Type="http://schemas.openxmlformats.org/officeDocument/2006/relationships/hyperlink" Target="mailto:koomedicken@gmail.com" TargetMode="External"/><Relationship Id="rId100" Type="http://schemas.openxmlformats.org/officeDocument/2006/relationships/hyperlink" Target="mailto:gachuicaroline8@gmail.com" TargetMode="External"/><Relationship Id="rId105" Type="http://schemas.openxmlformats.org/officeDocument/2006/relationships/hyperlink" Target="mailto:stephenmwongera89@gmail.com" TargetMode="External"/><Relationship Id="rId8" Type="http://schemas.openxmlformats.org/officeDocument/2006/relationships/hyperlink" Target="mailto:makenafrida80@yahoo.com" TargetMode="External"/><Relationship Id="rId51" Type="http://schemas.openxmlformats.org/officeDocument/2006/relationships/hyperlink" Target="mailto:salomegacheri14@gmail.com" TargetMode="External"/><Relationship Id="rId72" Type="http://schemas.openxmlformats.org/officeDocument/2006/relationships/hyperlink" Target="mailto:koomejuster@gmail.com" TargetMode="External"/><Relationship Id="rId93" Type="http://schemas.openxmlformats.org/officeDocument/2006/relationships/hyperlink" Target="mailto:jackyjerotich1@gmail.com" TargetMode="External"/><Relationship Id="rId98" Type="http://schemas.openxmlformats.org/officeDocument/2006/relationships/hyperlink" Target="mailto:judjoyjjnana@gmail.com" TargetMode="External"/><Relationship Id="rId3" Type="http://schemas.openxmlformats.org/officeDocument/2006/relationships/hyperlink" Target="mailto:mwendaemmanuel07@gmail.com" TargetMode="External"/><Relationship Id="rId25" Type="http://schemas.openxmlformats.org/officeDocument/2006/relationships/hyperlink" Target="mailto:kestinekagweni@gmail.com" TargetMode="External"/><Relationship Id="rId46" Type="http://schemas.openxmlformats.org/officeDocument/2006/relationships/hyperlink" Target="mailto:gikundiriungu@gmail.com" TargetMode="External"/><Relationship Id="rId67" Type="http://schemas.openxmlformats.org/officeDocument/2006/relationships/hyperlink" Target="mailto:bethkendi32@gmail.com"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mailto:marymburu98@gmail.com" TargetMode="External"/><Relationship Id="rId21" Type="http://schemas.openxmlformats.org/officeDocument/2006/relationships/hyperlink" Target="mailto:mwangimargaret561@gmail.com" TargetMode="External"/><Relationship Id="rId42" Type="http://schemas.openxmlformats.org/officeDocument/2006/relationships/hyperlink" Target="mailto:wamuiwinnie@gmail.com" TargetMode="External"/><Relationship Id="rId47" Type="http://schemas.openxmlformats.org/officeDocument/2006/relationships/hyperlink" Target="mailto:mainadwambui@gmail.com" TargetMode="External"/><Relationship Id="rId63" Type="http://schemas.openxmlformats.org/officeDocument/2006/relationships/hyperlink" Target="mailto:mwmuyah@gmail.com" TargetMode="External"/><Relationship Id="rId68" Type="http://schemas.openxmlformats.org/officeDocument/2006/relationships/hyperlink" Target="mailto:suemwas45@gmail.com" TargetMode="External"/><Relationship Id="rId16" Type="http://schemas.openxmlformats.org/officeDocument/2006/relationships/hyperlink" Target="mailto:kuikamande@gmail.com" TargetMode="External"/><Relationship Id="rId11" Type="http://schemas.openxmlformats.org/officeDocument/2006/relationships/hyperlink" Target="mailto:gladyskamuren@gmail.com" TargetMode="External"/><Relationship Id="rId32" Type="http://schemas.openxmlformats.org/officeDocument/2006/relationships/hyperlink" Target="mailto:nelliewairi@gmail.com" TargetMode="External"/><Relationship Id="rId37" Type="http://schemas.openxmlformats.org/officeDocument/2006/relationships/hyperlink" Target="mailto:tessykago@gmail.com" TargetMode="External"/><Relationship Id="rId53" Type="http://schemas.openxmlformats.org/officeDocument/2006/relationships/hyperlink" Target="mailto:janemugechi@gmail.com" TargetMode="External"/><Relationship Id="rId58" Type="http://schemas.openxmlformats.org/officeDocument/2006/relationships/hyperlink" Target="mailto:judygitau33@gmail.com" TargetMode="External"/><Relationship Id="rId74" Type="http://schemas.openxmlformats.org/officeDocument/2006/relationships/hyperlink" Target="mailto:ikinyagrace@gmail.com" TargetMode="External"/><Relationship Id="rId79" Type="http://schemas.openxmlformats.org/officeDocument/2006/relationships/printerSettings" Target="../printerSettings/printerSettings5.bin"/><Relationship Id="rId5" Type="http://schemas.openxmlformats.org/officeDocument/2006/relationships/hyperlink" Target="mailto:dianamoraa257@gmail.com" TargetMode="External"/><Relationship Id="rId61" Type="http://schemas.openxmlformats.org/officeDocument/2006/relationships/hyperlink" Target="mailto:mary.tyler45@yahoo.com" TargetMode="External"/><Relationship Id="rId82" Type="http://schemas.microsoft.com/office/2017/10/relationships/threadedComment" Target="../threadedComments/threadedComment1.xml"/><Relationship Id="rId19" Type="http://schemas.openxmlformats.org/officeDocument/2006/relationships/hyperlink" Target="mailto:kimethuke@gmail.com" TargetMode="External"/><Relationship Id="rId14" Type="http://schemas.openxmlformats.org/officeDocument/2006/relationships/hyperlink" Target="mailto:janetokiru522@yahoo.com" TargetMode="External"/><Relationship Id="rId22" Type="http://schemas.openxmlformats.org/officeDocument/2006/relationships/hyperlink" Target="mailto:kasavimaina20@gmail.com" TargetMode="External"/><Relationship Id="rId27" Type="http://schemas.openxmlformats.org/officeDocument/2006/relationships/hyperlink" Target="mailto:ogolamercy40@gmail.com" TargetMode="External"/><Relationship Id="rId30" Type="http://schemas.openxmlformats.org/officeDocument/2006/relationships/hyperlink" Target="mailto:milkibe@gmail.com" TargetMode="External"/><Relationship Id="rId35" Type="http://schemas.openxmlformats.org/officeDocument/2006/relationships/hyperlink" Target="mailto:samwelnderitu9@gmail.com" TargetMode="External"/><Relationship Id="rId43" Type="http://schemas.openxmlformats.org/officeDocument/2006/relationships/hyperlink" Target="mailto:carolynnwambui@gmail.com" TargetMode="External"/><Relationship Id="rId48" Type="http://schemas.openxmlformats.org/officeDocument/2006/relationships/hyperlink" Target="mailto:emukethak@gmail.com" TargetMode="External"/><Relationship Id="rId56" Type="http://schemas.openxmlformats.org/officeDocument/2006/relationships/hyperlink" Target="mailto:jonnydkamau20@gmail.com" TargetMode="External"/><Relationship Id="rId64" Type="http://schemas.openxmlformats.org/officeDocument/2006/relationships/hyperlink" Target="mailto:wanjirakingara10@gmail.com" TargetMode="External"/><Relationship Id="rId69" Type="http://schemas.openxmlformats.org/officeDocument/2006/relationships/hyperlink" Target="mailto:susanwangui076@gmail.com" TargetMode="External"/><Relationship Id="rId77" Type="http://schemas.openxmlformats.org/officeDocument/2006/relationships/hyperlink" Target="mailto:alicewanjikuwamuyu@gmail.com" TargetMode="External"/><Relationship Id="rId8" Type="http://schemas.openxmlformats.org/officeDocument/2006/relationships/hyperlink" Target="mailto:wanguiemily43@gmail.com" TargetMode="External"/><Relationship Id="rId51" Type="http://schemas.openxmlformats.org/officeDocument/2006/relationships/hyperlink" Target="mailto:muturifiddey@gmail.com" TargetMode="External"/><Relationship Id="rId72" Type="http://schemas.openxmlformats.org/officeDocument/2006/relationships/hyperlink" Target="mailto:Willykiplangat1726@gmail.com" TargetMode="External"/><Relationship Id="rId80" Type="http://schemas.openxmlformats.org/officeDocument/2006/relationships/vmlDrawing" Target="../drawings/vmlDrawing1.vml"/><Relationship Id="rId3" Type="http://schemas.openxmlformats.org/officeDocument/2006/relationships/hyperlink" Target="mailto:merrykaburu@gmail.com" TargetMode="External"/><Relationship Id="rId12" Type="http://schemas.openxmlformats.org/officeDocument/2006/relationships/hyperlink" Target="mailto:gbiwott99@gmail.com" TargetMode="External"/><Relationship Id="rId17" Type="http://schemas.openxmlformats.org/officeDocument/2006/relationships/hyperlink" Target="mailto:janegito27@gmail.com" TargetMode="External"/><Relationship Id="rId25" Type="http://schemas.openxmlformats.org/officeDocument/2006/relationships/hyperlink" Target="mailto:maryann.ma794@gmail.com" TargetMode="External"/><Relationship Id="rId33" Type="http://schemas.openxmlformats.org/officeDocument/2006/relationships/hyperlink" Target="mailto:maingi843@gmail.com" TargetMode="External"/><Relationship Id="rId38" Type="http://schemas.openxmlformats.org/officeDocument/2006/relationships/hyperlink" Target="mailto:evalinecherotich58@gmail.com" TargetMode="External"/><Relationship Id="rId46" Type="http://schemas.openxmlformats.org/officeDocument/2006/relationships/hyperlink" Target="mailto:drichu7@gmail.com" TargetMode="External"/><Relationship Id="rId59" Type="http://schemas.openxmlformats.org/officeDocument/2006/relationships/hyperlink" Target="mailto:judytomno@gmail.com" TargetMode="External"/><Relationship Id="rId67" Type="http://schemas.openxmlformats.org/officeDocument/2006/relationships/hyperlink" Target="mailto:msalomemuthoni@gmail.com" TargetMode="External"/><Relationship Id="rId20" Type="http://schemas.openxmlformats.org/officeDocument/2006/relationships/hyperlink" Target="mailto:mungojoo@gmail.com" TargetMode="External"/><Relationship Id="rId41" Type="http://schemas.openxmlformats.org/officeDocument/2006/relationships/hyperlink" Target="mailto:kihiuzipporah2020@gmail.com" TargetMode="External"/><Relationship Id="rId54" Type="http://schemas.openxmlformats.org/officeDocument/2006/relationships/hyperlink" Target="mailto:janethkips@gmail.com" TargetMode="External"/><Relationship Id="rId62" Type="http://schemas.openxmlformats.org/officeDocument/2006/relationships/hyperlink" Target="mailto:mbaitinyambura@gmail.com" TargetMode="External"/><Relationship Id="rId70" Type="http://schemas.openxmlformats.org/officeDocument/2006/relationships/hyperlink" Target="mailto:trizamanjane@gmail.com" TargetMode="External"/><Relationship Id="rId75" Type="http://schemas.openxmlformats.org/officeDocument/2006/relationships/hyperlink" Target="mailto:reenkyule@gmail.com" TargetMode="External"/><Relationship Id="rId1" Type="http://schemas.openxmlformats.org/officeDocument/2006/relationships/hyperlink" Target="mailto:lengima9@gmail.com" TargetMode="External"/><Relationship Id="rId6" Type="http://schemas.openxmlformats.org/officeDocument/2006/relationships/hyperlink" Target="mailto:bemo.me16@gmail.com" TargetMode="External"/><Relationship Id="rId15" Type="http://schemas.openxmlformats.org/officeDocument/2006/relationships/hyperlink" Target="mailto:jamesmuigai52@gmail.com" TargetMode="External"/><Relationship Id="rId23" Type="http://schemas.openxmlformats.org/officeDocument/2006/relationships/hyperlink" Target="mailto:martinkamau329@gmail.com" TargetMode="External"/><Relationship Id="rId28" Type="http://schemas.openxmlformats.org/officeDocument/2006/relationships/hyperlink" Target="mailto:mercykaburio@gmail.com" TargetMode="External"/><Relationship Id="rId36" Type="http://schemas.openxmlformats.org/officeDocument/2006/relationships/hyperlink" Target="mailto:sweenshilavula@gmail.com" TargetMode="External"/><Relationship Id="rId49" Type="http://schemas.openxmlformats.org/officeDocument/2006/relationships/hyperlink" Target="mailto:eunicengugi23@gmail.com" TargetMode="External"/><Relationship Id="rId57" Type="http://schemas.openxmlformats.org/officeDocument/2006/relationships/hyperlink" Target="mailto:jwgitao@yahoo.com" TargetMode="External"/><Relationship Id="rId10" Type="http://schemas.openxmlformats.org/officeDocument/2006/relationships/hyperlink" Target="mailto:ahmilkims45@gmail.com" TargetMode="External"/><Relationship Id="rId31" Type="http://schemas.openxmlformats.org/officeDocument/2006/relationships/hyperlink" Target="mailto:mosesrng@yahoo.com" TargetMode="External"/><Relationship Id="rId44" Type="http://schemas.openxmlformats.org/officeDocument/2006/relationships/hyperlink" Target="mailto:nyakioo700@gmail.com" TargetMode="External"/><Relationship Id="rId52" Type="http://schemas.openxmlformats.org/officeDocument/2006/relationships/hyperlink" Target="mailto:jnjogu15@gmail.com" TargetMode="External"/><Relationship Id="rId60" Type="http://schemas.openxmlformats.org/officeDocument/2006/relationships/hyperlink" Target="mailto:lwaithe2014@gmail.com" TargetMode="External"/><Relationship Id="rId65" Type="http://schemas.openxmlformats.org/officeDocument/2006/relationships/hyperlink" Target="mailto:rahabmuiru@gmail.com" TargetMode="External"/><Relationship Id="rId73" Type="http://schemas.openxmlformats.org/officeDocument/2006/relationships/hyperlink" Target="mailto:mungaij640@gmail.com" TargetMode="External"/><Relationship Id="rId78" Type="http://schemas.openxmlformats.org/officeDocument/2006/relationships/hyperlink" Target="mailto:josephineobwora@gmail.com" TargetMode="External"/><Relationship Id="rId81" Type="http://schemas.openxmlformats.org/officeDocument/2006/relationships/comments" Target="../comments1.xml"/><Relationship Id="rId4" Type="http://schemas.openxmlformats.org/officeDocument/2006/relationships/hyperlink" Target="mailto:candygakimaina@gmail.com" TargetMode="External"/><Relationship Id="rId9" Type="http://schemas.openxmlformats.org/officeDocument/2006/relationships/hyperlink" Target="mailto:evanskiprotich8@gmail.com" TargetMode="External"/><Relationship Id="rId13" Type="http://schemas.openxmlformats.org/officeDocument/2006/relationships/hyperlink" Target="mailto:gladysnyakeru@gmail.com" TargetMode="External"/><Relationship Id="rId18" Type="http://schemas.openxmlformats.org/officeDocument/2006/relationships/hyperlink" Target="mailto:kurialilian84@gmail.com" TargetMode="External"/><Relationship Id="rId39" Type="http://schemas.openxmlformats.org/officeDocument/2006/relationships/hyperlink" Target="mailto:viclyd17@gmail.com" TargetMode="External"/><Relationship Id="rId34" Type="http://schemas.openxmlformats.org/officeDocument/2006/relationships/hyperlink" Target="mailto:p.kageta@gmail.com" TargetMode="External"/><Relationship Id="rId50" Type="http://schemas.openxmlformats.org/officeDocument/2006/relationships/hyperlink" Target="mailto:faithgaikia94@gmail.com" TargetMode="External"/><Relationship Id="rId55" Type="http://schemas.openxmlformats.org/officeDocument/2006/relationships/hyperlink" Target="mailto:jonniekamau1@gmail.com" TargetMode="External"/><Relationship Id="rId76" Type="http://schemas.openxmlformats.org/officeDocument/2006/relationships/hyperlink" Target="mailto:githusussy@gmail.com" TargetMode="External"/><Relationship Id="rId7" Type="http://schemas.openxmlformats.org/officeDocument/2006/relationships/hyperlink" Target="mailto:elizanduku92@gmail.com" TargetMode="External"/><Relationship Id="rId71" Type="http://schemas.openxmlformats.org/officeDocument/2006/relationships/hyperlink" Target="mailto:karanjat580@gmail.com" TargetMode="External"/><Relationship Id="rId2" Type="http://schemas.openxmlformats.org/officeDocument/2006/relationships/hyperlink" Target="mailto:beatricewangui136@gmail.com" TargetMode="External"/><Relationship Id="rId29" Type="http://schemas.openxmlformats.org/officeDocument/2006/relationships/hyperlink" Target="mailto:miriammaina92@gmail.com" TargetMode="External"/><Relationship Id="rId24" Type="http://schemas.openxmlformats.org/officeDocument/2006/relationships/hyperlink" Target="mailto:martinkamau320@gmail.com" TargetMode="External"/><Relationship Id="rId40" Type="http://schemas.openxmlformats.org/officeDocument/2006/relationships/hyperlink" Target="mailto:willimugo97@gmail.com" TargetMode="External"/><Relationship Id="rId45" Type="http://schemas.openxmlformats.org/officeDocument/2006/relationships/hyperlink" Target="mailto:kaurekinyanjui@gmail.com" TargetMode="External"/><Relationship Id="rId66" Type="http://schemas.openxmlformats.org/officeDocument/2006/relationships/hyperlink" Target="mailto:rosewangari45@yahoo.com"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judynjagi16@gmail.com" TargetMode="External"/><Relationship Id="rId18" Type="http://schemas.openxmlformats.org/officeDocument/2006/relationships/hyperlink" Target="mailto:keekmercy@gmail.com" TargetMode="External"/><Relationship Id="rId26" Type="http://schemas.openxmlformats.org/officeDocument/2006/relationships/hyperlink" Target="mailto:mutembeiy48@gmail.com" TargetMode="External"/><Relationship Id="rId3" Type="http://schemas.openxmlformats.org/officeDocument/2006/relationships/hyperlink" Target="mailto:kajuju78@gmail.com" TargetMode="External"/><Relationship Id="rId21" Type="http://schemas.openxmlformats.org/officeDocument/2006/relationships/hyperlink" Target="mailto:sammienjogu8@gmail.com" TargetMode="External"/><Relationship Id="rId34" Type="http://schemas.openxmlformats.org/officeDocument/2006/relationships/hyperlink" Target="mailto:violetayuma98@gmail.com" TargetMode="External"/><Relationship Id="rId7" Type="http://schemas.openxmlformats.org/officeDocument/2006/relationships/hyperlink" Target="mailto:faithmuchira@gmail.com" TargetMode="External"/><Relationship Id="rId12" Type="http://schemas.openxmlformats.org/officeDocument/2006/relationships/hyperlink" Target="mailto:josmunuve166@gmail.com" TargetMode="External"/><Relationship Id="rId17" Type="http://schemas.openxmlformats.org/officeDocument/2006/relationships/hyperlink" Target="mailto:karaythi@gmail.com" TargetMode="External"/><Relationship Id="rId25" Type="http://schemas.openxmlformats.org/officeDocument/2006/relationships/hyperlink" Target="mailto:nicoletakaregi@gmail.com" TargetMode="External"/><Relationship Id="rId33" Type="http://schemas.openxmlformats.org/officeDocument/2006/relationships/hyperlink" Target="mailto:rispernkatha.rn@gmail.com" TargetMode="External"/><Relationship Id="rId2" Type="http://schemas.openxmlformats.org/officeDocument/2006/relationships/hyperlink" Target="mailto:annjoykanake1@gmail.com" TargetMode="External"/><Relationship Id="rId16" Type="http://schemas.openxmlformats.org/officeDocument/2006/relationships/hyperlink" Target="mailto:martin.g.m962@gmail.com" TargetMode="External"/><Relationship Id="rId20" Type="http://schemas.openxmlformats.org/officeDocument/2006/relationships/hyperlink" Target="mailto:pmarangu2018@gmail.com" TargetMode="External"/><Relationship Id="rId29" Type="http://schemas.openxmlformats.org/officeDocument/2006/relationships/hyperlink" Target="mailto:hrnjoka@yahoo.com" TargetMode="External"/><Relationship Id="rId1" Type="http://schemas.openxmlformats.org/officeDocument/2006/relationships/hyperlink" Target="mailto:alicenjeri75@gmail.com" TargetMode="External"/><Relationship Id="rId6" Type="http://schemas.openxmlformats.org/officeDocument/2006/relationships/hyperlink" Target="mailto:evalynewairimu86@gmail.com" TargetMode="External"/><Relationship Id="rId11" Type="http://schemas.openxmlformats.org/officeDocument/2006/relationships/hyperlink" Target="mailto:jeanireri3@gmail.com" TargetMode="External"/><Relationship Id="rId24" Type="http://schemas.openxmlformats.org/officeDocument/2006/relationships/hyperlink" Target="mailto:kambuawinfred5@gmail.com" TargetMode="External"/><Relationship Id="rId32" Type="http://schemas.openxmlformats.org/officeDocument/2006/relationships/hyperlink" Target="mailto:monicahkainyu96@gmail.com" TargetMode="External"/><Relationship Id="rId5" Type="http://schemas.openxmlformats.org/officeDocument/2006/relationships/hyperlink" Target="mailto:dnokarani@gmail.com" TargetMode="External"/><Relationship Id="rId15" Type="http://schemas.openxmlformats.org/officeDocument/2006/relationships/hyperlink" Target="mailto:MMURITHI99@GMAIL.COM" TargetMode="External"/><Relationship Id="rId23" Type="http://schemas.openxmlformats.org/officeDocument/2006/relationships/hyperlink" Target="mailto:willymurithi96@gmail.com" TargetMode="External"/><Relationship Id="rId28" Type="http://schemas.openxmlformats.org/officeDocument/2006/relationships/hyperlink" Target="mailto:dianamuthoni449@gmail.com" TargetMode="External"/><Relationship Id="rId10" Type="http://schemas.openxmlformats.org/officeDocument/2006/relationships/hyperlink" Target="mailto:jgatwiri50@gmail.com" TargetMode="External"/><Relationship Id="rId19" Type="http://schemas.openxmlformats.org/officeDocument/2006/relationships/hyperlink" Target="mailto:nancynyaga@gmail.com" TargetMode="External"/><Relationship Id="rId31" Type="http://schemas.openxmlformats.org/officeDocument/2006/relationships/hyperlink" Target="mailto:liliannjue@gmail.com" TargetMode="External"/><Relationship Id="rId4" Type="http://schemas.openxmlformats.org/officeDocument/2006/relationships/hyperlink" Target="mailto:consolatammugambi@gmail.com" TargetMode="External"/><Relationship Id="rId9" Type="http://schemas.openxmlformats.org/officeDocument/2006/relationships/hyperlink" Target="mailto:isabellahkarema@gmail.com" TargetMode="External"/><Relationship Id="rId14" Type="http://schemas.openxmlformats.org/officeDocument/2006/relationships/hyperlink" Target="mailto:lanahmaks@gmail.com" TargetMode="External"/><Relationship Id="rId22" Type="http://schemas.openxmlformats.org/officeDocument/2006/relationships/hyperlink" Target="mailto:stlsonnie@gmail.com" TargetMode="External"/><Relationship Id="rId27" Type="http://schemas.openxmlformats.org/officeDocument/2006/relationships/hyperlink" Target="mailto:irenenjagi20@gmail.com" TargetMode="External"/><Relationship Id="rId30" Type="http://schemas.openxmlformats.org/officeDocument/2006/relationships/hyperlink" Target="mailto:jamesbeeh@gmail.com" TargetMode="External"/><Relationship Id="rId35" Type="http://schemas.openxmlformats.org/officeDocument/2006/relationships/printerSettings" Target="../printerSettings/printerSettings6.bin"/><Relationship Id="rId8" Type="http://schemas.openxmlformats.org/officeDocument/2006/relationships/hyperlink" Target="mailto:nyaberahumphrey@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53"/>
  <sheetViews>
    <sheetView zoomScale="91" zoomScaleNormal="91" workbookViewId="0">
      <pane xSplit="6" ySplit="3" topLeftCell="G36" activePane="bottomRight" state="frozen"/>
      <selection pane="topRight"/>
      <selection pane="bottomLeft"/>
      <selection pane="bottomRight" activeCell="A45" sqref="A45:XFD45"/>
    </sheetView>
  </sheetViews>
  <sheetFormatPr defaultColWidth="9.1796875" defaultRowHeight="20.149999999999999" customHeight="1"/>
  <cols>
    <col min="1" max="1" width="4.453125" style="1" customWidth="1"/>
    <col min="2" max="2" width="10.453125" style="2" customWidth="1"/>
    <col min="3" max="3" width="33.81640625" style="1" customWidth="1"/>
    <col min="4" max="4" width="42" style="1" customWidth="1"/>
    <col min="5" max="5" width="16.26953125" style="1" customWidth="1"/>
    <col min="6" max="6" width="53.7265625" style="3" customWidth="1"/>
    <col min="7" max="7" width="18.453125" style="3" customWidth="1"/>
    <col min="8" max="8" width="9.1796875" style="4" customWidth="1"/>
    <col min="9" max="9" width="11" style="4" customWidth="1"/>
    <col min="10" max="10" width="10.7265625" style="4" customWidth="1"/>
    <col min="11" max="11" width="10.26953125" style="3" customWidth="1"/>
    <col min="12" max="12" width="10.7265625" style="3" customWidth="1"/>
    <col min="13" max="13" width="10.81640625" style="3" customWidth="1"/>
    <col min="14" max="14" width="12.81640625" style="3" customWidth="1"/>
    <col min="15" max="15" width="7.54296875" style="3" customWidth="1"/>
    <col min="16" max="16" width="10.26953125" style="3" customWidth="1"/>
    <col min="17" max="17" width="8.81640625" style="3" customWidth="1"/>
    <col min="18" max="18" width="9.1796875" style="3" customWidth="1"/>
    <col min="19" max="19" width="10.453125" style="5" customWidth="1"/>
    <col min="20" max="20" width="34.54296875" style="5" customWidth="1"/>
    <col min="21" max="16384" width="9.1796875" style="6"/>
  </cols>
  <sheetData>
    <row r="1" spans="1:20" ht="20.149999999999999" customHeight="1">
      <c r="A1" s="342" t="s">
        <v>0</v>
      </c>
      <c r="B1" s="343"/>
      <c r="C1" s="343"/>
      <c r="D1" s="343"/>
      <c r="E1" s="343"/>
      <c r="F1" s="343"/>
      <c r="G1" s="343"/>
      <c r="H1" s="343"/>
      <c r="I1" s="343"/>
      <c r="J1" s="343"/>
      <c r="K1" s="343"/>
      <c r="L1" s="343"/>
      <c r="M1" s="343"/>
      <c r="N1" s="343"/>
      <c r="O1" s="343"/>
      <c r="P1" s="343"/>
      <c r="Q1" s="343"/>
      <c r="R1" s="343"/>
      <c r="S1" s="343"/>
      <c r="T1" s="344"/>
    </row>
    <row r="2" spans="1:20" ht="20.149999999999999" customHeight="1">
      <c r="A2" s="7"/>
      <c r="B2" s="9"/>
      <c r="C2" s="8"/>
      <c r="D2" s="8"/>
      <c r="E2" s="8"/>
      <c r="F2" s="8"/>
      <c r="G2" s="8"/>
      <c r="H2" s="345"/>
      <c r="I2" s="346"/>
      <c r="J2" s="346"/>
      <c r="K2" s="346"/>
      <c r="L2" s="346"/>
      <c r="M2" s="344"/>
      <c r="N2" s="8"/>
      <c r="O2" s="345" t="s">
        <v>1</v>
      </c>
      <c r="P2" s="346"/>
      <c r="Q2" s="346"/>
      <c r="R2" s="346"/>
      <c r="S2" s="346"/>
      <c r="T2" s="24"/>
    </row>
    <row r="3" spans="1:20" ht="40" customHeight="1">
      <c r="A3" s="10" t="s">
        <v>2</v>
      </c>
      <c r="B3" s="11" t="s">
        <v>3</v>
      </c>
      <c r="C3" s="12" t="s">
        <v>4</v>
      </c>
      <c r="D3" s="13" t="s">
        <v>5</v>
      </c>
      <c r="E3" s="14" t="s">
        <v>6</v>
      </c>
      <c r="F3" s="15" t="s">
        <v>7</v>
      </c>
      <c r="G3" s="16" t="s">
        <v>8</v>
      </c>
      <c r="H3" s="17">
        <v>44105</v>
      </c>
      <c r="I3" s="22">
        <v>44136</v>
      </c>
      <c r="J3" s="22">
        <v>44166</v>
      </c>
      <c r="K3" s="22">
        <v>44197</v>
      </c>
      <c r="L3" s="22">
        <v>44228</v>
      </c>
      <c r="M3" s="23">
        <v>44256</v>
      </c>
      <c r="N3" s="23">
        <v>44287</v>
      </c>
      <c r="O3" s="22">
        <v>44317</v>
      </c>
      <c r="P3" s="22">
        <v>44348</v>
      </c>
      <c r="Q3" s="22">
        <v>44378</v>
      </c>
      <c r="R3" s="22">
        <v>44409</v>
      </c>
      <c r="S3" s="22">
        <v>44440</v>
      </c>
      <c r="T3" s="24" t="s">
        <v>9</v>
      </c>
    </row>
    <row r="4" spans="1:20" s="28" customFormat="1" ht="20.149999999999999" customHeight="1">
      <c r="A4" s="18" t="s">
        <v>10</v>
      </c>
      <c r="B4" s="30">
        <v>1</v>
      </c>
      <c r="C4" s="31" t="s">
        <v>11</v>
      </c>
      <c r="D4" s="31" t="s">
        <v>12</v>
      </c>
      <c r="E4" s="32" t="s">
        <v>13</v>
      </c>
      <c r="F4" s="32" t="s">
        <v>14</v>
      </c>
      <c r="G4" s="20" t="s">
        <v>15</v>
      </c>
      <c r="H4" s="33" t="s">
        <v>16</v>
      </c>
      <c r="I4" s="33" t="s">
        <v>16</v>
      </c>
      <c r="J4" s="33" t="s">
        <v>16</v>
      </c>
      <c r="K4" s="33" t="s">
        <v>16</v>
      </c>
      <c r="L4" s="33" t="s">
        <v>16</v>
      </c>
      <c r="M4" s="33" t="s">
        <v>17</v>
      </c>
      <c r="N4" s="39" t="s">
        <v>17</v>
      </c>
      <c r="O4" s="39" t="s">
        <v>16</v>
      </c>
      <c r="P4" s="39"/>
      <c r="Q4" s="39"/>
      <c r="R4" s="39"/>
      <c r="S4" s="39"/>
      <c r="T4" s="44" t="s">
        <v>18</v>
      </c>
    </row>
    <row r="5" spans="1:20" s="28" customFormat="1" ht="20.149999999999999" customHeight="1">
      <c r="A5" s="18" t="s">
        <v>19</v>
      </c>
      <c r="B5" s="30">
        <v>2</v>
      </c>
      <c r="C5" s="31" t="s">
        <v>20</v>
      </c>
      <c r="D5" s="34" t="s">
        <v>21</v>
      </c>
      <c r="E5" s="32" t="s">
        <v>13</v>
      </c>
      <c r="F5" s="32" t="s">
        <v>3327</v>
      </c>
      <c r="G5" s="20" t="s">
        <v>23</v>
      </c>
      <c r="H5" s="33" t="s">
        <v>16</v>
      </c>
      <c r="I5" s="33" t="s">
        <v>16</v>
      </c>
      <c r="J5" s="33" t="s">
        <v>16</v>
      </c>
      <c r="K5" s="33" t="s">
        <v>16</v>
      </c>
      <c r="L5" s="33" t="s">
        <v>16</v>
      </c>
      <c r="M5" s="33" t="s">
        <v>16</v>
      </c>
      <c r="N5" s="39" t="s">
        <v>24</v>
      </c>
      <c r="O5" s="39" t="s">
        <v>16</v>
      </c>
      <c r="P5" s="39"/>
      <c r="Q5" s="39"/>
      <c r="R5" s="39"/>
      <c r="S5" s="39"/>
      <c r="T5" s="44" t="s">
        <v>25</v>
      </c>
    </row>
    <row r="6" spans="1:20" s="28" customFormat="1" ht="20.149999999999999" customHeight="1">
      <c r="A6" s="18" t="s">
        <v>26</v>
      </c>
      <c r="B6" s="30">
        <v>3</v>
      </c>
      <c r="C6" s="31" t="s">
        <v>27</v>
      </c>
      <c r="D6" s="34" t="s">
        <v>21</v>
      </c>
      <c r="E6" s="32" t="s">
        <v>13</v>
      </c>
      <c r="F6" s="32" t="s">
        <v>3328</v>
      </c>
      <c r="G6" s="20" t="s">
        <v>28</v>
      </c>
      <c r="H6" s="33" t="s">
        <v>29</v>
      </c>
      <c r="I6" s="33" t="s">
        <v>29</v>
      </c>
      <c r="J6" s="33" t="s">
        <v>29</v>
      </c>
      <c r="K6" s="33" t="s">
        <v>29</v>
      </c>
      <c r="L6" s="33" t="s">
        <v>16</v>
      </c>
      <c r="M6" s="33" t="s">
        <v>16</v>
      </c>
      <c r="N6" s="39" t="s">
        <v>16</v>
      </c>
      <c r="O6" s="39" t="s">
        <v>16</v>
      </c>
      <c r="P6" s="39"/>
      <c r="Q6" s="39"/>
      <c r="R6" s="39"/>
      <c r="S6" s="45"/>
      <c r="T6" s="44" t="s">
        <v>30</v>
      </c>
    </row>
    <row r="7" spans="1:20" ht="20.149999999999999" customHeight="1">
      <c r="A7" s="18" t="s">
        <v>31</v>
      </c>
      <c r="B7" s="30">
        <v>4</v>
      </c>
      <c r="C7" s="31" t="s">
        <v>32</v>
      </c>
      <c r="D7" s="34" t="s">
        <v>21</v>
      </c>
      <c r="E7" s="32" t="s">
        <v>13</v>
      </c>
      <c r="F7" s="32" t="s">
        <v>95</v>
      </c>
      <c r="G7" s="20" t="s">
        <v>33</v>
      </c>
      <c r="H7" s="33"/>
      <c r="I7" s="33"/>
      <c r="J7" s="33"/>
      <c r="K7" s="33"/>
      <c r="L7" s="33"/>
      <c r="M7" s="33"/>
      <c r="N7" s="37"/>
      <c r="O7" s="40"/>
      <c r="P7" s="40"/>
      <c r="Q7" s="40"/>
      <c r="R7" s="40"/>
      <c r="S7" s="40"/>
      <c r="T7" s="46"/>
    </row>
    <row r="8" spans="1:20" s="328" customFormat="1" ht="20.149999999999999" customHeight="1">
      <c r="A8" s="323" t="s">
        <v>34</v>
      </c>
      <c r="B8" s="324">
        <v>5</v>
      </c>
      <c r="C8" s="325" t="s">
        <v>35</v>
      </c>
      <c r="D8" s="325" t="s">
        <v>21</v>
      </c>
      <c r="E8" s="325" t="s">
        <v>13</v>
      </c>
      <c r="F8" s="325" t="s">
        <v>36</v>
      </c>
      <c r="G8" s="47" t="s">
        <v>37</v>
      </c>
      <c r="H8" s="326"/>
      <c r="I8" s="326"/>
      <c r="J8" s="326"/>
      <c r="K8" s="326"/>
      <c r="L8" s="326"/>
      <c r="M8" s="326"/>
      <c r="N8" s="326"/>
      <c r="O8" s="327"/>
      <c r="P8" s="327"/>
      <c r="Q8" s="327"/>
      <c r="R8" s="327"/>
      <c r="S8" s="326"/>
      <c r="T8" s="46"/>
    </row>
    <row r="9" spans="1:20" ht="20.149999999999999" customHeight="1">
      <c r="A9" s="18" t="s">
        <v>38</v>
      </c>
      <c r="B9" s="35">
        <v>6</v>
      </c>
      <c r="C9" s="36" t="s">
        <v>39</v>
      </c>
      <c r="D9" s="36" t="s">
        <v>21</v>
      </c>
      <c r="E9" s="36" t="s">
        <v>13</v>
      </c>
      <c r="F9" s="36" t="s">
        <v>945</v>
      </c>
      <c r="G9" s="20" t="s">
        <v>41</v>
      </c>
      <c r="H9" s="37"/>
      <c r="I9" s="37"/>
      <c r="J9" s="37"/>
      <c r="K9" s="37"/>
      <c r="L9" s="37"/>
      <c r="M9" s="37"/>
      <c r="N9" s="37"/>
      <c r="O9" s="41"/>
      <c r="P9" s="41"/>
      <c r="Q9" s="41"/>
      <c r="R9" s="41"/>
      <c r="S9" s="40"/>
      <c r="T9" s="25"/>
    </row>
    <row r="10" spans="1:20" ht="20.149999999999999" customHeight="1">
      <c r="A10" s="18" t="s">
        <v>42</v>
      </c>
      <c r="B10" s="35">
        <v>7</v>
      </c>
      <c r="C10" s="36" t="s">
        <v>43</v>
      </c>
      <c r="D10" s="36" t="s">
        <v>21</v>
      </c>
      <c r="E10" s="36" t="s">
        <v>13</v>
      </c>
      <c r="F10" s="36" t="s">
        <v>44</v>
      </c>
      <c r="G10" s="20" t="s">
        <v>45</v>
      </c>
      <c r="H10" s="37"/>
      <c r="I10" s="37"/>
      <c r="J10" s="37"/>
      <c r="K10" s="37"/>
      <c r="L10" s="37"/>
      <c r="M10" s="37"/>
      <c r="N10" s="37"/>
      <c r="O10" s="40"/>
      <c r="P10" s="40"/>
      <c r="Q10" s="40"/>
      <c r="R10" s="40"/>
      <c r="S10" s="40"/>
      <c r="T10" s="25"/>
    </row>
    <row r="11" spans="1:20" s="328" customFormat="1" ht="20.149999999999999" customHeight="1">
      <c r="A11" s="323" t="s">
        <v>46</v>
      </c>
      <c r="B11" s="324">
        <v>8</v>
      </c>
      <c r="C11" s="325" t="s">
        <v>47</v>
      </c>
      <c r="D11" s="325" t="s">
        <v>21</v>
      </c>
      <c r="E11" s="325" t="s">
        <v>13</v>
      </c>
      <c r="F11" s="325" t="s">
        <v>48</v>
      </c>
      <c r="G11" s="47" t="s">
        <v>49</v>
      </c>
      <c r="H11" s="326"/>
      <c r="I11" s="326"/>
      <c r="J11" s="326"/>
      <c r="K11" s="326"/>
      <c r="L11" s="326"/>
      <c r="M11" s="326"/>
      <c r="N11" s="326"/>
      <c r="O11" s="326"/>
      <c r="P11" s="326"/>
      <c r="Q11" s="326"/>
      <c r="R11" s="326"/>
      <c r="S11" s="326"/>
      <c r="T11" s="46"/>
    </row>
    <row r="12" spans="1:20" s="29" customFormat="1" ht="20.149999999999999" customHeight="1">
      <c r="A12" s="18" t="s">
        <v>50</v>
      </c>
      <c r="B12" s="35">
        <v>9</v>
      </c>
      <c r="C12" s="36" t="s">
        <v>51</v>
      </c>
      <c r="D12" s="36" t="s">
        <v>21</v>
      </c>
      <c r="E12" s="36" t="s">
        <v>13</v>
      </c>
      <c r="F12" s="36" t="s">
        <v>52</v>
      </c>
      <c r="G12" s="20" t="s">
        <v>53</v>
      </c>
      <c r="H12" s="37"/>
      <c r="I12" s="37"/>
      <c r="J12" s="37"/>
      <c r="K12" s="37"/>
      <c r="L12" s="37"/>
      <c r="M12" s="37"/>
      <c r="N12" s="37"/>
      <c r="O12" s="40"/>
      <c r="P12" s="40"/>
      <c r="Q12" s="40"/>
      <c r="R12" s="40"/>
      <c r="S12" s="40"/>
      <c r="T12" s="47"/>
    </row>
    <row r="13" spans="1:20" s="29" customFormat="1" ht="20.149999999999999" customHeight="1">
      <c r="A13" s="18" t="s">
        <v>54</v>
      </c>
      <c r="B13" s="35">
        <v>10</v>
      </c>
      <c r="C13" s="36" t="s">
        <v>55</v>
      </c>
      <c r="D13" s="36" t="s">
        <v>21</v>
      </c>
      <c r="E13" s="36" t="s">
        <v>13</v>
      </c>
      <c r="F13" s="36" t="s">
        <v>3329</v>
      </c>
      <c r="G13" s="20" t="s">
        <v>56</v>
      </c>
      <c r="H13" s="37"/>
      <c r="I13" s="37"/>
      <c r="J13" s="37"/>
      <c r="K13" s="37"/>
      <c r="L13" s="37"/>
      <c r="M13" s="37"/>
      <c r="N13" s="37"/>
      <c r="O13" s="40"/>
      <c r="P13" s="40"/>
      <c r="Q13" s="40"/>
      <c r="R13" s="40"/>
      <c r="S13" s="40"/>
      <c r="T13" s="20"/>
    </row>
    <row r="14" spans="1:20" s="29" customFormat="1" ht="20.149999999999999" customHeight="1">
      <c r="A14" s="18" t="s">
        <v>57</v>
      </c>
      <c r="B14" s="35">
        <v>11</v>
      </c>
      <c r="C14" s="36" t="s">
        <v>58</v>
      </c>
      <c r="D14" s="36" t="s">
        <v>21</v>
      </c>
      <c r="E14" s="36" t="s">
        <v>13</v>
      </c>
      <c r="F14" s="36" t="s">
        <v>14</v>
      </c>
      <c r="G14" s="20" t="s">
        <v>59</v>
      </c>
      <c r="H14" s="37"/>
      <c r="I14" s="37"/>
      <c r="J14" s="37"/>
      <c r="K14" s="37"/>
      <c r="L14" s="37"/>
      <c r="M14" s="37"/>
      <c r="N14" s="37"/>
      <c r="O14" s="40"/>
      <c r="P14" s="40"/>
      <c r="Q14" s="40"/>
      <c r="R14" s="40"/>
      <c r="S14" s="40"/>
      <c r="T14" s="20"/>
    </row>
    <row r="15" spans="1:20" s="329" customFormat="1" ht="20.149999999999999" customHeight="1">
      <c r="A15" s="323" t="s">
        <v>60</v>
      </c>
      <c r="B15" s="324">
        <v>12</v>
      </c>
      <c r="C15" s="325" t="s">
        <v>61</v>
      </c>
      <c r="D15" s="325" t="s">
        <v>21</v>
      </c>
      <c r="E15" s="325" t="s">
        <v>13</v>
      </c>
      <c r="F15" s="325" t="s">
        <v>22</v>
      </c>
      <c r="G15" s="47" t="s">
        <v>62</v>
      </c>
      <c r="H15" s="326"/>
      <c r="I15" s="326"/>
      <c r="J15" s="326"/>
      <c r="K15" s="326"/>
      <c r="L15" s="326"/>
      <c r="M15" s="326"/>
      <c r="N15" s="326"/>
      <c r="O15" s="326"/>
      <c r="P15" s="326"/>
      <c r="Q15" s="326"/>
      <c r="R15" s="326"/>
      <c r="S15" s="326"/>
      <c r="T15" s="47"/>
    </row>
    <row r="16" spans="1:20" s="329" customFormat="1" ht="20.149999999999999" customHeight="1">
      <c r="A16" s="323" t="s">
        <v>63</v>
      </c>
      <c r="B16" s="324">
        <v>13</v>
      </c>
      <c r="C16" s="325" t="s">
        <v>64</v>
      </c>
      <c r="D16" s="325" t="s">
        <v>21</v>
      </c>
      <c r="E16" s="325" t="s">
        <v>13</v>
      </c>
      <c r="F16" s="325" t="s">
        <v>65</v>
      </c>
      <c r="G16" s="47" t="s">
        <v>66</v>
      </c>
      <c r="H16" s="326"/>
      <c r="I16" s="326"/>
      <c r="J16" s="326"/>
      <c r="K16" s="326"/>
      <c r="L16" s="330"/>
      <c r="M16" s="330"/>
      <c r="N16" s="330"/>
      <c r="O16" s="330"/>
      <c r="P16" s="330"/>
      <c r="Q16" s="326"/>
      <c r="R16" s="326"/>
      <c r="S16" s="326"/>
      <c r="T16" s="47"/>
    </row>
    <row r="17" spans="1:20" s="29" customFormat="1" ht="20.149999999999999" customHeight="1">
      <c r="A17" s="18" t="s">
        <v>67</v>
      </c>
      <c r="B17" s="35">
        <v>14</v>
      </c>
      <c r="C17" s="36" t="s">
        <v>68</v>
      </c>
      <c r="D17" s="36" t="s">
        <v>21</v>
      </c>
      <c r="E17" s="36" t="s">
        <v>13</v>
      </c>
      <c r="F17" s="36" t="s">
        <v>947</v>
      </c>
      <c r="G17" s="20" t="s">
        <v>70</v>
      </c>
      <c r="H17" s="37"/>
      <c r="I17" s="37"/>
      <c r="J17" s="37"/>
      <c r="K17" s="37"/>
      <c r="L17" s="37"/>
      <c r="M17" s="37"/>
      <c r="N17" s="37"/>
      <c r="O17" s="40"/>
      <c r="P17" s="40"/>
      <c r="Q17" s="40"/>
      <c r="R17" s="40"/>
      <c r="S17" s="40"/>
      <c r="T17" s="20"/>
    </row>
    <row r="18" spans="1:20" s="329" customFormat="1" ht="20.149999999999999" customHeight="1">
      <c r="A18" s="323" t="s">
        <v>71</v>
      </c>
      <c r="B18" s="324">
        <v>15</v>
      </c>
      <c r="C18" s="325" t="s">
        <v>72</v>
      </c>
      <c r="D18" s="325" t="s">
        <v>21</v>
      </c>
      <c r="E18" s="325" t="s">
        <v>13</v>
      </c>
      <c r="F18" s="325" t="s">
        <v>69</v>
      </c>
      <c r="G18" s="47" t="s">
        <v>73</v>
      </c>
      <c r="H18" s="326"/>
      <c r="I18" s="326"/>
      <c r="J18" s="326"/>
      <c r="K18" s="326"/>
      <c r="L18" s="326"/>
      <c r="M18" s="326"/>
      <c r="N18" s="326"/>
      <c r="O18" s="326"/>
      <c r="P18" s="326"/>
      <c r="Q18" s="326"/>
      <c r="R18" s="326"/>
      <c r="S18" s="326"/>
      <c r="T18" s="47"/>
    </row>
    <row r="19" spans="1:20" s="29" customFormat="1" ht="20.149999999999999" customHeight="1">
      <c r="A19" s="18" t="s">
        <v>74</v>
      </c>
      <c r="B19" s="35">
        <v>16</v>
      </c>
      <c r="C19" s="36" t="s">
        <v>75</v>
      </c>
      <c r="D19" s="36" t="s">
        <v>21</v>
      </c>
      <c r="E19" s="36" t="s">
        <v>13</v>
      </c>
      <c r="F19" s="36" t="s">
        <v>943</v>
      </c>
      <c r="G19" s="20" t="s">
        <v>76</v>
      </c>
      <c r="H19" s="38"/>
      <c r="I19" s="37"/>
      <c r="J19" s="37"/>
      <c r="K19" s="37"/>
      <c r="L19" s="37"/>
      <c r="M19" s="37"/>
      <c r="N19" s="37"/>
      <c r="O19" s="40"/>
      <c r="P19" s="40"/>
      <c r="Q19" s="40"/>
      <c r="R19" s="40"/>
      <c r="S19" s="40"/>
      <c r="T19" s="20"/>
    </row>
    <row r="20" spans="1:20" s="329" customFormat="1" ht="20.149999999999999" customHeight="1">
      <c r="A20" s="323" t="s">
        <v>77</v>
      </c>
      <c r="B20" s="324">
        <v>17</v>
      </c>
      <c r="C20" s="325" t="s">
        <v>78</v>
      </c>
      <c r="D20" s="325" t="s">
        <v>21</v>
      </c>
      <c r="E20" s="325" t="s">
        <v>13</v>
      </c>
      <c r="F20" s="325" t="s">
        <v>79</v>
      </c>
      <c r="G20" s="47" t="s">
        <v>80</v>
      </c>
      <c r="H20" s="331"/>
      <c r="I20" s="326"/>
      <c r="J20" s="326"/>
      <c r="K20" s="326"/>
      <c r="L20" s="330"/>
      <c r="M20" s="330"/>
      <c r="N20" s="330"/>
      <c r="O20" s="330"/>
      <c r="P20" s="330"/>
      <c r="Q20" s="326"/>
      <c r="R20" s="326"/>
      <c r="S20" s="326"/>
      <c r="T20" s="47"/>
    </row>
    <row r="21" spans="1:20" s="29" customFormat="1" ht="20.149999999999999" customHeight="1">
      <c r="A21" s="18" t="s">
        <v>81</v>
      </c>
      <c r="B21" s="35">
        <v>18</v>
      </c>
      <c r="C21" s="36" t="s">
        <v>82</v>
      </c>
      <c r="D21" s="36" t="s">
        <v>83</v>
      </c>
      <c r="E21" s="36" t="s">
        <v>13</v>
      </c>
      <c r="F21" s="36" t="s">
        <v>947</v>
      </c>
      <c r="G21" s="20" t="s">
        <v>84</v>
      </c>
      <c r="H21" s="38"/>
      <c r="I21" s="37"/>
      <c r="J21" s="37"/>
      <c r="K21" s="37"/>
      <c r="L21" s="37"/>
      <c r="M21" s="37"/>
      <c r="N21" s="37"/>
      <c r="O21" s="40"/>
      <c r="P21" s="40"/>
      <c r="Q21" s="40"/>
      <c r="R21" s="40"/>
      <c r="S21" s="40"/>
      <c r="T21" s="20"/>
    </row>
    <row r="22" spans="1:20" s="29" customFormat="1" ht="20.149999999999999" customHeight="1">
      <c r="A22" s="18" t="s">
        <v>85</v>
      </c>
      <c r="B22" s="35">
        <v>20</v>
      </c>
      <c r="C22" s="36" t="s">
        <v>86</v>
      </c>
      <c r="D22" s="36" t="s">
        <v>21</v>
      </c>
      <c r="E22" s="36" t="s">
        <v>13</v>
      </c>
      <c r="F22" s="36" t="s">
        <v>87</v>
      </c>
      <c r="G22" s="20" t="s">
        <v>88</v>
      </c>
      <c r="H22" s="38"/>
      <c r="I22" s="37"/>
      <c r="J22" s="37"/>
      <c r="K22" s="37"/>
      <c r="L22" s="37"/>
      <c r="M22" s="37"/>
      <c r="N22" s="37"/>
      <c r="O22" s="40"/>
      <c r="P22" s="40"/>
      <c r="Q22" s="40"/>
      <c r="R22" s="40"/>
      <c r="S22" s="40"/>
      <c r="T22" s="20"/>
    </row>
    <row r="23" spans="1:20" s="329" customFormat="1" ht="20.149999999999999" customHeight="1">
      <c r="A23" s="323" t="s">
        <v>89</v>
      </c>
      <c r="B23" s="324">
        <v>21</v>
      </c>
      <c r="C23" s="325" t="s">
        <v>90</v>
      </c>
      <c r="D23" s="325" t="s">
        <v>21</v>
      </c>
      <c r="E23" s="325" t="s">
        <v>13</v>
      </c>
      <c r="F23" s="325" t="s">
        <v>91</v>
      </c>
      <c r="G23" s="47" t="s">
        <v>92</v>
      </c>
      <c r="H23" s="331"/>
      <c r="I23" s="326"/>
      <c r="J23" s="326"/>
      <c r="K23" s="326"/>
      <c r="L23" s="326"/>
      <c r="M23" s="326"/>
      <c r="N23" s="326"/>
      <c r="O23" s="326"/>
      <c r="P23" s="326"/>
      <c r="Q23" s="326"/>
      <c r="R23" s="326"/>
      <c r="S23" s="326"/>
      <c r="T23" s="47"/>
    </row>
    <row r="24" spans="1:20" s="328" customFormat="1" ht="20.149999999999999" customHeight="1">
      <c r="A24" s="323" t="s">
        <v>93</v>
      </c>
      <c r="B24" s="324">
        <v>22</v>
      </c>
      <c r="C24" s="325" t="s">
        <v>94</v>
      </c>
      <c r="D24" s="325" t="s">
        <v>21</v>
      </c>
      <c r="E24" s="325" t="s">
        <v>13</v>
      </c>
      <c r="F24" s="325" t="s">
        <v>95</v>
      </c>
      <c r="G24" s="47" t="s">
        <v>96</v>
      </c>
      <c r="H24" s="331"/>
      <c r="I24" s="331"/>
      <c r="J24" s="331"/>
      <c r="K24" s="331"/>
      <c r="L24" s="326"/>
      <c r="M24" s="326"/>
      <c r="N24" s="326"/>
      <c r="O24" s="326"/>
      <c r="P24" s="326"/>
      <c r="Q24" s="326"/>
      <c r="R24" s="326"/>
      <c r="S24" s="326"/>
      <c r="T24" s="46"/>
    </row>
    <row r="25" spans="1:20" s="329" customFormat="1" ht="20.149999999999999" customHeight="1">
      <c r="A25" s="323" t="s">
        <v>97</v>
      </c>
      <c r="B25" s="324">
        <v>25</v>
      </c>
      <c r="C25" s="325" t="s">
        <v>98</v>
      </c>
      <c r="D25" s="325" t="s">
        <v>83</v>
      </c>
      <c r="E25" s="325" t="s">
        <v>13</v>
      </c>
      <c r="F25" s="325" t="s">
        <v>99</v>
      </c>
      <c r="G25" s="47" t="s">
        <v>100</v>
      </c>
      <c r="H25" s="331"/>
      <c r="I25" s="331"/>
      <c r="J25" s="331"/>
      <c r="K25" s="331"/>
      <c r="L25" s="330"/>
      <c r="M25" s="330"/>
      <c r="N25" s="330"/>
      <c r="O25" s="330"/>
      <c r="P25" s="330"/>
      <c r="Q25" s="326"/>
      <c r="R25" s="326"/>
      <c r="S25" s="326"/>
      <c r="T25" s="47"/>
    </row>
    <row r="26" spans="1:20" s="29" customFormat="1" ht="20.149999999999999" customHeight="1">
      <c r="A26" s="18" t="s">
        <v>101</v>
      </c>
      <c r="B26" s="35">
        <v>26</v>
      </c>
      <c r="C26" s="36" t="s">
        <v>102</v>
      </c>
      <c r="D26" s="36" t="s">
        <v>83</v>
      </c>
      <c r="E26" s="36" t="s">
        <v>13</v>
      </c>
      <c r="F26" s="36" t="s">
        <v>944</v>
      </c>
      <c r="G26" s="20" t="s">
        <v>103</v>
      </c>
      <c r="H26" s="38"/>
      <c r="I26" s="38"/>
      <c r="J26" s="38"/>
      <c r="K26" s="38"/>
      <c r="L26" s="42"/>
      <c r="M26" s="42"/>
      <c r="N26" s="42"/>
      <c r="O26" s="43"/>
      <c r="P26" s="43"/>
      <c r="Q26" s="40"/>
      <c r="R26" s="40"/>
      <c r="S26" s="40"/>
      <c r="T26" s="20"/>
    </row>
    <row r="27" spans="1:20" s="328" customFormat="1" ht="20.149999999999999" customHeight="1">
      <c r="A27" s="323" t="s">
        <v>104</v>
      </c>
      <c r="B27" s="324">
        <v>27</v>
      </c>
      <c r="C27" s="325" t="s">
        <v>105</v>
      </c>
      <c r="D27" s="325" t="s">
        <v>83</v>
      </c>
      <c r="E27" s="325" t="s">
        <v>13</v>
      </c>
      <c r="F27" s="325" t="s">
        <v>69</v>
      </c>
      <c r="G27" s="47" t="s">
        <v>106</v>
      </c>
      <c r="H27" s="332"/>
      <c r="I27" s="332"/>
      <c r="J27" s="332"/>
      <c r="K27" s="47"/>
      <c r="L27" s="47"/>
      <c r="M27" s="47"/>
      <c r="N27" s="47"/>
      <c r="O27" s="47"/>
      <c r="P27" s="47"/>
      <c r="Q27" s="47"/>
      <c r="R27" s="47"/>
      <c r="S27" s="46"/>
      <c r="T27" s="46"/>
    </row>
    <row r="28" spans="1:20" ht="20.149999999999999" customHeight="1">
      <c r="A28" s="18" t="s">
        <v>107</v>
      </c>
      <c r="B28" s="35">
        <v>29</v>
      </c>
      <c r="C28" s="36" t="s">
        <v>108</v>
      </c>
      <c r="D28" s="36" t="s">
        <v>83</v>
      </c>
      <c r="E28" s="36" t="s">
        <v>13</v>
      </c>
      <c r="F28" s="36" t="s">
        <v>14</v>
      </c>
      <c r="G28" s="20" t="s">
        <v>110</v>
      </c>
      <c r="H28" s="21"/>
      <c r="I28" s="21"/>
      <c r="J28" s="21"/>
      <c r="K28" s="20"/>
      <c r="L28" s="20"/>
      <c r="M28" s="20"/>
      <c r="N28" s="20"/>
      <c r="O28" s="20"/>
      <c r="P28" s="20"/>
      <c r="Q28" s="20"/>
      <c r="R28" s="20"/>
      <c r="S28" s="25"/>
      <c r="T28" s="25"/>
    </row>
    <row r="29" spans="1:20" ht="20.149999999999999" customHeight="1">
      <c r="A29" s="18" t="s">
        <v>111</v>
      </c>
      <c r="B29" s="35">
        <v>30</v>
      </c>
      <c r="C29" s="36" t="s">
        <v>3330</v>
      </c>
      <c r="D29" s="36" t="s">
        <v>21</v>
      </c>
      <c r="E29" s="36" t="s">
        <v>13</v>
      </c>
      <c r="F29" s="36" t="s">
        <v>113</v>
      </c>
      <c r="G29" s="20" t="s">
        <v>114</v>
      </c>
      <c r="H29" s="21"/>
      <c r="I29" s="21"/>
      <c r="J29" s="21"/>
      <c r="K29" s="20"/>
      <c r="L29" s="20"/>
      <c r="M29" s="20"/>
      <c r="N29" s="20"/>
      <c r="O29" s="20"/>
      <c r="P29" s="20"/>
      <c r="Q29" s="20"/>
      <c r="R29" s="20"/>
      <c r="S29" s="25"/>
      <c r="T29" s="25"/>
    </row>
    <row r="30" spans="1:20" s="328" customFormat="1" ht="20.149999999999999" customHeight="1">
      <c r="A30" s="323" t="s">
        <v>115</v>
      </c>
      <c r="B30" s="333">
        <v>31</v>
      </c>
      <c r="C30" s="334" t="s">
        <v>116</v>
      </c>
      <c r="D30" s="334" t="s">
        <v>21</v>
      </c>
      <c r="E30" s="334" t="s">
        <v>13</v>
      </c>
      <c r="F30" s="334" t="s">
        <v>113</v>
      </c>
      <c r="G30" s="47" t="s">
        <v>117</v>
      </c>
      <c r="H30" s="332"/>
      <c r="I30" s="332"/>
      <c r="J30" s="332"/>
      <c r="K30" s="47"/>
      <c r="L30" s="47"/>
      <c r="M30" s="47"/>
      <c r="N30" s="47"/>
      <c r="O30" s="47"/>
      <c r="P30" s="47"/>
      <c r="Q30" s="47"/>
      <c r="R30" s="47"/>
      <c r="S30" s="46"/>
      <c r="T30" s="46"/>
    </row>
    <row r="31" spans="1:20" ht="20.149999999999999" customHeight="1">
      <c r="A31" s="18" t="s">
        <v>118</v>
      </c>
      <c r="B31" s="26">
        <v>32</v>
      </c>
      <c r="C31" s="27" t="s">
        <v>3331</v>
      </c>
      <c r="D31" s="27" t="s">
        <v>21</v>
      </c>
      <c r="E31" s="27" t="s">
        <v>13</v>
      </c>
      <c r="F31" s="27" t="s">
        <v>40</v>
      </c>
      <c r="G31" s="20" t="s">
        <v>119</v>
      </c>
      <c r="H31" s="21"/>
      <c r="I31" s="21"/>
      <c r="J31" s="21"/>
      <c r="K31" s="20"/>
      <c r="L31" s="20"/>
      <c r="M31" s="20"/>
      <c r="N31" s="20"/>
      <c r="O31" s="20"/>
      <c r="P31" s="20"/>
      <c r="Q31" s="20"/>
      <c r="R31" s="20"/>
      <c r="S31" s="25"/>
      <c r="T31" s="25"/>
    </row>
    <row r="32" spans="1:20" ht="20.149999999999999" customHeight="1">
      <c r="A32" s="18" t="s">
        <v>120</v>
      </c>
      <c r="B32" s="26">
        <v>33</v>
      </c>
      <c r="C32" s="27" t="s">
        <v>2692</v>
      </c>
      <c r="D32" s="27" t="s">
        <v>83</v>
      </c>
      <c r="E32" s="27" t="s">
        <v>13</v>
      </c>
      <c r="F32" s="27" t="s">
        <v>945</v>
      </c>
      <c r="G32" s="20" t="s">
        <v>121</v>
      </c>
      <c r="H32" s="21"/>
      <c r="I32" s="21"/>
      <c r="J32" s="21"/>
      <c r="K32" s="20"/>
      <c r="L32" s="20"/>
      <c r="M32" s="20"/>
      <c r="N32" s="20"/>
      <c r="O32" s="20"/>
      <c r="P32" s="20"/>
      <c r="Q32" s="20"/>
      <c r="R32" s="20"/>
      <c r="S32" s="25"/>
      <c r="T32" s="25"/>
    </row>
    <row r="33" spans="1:20" ht="20.149999999999999" customHeight="1">
      <c r="A33" s="18" t="s">
        <v>122</v>
      </c>
      <c r="B33" s="26">
        <v>34</v>
      </c>
      <c r="C33" s="27" t="s">
        <v>123</v>
      </c>
      <c r="D33" s="27" t="s">
        <v>124</v>
      </c>
      <c r="E33" s="27" t="s">
        <v>13</v>
      </c>
      <c r="F33" s="27" t="s">
        <v>3332</v>
      </c>
      <c r="G33" s="20" t="s">
        <v>125</v>
      </c>
      <c r="H33" s="21"/>
      <c r="I33" s="21"/>
      <c r="J33" s="21"/>
      <c r="K33" s="20"/>
      <c r="L33" s="20"/>
      <c r="M33" s="20"/>
      <c r="N33" s="20"/>
      <c r="O33" s="20"/>
      <c r="P33" s="20"/>
      <c r="Q33" s="20"/>
      <c r="R33" s="20"/>
      <c r="S33" s="25"/>
      <c r="T33" s="25"/>
    </row>
    <row r="34" spans="1:20" ht="20.149999999999999" customHeight="1">
      <c r="A34" s="18" t="s">
        <v>126</v>
      </c>
      <c r="B34" s="26">
        <v>35</v>
      </c>
      <c r="C34" s="27" t="s">
        <v>127</v>
      </c>
      <c r="D34" s="27" t="s">
        <v>124</v>
      </c>
      <c r="E34" s="27" t="s">
        <v>13</v>
      </c>
      <c r="F34" s="27" t="s">
        <v>944</v>
      </c>
      <c r="G34" s="20" t="s">
        <v>128</v>
      </c>
      <c r="H34" s="21"/>
      <c r="I34" s="21"/>
      <c r="J34" s="21"/>
      <c r="K34" s="20"/>
      <c r="L34" s="20"/>
      <c r="M34" s="20"/>
      <c r="N34" s="20"/>
      <c r="O34" s="20"/>
      <c r="P34" s="20"/>
      <c r="Q34" s="20"/>
      <c r="R34" s="20"/>
      <c r="S34" s="25"/>
      <c r="T34" s="25"/>
    </row>
    <row r="35" spans="1:20" s="328" customFormat="1" ht="20.149999999999999" customHeight="1">
      <c r="A35" s="323" t="s">
        <v>129</v>
      </c>
      <c r="B35" s="333">
        <v>36</v>
      </c>
      <c r="C35" s="334" t="s">
        <v>130</v>
      </c>
      <c r="D35" s="334" t="s">
        <v>124</v>
      </c>
      <c r="E35" s="334" t="s">
        <v>13</v>
      </c>
      <c r="F35" s="334" t="s">
        <v>131</v>
      </c>
      <c r="G35" s="47" t="s">
        <v>132</v>
      </c>
      <c r="H35" s="332"/>
      <c r="I35" s="332"/>
      <c r="J35" s="332"/>
      <c r="K35" s="47"/>
      <c r="L35" s="47"/>
      <c r="M35" s="47"/>
      <c r="N35" s="47"/>
      <c r="O35" s="47"/>
      <c r="P35" s="47"/>
      <c r="Q35" s="47"/>
      <c r="R35" s="47"/>
      <c r="S35" s="46"/>
      <c r="T35" s="46"/>
    </row>
    <row r="36" spans="1:20" ht="20.149999999999999" customHeight="1">
      <c r="A36" s="18" t="s">
        <v>133</v>
      </c>
      <c r="B36" s="26">
        <v>37</v>
      </c>
      <c r="C36" s="27" t="s">
        <v>134</v>
      </c>
      <c r="D36" s="27" t="s">
        <v>124</v>
      </c>
      <c r="E36" s="27" t="s">
        <v>13</v>
      </c>
      <c r="F36" s="27" t="s">
        <v>1599</v>
      </c>
      <c r="G36" s="20" t="s">
        <v>135</v>
      </c>
      <c r="H36" s="21"/>
      <c r="I36" s="21"/>
      <c r="J36" s="21"/>
      <c r="K36" s="20"/>
      <c r="L36" s="20"/>
      <c r="M36" s="20"/>
      <c r="N36" s="20"/>
      <c r="O36" s="20"/>
      <c r="P36" s="20"/>
      <c r="Q36" s="20"/>
      <c r="R36" s="20"/>
      <c r="S36" s="25"/>
      <c r="T36" s="25"/>
    </row>
    <row r="37" spans="1:20" s="328" customFormat="1" ht="20.149999999999999" customHeight="1">
      <c r="A37" s="323" t="s">
        <v>136</v>
      </c>
      <c r="B37" s="333">
        <v>38</v>
      </c>
      <c r="C37" s="334" t="s">
        <v>137</v>
      </c>
      <c r="D37" s="334" t="s">
        <v>21</v>
      </c>
      <c r="E37" s="334" t="s">
        <v>13</v>
      </c>
      <c r="F37" s="334" t="s">
        <v>138</v>
      </c>
      <c r="G37" s="47" t="s">
        <v>139</v>
      </c>
      <c r="H37" s="332"/>
      <c r="I37" s="332"/>
      <c r="J37" s="332"/>
      <c r="K37" s="47"/>
      <c r="L37" s="47"/>
      <c r="M37" s="47"/>
      <c r="N37" s="47"/>
      <c r="O37" s="47"/>
      <c r="P37" s="47"/>
      <c r="Q37" s="47"/>
      <c r="R37" s="47"/>
      <c r="S37" s="46"/>
      <c r="T37" s="46"/>
    </row>
    <row r="38" spans="1:20" ht="20.149999999999999" customHeight="1">
      <c r="A38" s="18" t="s">
        <v>140</v>
      </c>
      <c r="B38" s="26">
        <v>39</v>
      </c>
      <c r="C38" s="27" t="s">
        <v>3333</v>
      </c>
      <c r="D38" s="27" t="s">
        <v>141</v>
      </c>
      <c r="E38" s="27" t="s">
        <v>13</v>
      </c>
      <c r="F38" s="27" t="s">
        <v>109</v>
      </c>
      <c r="G38" s="20" t="s">
        <v>142</v>
      </c>
      <c r="H38" s="21"/>
      <c r="I38" s="21"/>
      <c r="J38" s="21"/>
      <c r="K38" s="20"/>
      <c r="L38" s="20"/>
      <c r="M38" s="20"/>
      <c r="N38" s="20"/>
      <c r="O38" s="20"/>
      <c r="P38" s="20"/>
      <c r="Q38" s="20"/>
      <c r="R38" s="20"/>
      <c r="S38" s="25"/>
      <c r="T38" s="25"/>
    </row>
    <row r="39" spans="1:20" s="328" customFormat="1" ht="20.149999999999999" customHeight="1">
      <c r="A39" s="323" t="s">
        <v>143</v>
      </c>
      <c r="B39" s="335">
        <v>198</v>
      </c>
      <c r="C39" s="323" t="s">
        <v>144</v>
      </c>
      <c r="D39" s="323" t="s">
        <v>124</v>
      </c>
      <c r="E39" s="323" t="s">
        <v>13</v>
      </c>
      <c r="F39" s="47" t="s">
        <v>145</v>
      </c>
      <c r="G39" s="47" t="s">
        <v>146</v>
      </c>
      <c r="H39" s="332"/>
      <c r="I39" s="332"/>
      <c r="J39" s="332"/>
      <c r="K39" s="47"/>
      <c r="L39" s="47"/>
      <c r="M39" s="47"/>
      <c r="N39" s="47"/>
      <c r="O39" s="47"/>
      <c r="P39" s="47"/>
      <c r="Q39" s="47"/>
      <c r="R39" s="47"/>
      <c r="S39" s="46"/>
      <c r="T39" s="46"/>
    </row>
    <row r="40" spans="1:20" ht="20.149999999999999" customHeight="1">
      <c r="A40" s="18" t="s">
        <v>147</v>
      </c>
      <c r="B40" s="19">
        <v>199</v>
      </c>
      <c r="C40" s="18" t="s">
        <v>148</v>
      </c>
      <c r="D40" s="18" t="s">
        <v>124</v>
      </c>
      <c r="E40" s="18" t="s">
        <v>13</v>
      </c>
      <c r="F40" s="20" t="s">
        <v>943</v>
      </c>
      <c r="G40" s="20" t="s">
        <v>149</v>
      </c>
      <c r="H40" s="21"/>
      <c r="I40" s="21"/>
      <c r="J40" s="21"/>
      <c r="K40" s="20"/>
      <c r="L40" s="20"/>
      <c r="M40" s="20"/>
      <c r="N40" s="20"/>
      <c r="O40" s="20"/>
      <c r="P40" s="20"/>
      <c r="Q40" s="20"/>
      <c r="R40" s="20"/>
      <c r="S40" s="25"/>
      <c r="T40" s="25"/>
    </row>
    <row r="41" spans="1:20" s="328" customFormat="1" ht="20.149999999999999" customHeight="1">
      <c r="A41" s="323" t="s">
        <v>150</v>
      </c>
      <c r="B41" s="335">
        <v>243</v>
      </c>
      <c r="C41" s="323" t="s">
        <v>151</v>
      </c>
      <c r="D41" s="323" t="s">
        <v>21</v>
      </c>
      <c r="E41" s="323" t="s">
        <v>13</v>
      </c>
      <c r="F41" s="47" t="s">
        <v>152</v>
      </c>
      <c r="G41" s="47" t="s">
        <v>153</v>
      </c>
      <c r="H41" s="332"/>
      <c r="I41" s="332"/>
      <c r="J41" s="332"/>
      <c r="K41" s="47"/>
      <c r="L41" s="47"/>
      <c r="M41" s="47"/>
      <c r="N41" s="47"/>
      <c r="O41" s="47"/>
      <c r="P41" s="47"/>
      <c r="Q41" s="47"/>
      <c r="R41" s="47"/>
      <c r="S41" s="46"/>
      <c r="T41" s="46"/>
    </row>
    <row r="42" spans="1:20" ht="20.149999999999999" customHeight="1">
      <c r="A42" s="18" t="s">
        <v>154</v>
      </c>
      <c r="B42" s="19">
        <v>273</v>
      </c>
      <c r="C42" s="18" t="s">
        <v>155</v>
      </c>
      <c r="D42" s="18" t="s">
        <v>124</v>
      </c>
      <c r="E42" s="18" t="s">
        <v>13</v>
      </c>
      <c r="F42" s="20" t="s">
        <v>949</v>
      </c>
      <c r="G42" s="20" t="s">
        <v>156</v>
      </c>
      <c r="H42" s="21"/>
      <c r="I42" s="21"/>
      <c r="J42" s="21"/>
      <c r="K42" s="20"/>
      <c r="L42" s="20"/>
      <c r="M42" s="20"/>
      <c r="N42" s="20"/>
      <c r="O42" s="20"/>
      <c r="P42" s="20"/>
      <c r="Q42" s="20"/>
      <c r="R42" s="20"/>
      <c r="S42" s="25"/>
      <c r="T42" s="25"/>
    </row>
    <row r="43" spans="1:20" ht="20.149999999999999" customHeight="1">
      <c r="A43" s="18" t="s">
        <v>157</v>
      </c>
      <c r="B43" s="19">
        <v>277</v>
      </c>
      <c r="C43" s="18" t="s">
        <v>158</v>
      </c>
      <c r="D43" s="18" t="s">
        <v>159</v>
      </c>
      <c r="E43" s="18" t="s">
        <v>13</v>
      </c>
      <c r="F43" s="20" t="s">
        <v>14</v>
      </c>
      <c r="G43" s="20" t="s">
        <v>160</v>
      </c>
      <c r="H43" s="21"/>
      <c r="I43" s="21"/>
      <c r="J43" s="21"/>
      <c r="K43" s="20"/>
      <c r="L43" s="20"/>
      <c r="M43" s="20"/>
      <c r="N43" s="20"/>
      <c r="O43" s="20"/>
      <c r="P43" s="20"/>
      <c r="Q43" s="20"/>
      <c r="R43" s="20"/>
      <c r="S43" s="25"/>
      <c r="T43" s="25"/>
    </row>
    <row r="44" spans="1:20" s="328" customFormat="1" ht="20.149999999999999" customHeight="1">
      <c r="A44" s="323" t="s">
        <v>161</v>
      </c>
      <c r="B44" s="335">
        <v>288</v>
      </c>
      <c r="C44" s="323" t="s">
        <v>162</v>
      </c>
      <c r="D44" s="323" t="s">
        <v>83</v>
      </c>
      <c r="E44" s="323" t="s">
        <v>13</v>
      </c>
      <c r="F44" s="47" t="s">
        <v>163</v>
      </c>
      <c r="G44" s="47"/>
      <c r="H44" s="332"/>
      <c r="I44" s="332"/>
      <c r="J44" s="332"/>
      <c r="K44" s="47"/>
      <c r="L44" s="47"/>
      <c r="M44" s="47"/>
      <c r="N44" s="47"/>
      <c r="O44" s="47"/>
      <c r="P44" s="47"/>
      <c r="Q44" s="47"/>
      <c r="R44" s="47"/>
      <c r="S44" s="46"/>
      <c r="T44" s="46"/>
    </row>
    <row r="45" spans="1:20" s="328" customFormat="1" ht="20.149999999999999" customHeight="1">
      <c r="A45" s="323"/>
      <c r="B45" s="335"/>
      <c r="C45" s="323"/>
      <c r="D45" s="323"/>
      <c r="E45" s="323"/>
      <c r="F45" s="47"/>
      <c r="G45" s="47"/>
      <c r="H45" s="332"/>
      <c r="I45" s="332"/>
      <c r="J45" s="332"/>
      <c r="K45" s="47"/>
      <c r="L45" s="47"/>
      <c r="M45" s="47"/>
      <c r="N45" s="47"/>
      <c r="O45" s="47"/>
      <c r="P45" s="47"/>
      <c r="Q45" s="47"/>
      <c r="R45" s="47"/>
      <c r="S45" s="46"/>
      <c r="T45" s="46"/>
    </row>
    <row r="46" spans="1:20" s="328" customFormat="1" ht="20.149999999999999" customHeight="1">
      <c r="A46" s="323"/>
      <c r="B46" s="335"/>
      <c r="C46" s="323"/>
      <c r="D46" s="323"/>
      <c r="E46" s="323"/>
      <c r="F46" s="47"/>
      <c r="G46" s="47"/>
      <c r="H46" s="332"/>
      <c r="I46" s="332"/>
      <c r="J46" s="332"/>
      <c r="K46" s="47"/>
      <c r="L46" s="47"/>
      <c r="M46" s="47"/>
      <c r="N46" s="47"/>
      <c r="O46" s="47"/>
      <c r="P46" s="47"/>
      <c r="Q46" s="47"/>
      <c r="R46" s="47"/>
      <c r="S46" s="46"/>
      <c r="T46" s="46"/>
    </row>
    <row r="47" spans="1:20" s="328" customFormat="1" ht="20.149999999999999" customHeight="1">
      <c r="A47" s="323"/>
      <c r="B47" s="335"/>
      <c r="C47" s="323"/>
      <c r="D47" s="323"/>
      <c r="E47" s="323"/>
      <c r="F47" s="47"/>
      <c r="G47" s="47"/>
      <c r="H47" s="332"/>
      <c r="I47" s="332"/>
      <c r="J47" s="332"/>
      <c r="K47" s="47"/>
      <c r="L47" s="47"/>
      <c r="M47" s="47"/>
      <c r="N47" s="47"/>
      <c r="O47" s="47"/>
      <c r="P47" s="47"/>
      <c r="Q47" s="47"/>
      <c r="R47" s="47"/>
      <c r="S47" s="46"/>
      <c r="T47" s="46"/>
    </row>
    <row r="48" spans="1:20" s="328" customFormat="1" ht="20.149999999999999" customHeight="1">
      <c r="A48" s="323"/>
      <c r="B48" s="335"/>
      <c r="C48" s="323"/>
      <c r="D48" s="323"/>
      <c r="E48" s="323"/>
      <c r="F48" s="47"/>
      <c r="G48" s="47"/>
      <c r="H48" s="332"/>
      <c r="I48" s="332"/>
      <c r="J48" s="332"/>
      <c r="K48" s="47"/>
      <c r="L48" s="47"/>
      <c r="M48" s="47"/>
      <c r="N48" s="47"/>
      <c r="O48" s="47"/>
      <c r="P48" s="47"/>
      <c r="Q48" s="47"/>
      <c r="R48" s="47"/>
      <c r="S48" s="46"/>
      <c r="T48" s="46"/>
    </row>
    <row r="49" spans="1:20" ht="20.149999999999999" customHeight="1">
      <c r="A49" s="18" t="s">
        <v>164</v>
      </c>
      <c r="B49" s="26">
        <v>40</v>
      </c>
      <c r="C49" s="27" t="s">
        <v>165</v>
      </c>
      <c r="D49" s="27" t="s">
        <v>21</v>
      </c>
      <c r="E49" s="27" t="s">
        <v>166</v>
      </c>
      <c r="F49" s="27" t="s">
        <v>167</v>
      </c>
      <c r="G49" s="20" t="s">
        <v>168</v>
      </c>
      <c r="H49" s="21"/>
      <c r="I49" s="21"/>
      <c r="J49" s="21"/>
      <c r="K49" s="20"/>
      <c r="L49" s="20"/>
      <c r="M49" s="20"/>
      <c r="N49" s="20"/>
      <c r="O49" s="20"/>
      <c r="P49" s="20"/>
      <c r="Q49" s="20"/>
      <c r="R49" s="20"/>
      <c r="S49" s="25"/>
      <c r="T49" s="25"/>
    </row>
    <row r="50" spans="1:20" ht="20.149999999999999" customHeight="1">
      <c r="A50" s="18" t="s">
        <v>169</v>
      </c>
      <c r="B50" s="26">
        <v>41</v>
      </c>
      <c r="C50" s="27" t="s">
        <v>170</v>
      </c>
      <c r="D50" s="27" t="s">
        <v>21</v>
      </c>
      <c r="E50" s="27" t="s">
        <v>166</v>
      </c>
      <c r="F50" s="27" t="s">
        <v>171</v>
      </c>
      <c r="G50" s="20" t="s">
        <v>172</v>
      </c>
      <c r="H50" s="21"/>
      <c r="I50" s="21"/>
      <c r="J50" s="21"/>
      <c r="K50" s="20"/>
      <c r="L50" s="20"/>
      <c r="M50" s="20"/>
      <c r="N50" s="20"/>
      <c r="O50" s="20"/>
      <c r="P50" s="20"/>
      <c r="Q50" s="20"/>
      <c r="R50" s="20"/>
      <c r="S50" s="25"/>
      <c r="T50" s="25"/>
    </row>
    <row r="51" spans="1:20" ht="20.149999999999999" customHeight="1">
      <c r="A51" s="18" t="s">
        <v>173</v>
      </c>
      <c r="B51" s="26">
        <v>42</v>
      </c>
      <c r="C51" s="27" t="s">
        <v>174</v>
      </c>
      <c r="D51" s="27" t="s">
        <v>21</v>
      </c>
      <c r="E51" s="27" t="s">
        <v>166</v>
      </c>
      <c r="F51" s="27" t="s">
        <v>175</v>
      </c>
      <c r="G51" s="20" t="s">
        <v>176</v>
      </c>
      <c r="H51" s="21"/>
      <c r="I51" s="21"/>
      <c r="J51" s="21"/>
      <c r="K51" s="20"/>
      <c r="L51" s="20"/>
      <c r="M51" s="20"/>
      <c r="N51" s="20"/>
      <c r="O51" s="20"/>
      <c r="P51" s="20"/>
      <c r="Q51" s="20"/>
      <c r="R51" s="20"/>
      <c r="S51" s="25"/>
      <c r="T51" s="25"/>
    </row>
    <row r="52" spans="1:20" ht="20.149999999999999" customHeight="1">
      <c r="A52" s="18" t="s">
        <v>177</v>
      </c>
      <c r="B52" s="26">
        <v>43</v>
      </c>
      <c r="C52" s="27" t="s">
        <v>178</v>
      </c>
      <c r="D52" s="27" t="s">
        <v>21</v>
      </c>
      <c r="E52" s="27" t="s">
        <v>166</v>
      </c>
      <c r="F52" s="27" t="s">
        <v>171</v>
      </c>
      <c r="G52" s="20" t="s">
        <v>179</v>
      </c>
      <c r="H52" s="21"/>
      <c r="I52" s="21"/>
      <c r="J52" s="21"/>
      <c r="K52" s="20"/>
      <c r="L52" s="20"/>
      <c r="M52" s="20"/>
      <c r="N52" s="20"/>
      <c r="O52" s="20"/>
      <c r="P52" s="20"/>
      <c r="Q52" s="20"/>
      <c r="R52" s="20"/>
      <c r="S52" s="25"/>
      <c r="T52" s="25"/>
    </row>
    <row r="53" spans="1:20" ht="20.149999999999999" customHeight="1">
      <c r="A53" s="18" t="s">
        <v>180</v>
      </c>
      <c r="B53" s="26">
        <v>44</v>
      </c>
      <c r="C53" s="27" t="s">
        <v>181</v>
      </c>
      <c r="D53" s="27" t="s">
        <v>21</v>
      </c>
      <c r="E53" s="27" t="s">
        <v>166</v>
      </c>
      <c r="F53" s="27" t="s">
        <v>182</v>
      </c>
      <c r="G53" s="20" t="s">
        <v>183</v>
      </c>
      <c r="H53" s="21"/>
      <c r="I53" s="21"/>
      <c r="J53" s="21"/>
      <c r="K53" s="20"/>
      <c r="L53" s="20"/>
      <c r="M53" s="20"/>
      <c r="N53" s="20"/>
      <c r="O53" s="20"/>
      <c r="P53" s="20"/>
      <c r="Q53" s="20"/>
      <c r="R53" s="20"/>
      <c r="S53" s="25"/>
      <c r="T53" s="25"/>
    </row>
    <row r="54" spans="1:20" ht="20.149999999999999" customHeight="1">
      <c r="A54" s="18" t="s">
        <v>184</v>
      </c>
      <c r="B54" s="26">
        <v>45</v>
      </c>
      <c r="C54" s="27" t="s">
        <v>185</v>
      </c>
      <c r="D54" s="27" t="s">
        <v>21</v>
      </c>
      <c r="E54" s="27" t="s">
        <v>166</v>
      </c>
      <c r="F54" s="27" t="s">
        <v>186</v>
      </c>
      <c r="G54" s="20" t="s">
        <v>187</v>
      </c>
      <c r="H54" s="21"/>
      <c r="I54" s="21"/>
      <c r="J54" s="21"/>
      <c r="K54" s="20"/>
      <c r="L54" s="20"/>
      <c r="M54" s="20"/>
      <c r="N54" s="20"/>
      <c r="O54" s="20"/>
      <c r="P54" s="20"/>
      <c r="Q54" s="20"/>
      <c r="R54" s="20"/>
      <c r="S54" s="25"/>
      <c r="T54" s="25"/>
    </row>
    <row r="55" spans="1:20" ht="20.149999999999999" customHeight="1">
      <c r="A55" s="18" t="s">
        <v>188</v>
      </c>
      <c r="B55" s="26">
        <v>46</v>
      </c>
      <c r="C55" s="27" t="s">
        <v>189</v>
      </c>
      <c r="D55" s="27" t="s">
        <v>21</v>
      </c>
      <c r="E55" s="27" t="s">
        <v>166</v>
      </c>
      <c r="F55" s="27" t="s">
        <v>167</v>
      </c>
      <c r="G55" s="20" t="s">
        <v>190</v>
      </c>
      <c r="H55" s="21"/>
      <c r="I55" s="21"/>
      <c r="J55" s="21"/>
      <c r="K55" s="20"/>
      <c r="L55" s="20"/>
      <c r="M55" s="20"/>
      <c r="N55" s="20"/>
      <c r="O55" s="20"/>
      <c r="P55" s="20"/>
      <c r="Q55" s="20"/>
      <c r="R55" s="20"/>
      <c r="S55" s="25"/>
      <c r="T55" s="25"/>
    </row>
    <row r="56" spans="1:20" ht="20.149999999999999" customHeight="1">
      <c r="A56" s="18" t="s">
        <v>191</v>
      </c>
      <c r="B56" s="26">
        <v>49</v>
      </c>
      <c r="C56" s="27" t="s">
        <v>192</v>
      </c>
      <c r="D56" s="27" t="s">
        <v>21</v>
      </c>
      <c r="E56" s="27" t="s">
        <v>166</v>
      </c>
      <c r="F56" s="27" t="s">
        <v>171</v>
      </c>
      <c r="G56" s="20" t="s">
        <v>193</v>
      </c>
      <c r="H56" s="21"/>
      <c r="I56" s="21"/>
      <c r="J56" s="21"/>
      <c r="K56" s="20"/>
      <c r="L56" s="20"/>
      <c r="M56" s="20"/>
      <c r="N56" s="20"/>
      <c r="O56" s="20"/>
      <c r="P56" s="20"/>
      <c r="Q56" s="20"/>
      <c r="R56" s="20"/>
      <c r="S56" s="25"/>
      <c r="T56" s="25"/>
    </row>
    <row r="57" spans="1:20" ht="20.149999999999999" customHeight="1">
      <c r="A57" s="18" t="s">
        <v>194</v>
      </c>
      <c r="B57" s="19">
        <v>50</v>
      </c>
      <c r="C57" s="18" t="s">
        <v>195</v>
      </c>
      <c r="D57" s="18" t="s">
        <v>21</v>
      </c>
      <c r="E57" s="18" t="s">
        <v>166</v>
      </c>
      <c r="F57" s="27" t="s">
        <v>167</v>
      </c>
      <c r="G57" s="20" t="s">
        <v>196</v>
      </c>
      <c r="H57" s="21"/>
      <c r="I57" s="21"/>
      <c r="J57" s="21"/>
      <c r="K57" s="21"/>
      <c r="L57" s="21"/>
      <c r="M57" s="21"/>
      <c r="N57" s="21"/>
      <c r="O57" s="21"/>
      <c r="P57" s="21"/>
      <c r="Q57" s="21"/>
      <c r="R57" s="21"/>
      <c r="S57" s="21"/>
      <c r="T57" s="25"/>
    </row>
    <row r="58" spans="1:20" ht="20.149999999999999" customHeight="1">
      <c r="A58" s="18" t="s">
        <v>197</v>
      </c>
      <c r="B58" s="19">
        <v>51</v>
      </c>
      <c r="C58" s="18" t="s">
        <v>198</v>
      </c>
      <c r="D58" s="18" t="s">
        <v>21</v>
      </c>
      <c r="E58" s="18" t="s">
        <v>166</v>
      </c>
      <c r="F58" s="27" t="s">
        <v>199</v>
      </c>
      <c r="G58" s="20" t="s">
        <v>200</v>
      </c>
      <c r="H58" s="21"/>
      <c r="I58" s="21"/>
      <c r="J58" s="21"/>
      <c r="K58" s="21"/>
      <c r="L58" s="21"/>
      <c r="M58" s="21"/>
      <c r="N58" s="21"/>
      <c r="O58" s="21"/>
      <c r="P58" s="21"/>
      <c r="Q58" s="21"/>
      <c r="R58" s="21"/>
      <c r="S58" s="21"/>
      <c r="T58" s="25"/>
    </row>
    <row r="59" spans="1:20" ht="20.149999999999999" customHeight="1">
      <c r="A59" s="18" t="s">
        <v>201</v>
      </c>
      <c r="B59" s="19">
        <v>52</v>
      </c>
      <c r="C59" s="18" t="s">
        <v>202</v>
      </c>
      <c r="D59" s="18" t="s">
        <v>21</v>
      </c>
      <c r="E59" s="18" t="s">
        <v>166</v>
      </c>
      <c r="F59" s="27" t="s">
        <v>171</v>
      </c>
      <c r="G59" s="20" t="s">
        <v>203</v>
      </c>
      <c r="H59" s="21"/>
      <c r="I59" s="21"/>
      <c r="J59" s="21"/>
      <c r="K59" s="21"/>
      <c r="L59" s="21"/>
      <c r="M59" s="21"/>
      <c r="N59" s="21"/>
      <c r="O59" s="21"/>
      <c r="P59" s="21"/>
      <c r="Q59" s="21"/>
      <c r="R59" s="21"/>
      <c r="S59" s="21"/>
      <c r="T59" s="25"/>
    </row>
    <row r="60" spans="1:20" ht="20.149999999999999" customHeight="1">
      <c r="A60" s="18" t="s">
        <v>204</v>
      </c>
      <c r="B60" s="19">
        <v>53</v>
      </c>
      <c r="C60" s="18" t="s">
        <v>205</v>
      </c>
      <c r="D60" s="18" t="s">
        <v>21</v>
      </c>
      <c r="E60" s="18" t="s">
        <v>166</v>
      </c>
      <c r="F60" s="20" t="s">
        <v>206</v>
      </c>
      <c r="G60" s="20" t="s">
        <v>207</v>
      </c>
      <c r="H60" s="21"/>
      <c r="I60" s="21"/>
      <c r="J60" s="21"/>
      <c r="K60" s="20"/>
      <c r="L60" s="20"/>
      <c r="M60" s="20"/>
      <c r="N60" s="20"/>
      <c r="O60" s="20"/>
      <c r="P60" s="20"/>
      <c r="Q60" s="20"/>
      <c r="R60" s="20"/>
      <c r="S60" s="25"/>
      <c r="T60" s="25"/>
    </row>
    <row r="61" spans="1:20" ht="20.149999999999999" customHeight="1">
      <c r="A61" s="18" t="s">
        <v>208</v>
      </c>
      <c r="B61" s="19">
        <v>54</v>
      </c>
      <c r="C61" s="18" t="s">
        <v>209</v>
      </c>
      <c r="D61" s="18" t="s">
        <v>21</v>
      </c>
      <c r="E61" s="18" t="s">
        <v>166</v>
      </c>
      <c r="F61" s="20" t="s">
        <v>210</v>
      </c>
      <c r="G61" s="20" t="s">
        <v>211</v>
      </c>
      <c r="H61" s="21"/>
      <c r="I61" s="21"/>
      <c r="J61" s="21"/>
      <c r="K61" s="20"/>
      <c r="L61" s="20"/>
      <c r="M61" s="20"/>
      <c r="N61" s="20"/>
      <c r="O61" s="20"/>
      <c r="P61" s="20"/>
      <c r="Q61" s="20"/>
      <c r="R61" s="20"/>
      <c r="S61" s="25"/>
      <c r="T61" s="25"/>
    </row>
    <row r="62" spans="1:20" ht="20.149999999999999" customHeight="1">
      <c r="A62" s="18" t="s">
        <v>212</v>
      </c>
      <c r="B62" s="19">
        <v>55</v>
      </c>
      <c r="C62" s="18" t="s">
        <v>213</v>
      </c>
      <c r="D62" s="18" t="s">
        <v>21</v>
      </c>
      <c r="E62" s="18" t="s">
        <v>166</v>
      </c>
      <c r="F62" s="20" t="s">
        <v>167</v>
      </c>
      <c r="G62" s="20" t="s">
        <v>214</v>
      </c>
      <c r="H62" s="21"/>
      <c r="I62" s="21"/>
      <c r="J62" s="21"/>
      <c r="K62" s="20"/>
      <c r="L62" s="20"/>
      <c r="M62" s="20"/>
      <c r="N62" s="20"/>
      <c r="O62" s="20"/>
      <c r="P62" s="20"/>
      <c r="Q62" s="20"/>
      <c r="R62" s="20"/>
      <c r="S62" s="25"/>
      <c r="T62" s="25"/>
    </row>
    <row r="63" spans="1:20" ht="20.149999999999999" customHeight="1">
      <c r="A63" s="18" t="s">
        <v>215</v>
      </c>
      <c r="B63" s="19">
        <v>56</v>
      </c>
      <c r="C63" s="18" t="s">
        <v>216</v>
      </c>
      <c r="D63" s="18" t="s">
        <v>21</v>
      </c>
      <c r="E63" s="18" t="s">
        <v>166</v>
      </c>
      <c r="F63" s="20" t="s">
        <v>217</v>
      </c>
      <c r="G63" s="20" t="s">
        <v>218</v>
      </c>
      <c r="H63" s="21"/>
      <c r="I63" s="21"/>
      <c r="J63" s="21"/>
      <c r="K63" s="20"/>
      <c r="L63" s="20"/>
      <c r="M63" s="20"/>
      <c r="N63" s="20"/>
      <c r="O63" s="20"/>
      <c r="P63" s="20"/>
      <c r="Q63" s="20"/>
      <c r="R63" s="20"/>
      <c r="S63" s="25"/>
      <c r="T63" s="25"/>
    </row>
    <row r="64" spans="1:20" ht="20.149999999999999" customHeight="1">
      <c r="A64" s="18" t="s">
        <v>219</v>
      </c>
      <c r="B64" s="19">
        <v>57</v>
      </c>
      <c r="C64" s="18" t="s">
        <v>220</v>
      </c>
      <c r="D64" s="18" t="s">
        <v>21</v>
      </c>
      <c r="E64" s="18" t="s">
        <v>166</v>
      </c>
      <c r="F64" s="20" t="s">
        <v>167</v>
      </c>
      <c r="G64" s="20" t="s">
        <v>221</v>
      </c>
      <c r="H64" s="21"/>
      <c r="I64" s="21"/>
      <c r="J64" s="21"/>
      <c r="K64" s="20"/>
      <c r="L64" s="20"/>
      <c r="M64" s="20"/>
      <c r="N64" s="20"/>
      <c r="O64" s="20"/>
      <c r="P64" s="20"/>
      <c r="Q64" s="20"/>
      <c r="R64" s="20"/>
      <c r="S64" s="25"/>
      <c r="T64" s="25"/>
    </row>
    <row r="65" spans="1:20" ht="20.149999999999999" customHeight="1">
      <c r="A65" s="18" t="s">
        <v>222</v>
      </c>
      <c r="B65" s="19">
        <v>58</v>
      </c>
      <c r="C65" s="18" t="s">
        <v>223</v>
      </c>
      <c r="D65" s="18" t="s">
        <v>21</v>
      </c>
      <c r="E65" s="18" t="s">
        <v>166</v>
      </c>
      <c r="F65" s="20" t="s">
        <v>206</v>
      </c>
      <c r="G65" s="20" t="s">
        <v>224</v>
      </c>
      <c r="H65" s="21"/>
      <c r="I65" s="21"/>
      <c r="J65" s="21"/>
      <c r="K65" s="20"/>
      <c r="L65" s="20"/>
      <c r="M65" s="20"/>
      <c r="N65" s="20"/>
      <c r="O65" s="20"/>
      <c r="P65" s="20"/>
      <c r="Q65" s="20"/>
      <c r="R65" s="20"/>
      <c r="S65" s="25"/>
      <c r="T65" s="25"/>
    </row>
    <row r="66" spans="1:20" ht="20.149999999999999" customHeight="1">
      <c r="A66" s="18" t="s">
        <v>225</v>
      </c>
      <c r="B66" s="19">
        <v>59</v>
      </c>
      <c r="C66" s="18" t="s">
        <v>226</v>
      </c>
      <c r="D66" s="18" t="s">
        <v>21</v>
      </c>
      <c r="E66" s="18" t="s">
        <v>166</v>
      </c>
      <c r="F66" s="20" t="s">
        <v>227</v>
      </c>
      <c r="G66" s="20" t="s">
        <v>228</v>
      </c>
      <c r="H66" s="21"/>
      <c r="I66" s="21"/>
      <c r="J66" s="21"/>
      <c r="K66" s="20"/>
      <c r="L66" s="20"/>
      <c r="M66" s="20"/>
      <c r="N66" s="20"/>
      <c r="O66" s="20"/>
      <c r="P66" s="20"/>
      <c r="Q66" s="20"/>
      <c r="R66" s="20"/>
      <c r="S66" s="25"/>
      <c r="T66" s="25"/>
    </row>
    <row r="67" spans="1:20" ht="20.149999999999999" customHeight="1">
      <c r="A67" s="18" t="s">
        <v>229</v>
      </c>
      <c r="B67" s="19">
        <v>60</v>
      </c>
      <c r="C67" s="18" t="s">
        <v>230</v>
      </c>
      <c r="D67" s="18" t="s">
        <v>21</v>
      </c>
      <c r="E67" s="18" t="s">
        <v>166</v>
      </c>
      <c r="F67" s="20" t="s">
        <v>231</v>
      </c>
      <c r="G67" s="20" t="s">
        <v>232</v>
      </c>
      <c r="H67" s="21"/>
      <c r="I67" s="21"/>
      <c r="J67" s="21"/>
      <c r="K67" s="20"/>
      <c r="L67" s="20"/>
      <c r="M67" s="20"/>
      <c r="N67" s="20"/>
      <c r="O67" s="20"/>
      <c r="P67" s="20"/>
      <c r="Q67" s="20"/>
      <c r="R67" s="20"/>
      <c r="S67" s="25"/>
      <c r="T67" s="25"/>
    </row>
    <row r="68" spans="1:20" ht="20.149999999999999" customHeight="1">
      <c r="A68" s="18" t="s">
        <v>233</v>
      </c>
      <c r="B68" s="19">
        <v>61</v>
      </c>
      <c r="C68" s="18" t="s">
        <v>234</v>
      </c>
      <c r="D68" s="18" t="s">
        <v>21</v>
      </c>
      <c r="E68" s="18" t="s">
        <v>166</v>
      </c>
      <c r="F68" s="20" t="s">
        <v>235</v>
      </c>
      <c r="G68" s="20" t="s">
        <v>236</v>
      </c>
      <c r="H68" s="21"/>
      <c r="I68" s="21"/>
      <c r="J68" s="21"/>
      <c r="K68" s="20"/>
      <c r="L68" s="20"/>
      <c r="M68" s="20"/>
      <c r="N68" s="20"/>
      <c r="O68" s="20"/>
      <c r="P68" s="20"/>
      <c r="Q68" s="20"/>
      <c r="R68" s="20"/>
      <c r="S68" s="25"/>
      <c r="T68" s="25"/>
    </row>
    <row r="69" spans="1:20" ht="20.149999999999999" customHeight="1">
      <c r="A69" s="18" t="s">
        <v>237</v>
      </c>
      <c r="B69" s="19">
        <v>62</v>
      </c>
      <c r="C69" s="18" t="s">
        <v>238</v>
      </c>
      <c r="D69" s="18" t="s">
        <v>21</v>
      </c>
      <c r="E69" s="18" t="s">
        <v>166</v>
      </c>
      <c r="F69" s="20" t="s">
        <v>239</v>
      </c>
      <c r="G69" s="20" t="s">
        <v>240</v>
      </c>
      <c r="H69" s="21"/>
      <c r="I69" s="21"/>
      <c r="J69" s="21"/>
      <c r="K69" s="20"/>
      <c r="L69" s="20"/>
      <c r="M69" s="20"/>
      <c r="N69" s="20"/>
      <c r="O69" s="20"/>
      <c r="P69" s="20"/>
      <c r="Q69" s="20"/>
      <c r="R69" s="20"/>
      <c r="S69" s="25"/>
      <c r="T69" s="25"/>
    </row>
    <row r="70" spans="1:20" ht="20.149999999999999" customHeight="1">
      <c r="A70" s="18" t="s">
        <v>241</v>
      </c>
      <c r="B70" s="19">
        <v>63</v>
      </c>
      <c r="C70" s="18" t="s">
        <v>242</v>
      </c>
      <c r="D70" s="18" t="s">
        <v>21</v>
      </c>
      <c r="E70" s="18" t="s">
        <v>166</v>
      </c>
      <c r="F70" s="20" t="s">
        <v>167</v>
      </c>
      <c r="G70" s="20" t="s">
        <v>243</v>
      </c>
      <c r="H70" s="21"/>
      <c r="I70" s="21"/>
      <c r="J70" s="21"/>
      <c r="K70" s="20"/>
      <c r="L70" s="20"/>
      <c r="M70" s="20"/>
      <c r="N70" s="20"/>
      <c r="O70" s="20"/>
      <c r="P70" s="20"/>
      <c r="Q70" s="20"/>
      <c r="R70" s="20"/>
      <c r="S70" s="25"/>
      <c r="T70" s="25"/>
    </row>
    <row r="71" spans="1:20" ht="20.149999999999999" customHeight="1">
      <c r="A71" s="18" t="s">
        <v>244</v>
      </c>
      <c r="B71" s="19">
        <v>64</v>
      </c>
      <c r="C71" s="18" t="s">
        <v>245</v>
      </c>
      <c r="D71" s="18" t="s">
        <v>21</v>
      </c>
      <c r="E71" s="18" t="s">
        <v>166</v>
      </c>
      <c r="F71" s="20" t="s">
        <v>246</v>
      </c>
      <c r="G71" s="20" t="s">
        <v>247</v>
      </c>
      <c r="H71" s="21"/>
      <c r="I71" s="21"/>
      <c r="J71" s="21"/>
      <c r="K71" s="20"/>
      <c r="L71" s="20"/>
      <c r="M71" s="20"/>
      <c r="N71" s="20"/>
      <c r="O71" s="20"/>
      <c r="P71" s="20"/>
      <c r="Q71" s="20"/>
      <c r="R71" s="20"/>
      <c r="S71" s="25"/>
      <c r="T71" s="25"/>
    </row>
    <row r="72" spans="1:20" ht="20.149999999999999" customHeight="1">
      <c r="A72" s="18" t="s">
        <v>248</v>
      </c>
      <c r="B72" s="19">
        <v>65</v>
      </c>
      <c r="C72" s="18" t="s">
        <v>249</v>
      </c>
      <c r="D72" s="18" t="s">
        <v>21</v>
      </c>
      <c r="E72" s="18" t="s">
        <v>166</v>
      </c>
      <c r="F72" s="20" t="s">
        <v>250</v>
      </c>
      <c r="G72" s="20" t="s">
        <v>251</v>
      </c>
      <c r="H72" s="21"/>
      <c r="I72" s="21"/>
      <c r="J72" s="21"/>
      <c r="K72" s="20"/>
      <c r="L72" s="20"/>
      <c r="M72" s="20"/>
      <c r="N72" s="20"/>
      <c r="O72" s="20"/>
      <c r="P72" s="20"/>
      <c r="Q72" s="20"/>
      <c r="R72" s="20"/>
      <c r="S72" s="25"/>
      <c r="T72" s="25"/>
    </row>
    <row r="73" spans="1:20" ht="20.149999999999999" customHeight="1">
      <c r="A73" s="18" t="s">
        <v>252</v>
      </c>
      <c r="B73" s="19">
        <v>66</v>
      </c>
      <c r="C73" s="18" t="s">
        <v>253</v>
      </c>
      <c r="D73" s="18" t="s">
        <v>21</v>
      </c>
      <c r="E73" s="18" t="s">
        <v>166</v>
      </c>
      <c r="F73" s="20" t="s">
        <v>254</v>
      </c>
      <c r="G73" s="20" t="s">
        <v>255</v>
      </c>
      <c r="H73" s="21"/>
      <c r="I73" s="21"/>
      <c r="J73" s="21"/>
      <c r="K73" s="20"/>
      <c r="L73" s="20"/>
      <c r="M73" s="20"/>
      <c r="N73" s="20"/>
      <c r="O73" s="20"/>
      <c r="P73" s="20"/>
      <c r="Q73" s="20"/>
      <c r="R73" s="20"/>
      <c r="S73" s="25"/>
      <c r="T73" s="25"/>
    </row>
    <row r="74" spans="1:20" ht="20.149999999999999" customHeight="1">
      <c r="A74" s="18" t="s">
        <v>256</v>
      </c>
      <c r="B74" s="19">
        <v>67</v>
      </c>
      <c r="C74" s="18" t="s">
        <v>257</v>
      </c>
      <c r="D74" s="18" t="s">
        <v>21</v>
      </c>
      <c r="E74" s="18" t="s">
        <v>166</v>
      </c>
      <c r="F74" s="20" t="s">
        <v>258</v>
      </c>
      <c r="G74" s="20" t="s">
        <v>259</v>
      </c>
      <c r="H74" s="21"/>
      <c r="I74" s="21"/>
      <c r="J74" s="21"/>
      <c r="K74" s="20"/>
      <c r="L74" s="20"/>
      <c r="M74" s="20"/>
      <c r="N74" s="20"/>
      <c r="O74" s="20"/>
      <c r="P74" s="20"/>
      <c r="Q74" s="20"/>
      <c r="R74" s="20"/>
      <c r="S74" s="25"/>
      <c r="T74" s="25"/>
    </row>
    <row r="75" spans="1:20" ht="20.149999999999999" customHeight="1">
      <c r="A75" s="18" t="s">
        <v>260</v>
      </c>
      <c r="B75" s="19">
        <v>68</v>
      </c>
      <c r="C75" s="18" t="s">
        <v>261</v>
      </c>
      <c r="D75" s="18" t="s">
        <v>21</v>
      </c>
      <c r="E75" s="18" t="s">
        <v>166</v>
      </c>
      <c r="F75" s="20" t="s">
        <v>262</v>
      </c>
      <c r="G75" s="20" t="s">
        <v>263</v>
      </c>
      <c r="H75" s="21"/>
      <c r="I75" s="21"/>
      <c r="J75" s="21"/>
      <c r="K75" s="20"/>
      <c r="L75" s="20"/>
      <c r="M75" s="20"/>
      <c r="N75" s="20"/>
      <c r="O75" s="20"/>
      <c r="P75" s="20"/>
      <c r="Q75" s="20"/>
      <c r="R75" s="20"/>
      <c r="S75" s="25"/>
      <c r="T75" s="25"/>
    </row>
    <row r="76" spans="1:20" ht="20.149999999999999" customHeight="1">
      <c r="A76" s="18" t="s">
        <v>264</v>
      </c>
      <c r="B76" s="19">
        <v>69</v>
      </c>
      <c r="C76" s="18" t="s">
        <v>265</v>
      </c>
      <c r="D76" s="18" t="s">
        <v>21</v>
      </c>
      <c r="E76" s="18" t="s">
        <v>166</v>
      </c>
      <c r="F76" s="20" t="s">
        <v>266</v>
      </c>
      <c r="G76" s="20" t="s">
        <v>267</v>
      </c>
      <c r="H76" s="21"/>
      <c r="I76" s="21"/>
      <c r="J76" s="21"/>
      <c r="K76" s="20"/>
      <c r="L76" s="20"/>
      <c r="M76" s="20"/>
      <c r="N76" s="20"/>
      <c r="O76" s="20"/>
      <c r="P76" s="20"/>
      <c r="Q76" s="20"/>
      <c r="R76" s="20"/>
      <c r="S76" s="25"/>
      <c r="T76" s="25"/>
    </row>
    <row r="77" spans="1:20" ht="20.149999999999999" customHeight="1">
      <c r="A77" s="18" t="s">
        <v>268</v>
      </c>
      <c r="B77" s="19">
        <v>70</v>
      </c>
      <c r="C77" s="18" t="s">
        <v>269</v>
      </c>
      <c r="D77" s="18" t="s">
        <v>21</v>
      </c>
      <c r="E77" s="18" t="s">
        <v>166</v>
      </c>
      <c r="F77" s="20" t="s">
        <v>270</v>
      </c>
      <c r="G77" s="20" t="s">
        <v>271</v>
      </c>
      <c r="H77" s="21"/>
      <c r="I77" s="21"/>
      <c r="J77" s="21"/>
      <c r="K77" s="20"/>
      <c r="L77" s="20"/>
      <c r="M77" s="20"/>
      <c r="N77" s="20"/>
      <c r="O77" s="20"/>
      <c r="P77" s="20"/>
      <c r="Q77" s="20"/>
      <c r="R77" s="20"/>
      <c r="S77" s="25"/>
      <c r="T77" s="25"/>
    </row>
    <row r="78" spans="1:20" ht="20.149999999999999" customHeight="1">
      <c r="A78" s="18" t="s">
        <v>272</v>
      </c>
      <c r="B78" s="19">
        <v>71</v>
      </c>
      <c r="C78" s="18" t="s">
        <v>273</v>
      </c>
      <c r="D78" s="18" t="s">
        <v>21</v>
      </c>
      <c r="E78" s="18" t="s">
        <v>166</v>
      </c>
      <c r="F78" s="20" t="s">
        <v>274</v>
      </c>
      <c r="G78" s="20" t="s">
        <v>275</v>
      </c>
      <c r="H78" s="21"/>
      <c r="I78" s="21"/>
      <c r="J78" s="21"/>
      <c r="K78" s="20"/>
      <c r="L78" s="20"/>
      <c r="M78" s="20"/>
      <c r="N78" s="20"/>
      <c r="O78" s="20"/>
      <c r="P78" s="20"/>
      <c r="Q78" s="20"/>
      <c r="R78" s="20"/>
      <c r="S78" s="25"/>
      <c r="T78" s="25"/>
    </row>
    <row r="79" spans="1:20" ht="20.149999999999999" customHeight="1">
      <c r="A79" s="18" t="s">
        <v>276</v>
      </c>
      <c r="B79" s="19">
        <v>72</v>
      </c>
      <c r="C79" s="18" t="s">
        <v>277</v>
      </c>
      <c r="D79" s="18" t="s">
        <v>21</v>
      </c>
      <c r="E79" s="18" t="s">
        <v>166</v>
      </c>
      <c r="F79" s="20" t="s">
        <v>278</v>
      </c>
      <c r="G79" s="20" t="s">
        <v>279</v>
      </c>
      <c r="H79" s="21"/>
      <c r="I79" s="21"/>
      <c r="J79" s="21"/>
      <c r="K79" s="20"/>
      <c r="L79" s="20"/>
      <c r="M79" s="20"/>
      <c r="N79" s="20"/>
      <c r="O79" s="20"/>
      <c r="P79" s="20"/>
      <c r="Q79" s="20"/>
      <c r="R79" s="20"/>
      <c r="S79" s="25"/>
      <c r="T79" s="25"/>
    </row>
    <row r="80" spans="1:20" ht="20.149999999999999" customHeight="1">
      <c r="A80" s="18" t="s">
        <v>280</v>
      </c>
      <c r="B80" s="19">
        <v>73</v>
      </c>
      <c r="C80" s="18" t="s">
        <v>281</v>
      </c>
      <c r="D80" s="18" t="s">
        <v>21</v>
      </c>
      <c r="E80" s="18" t="s">
        <v>166</v>
      </c>
      <c r="F80" s="20" t="s">
        <v>282</v>
      </c>
      <c r="G80" s="20" t="s">
        <v>283</v>
      </c>
      <c r="H80" s="21"/>
      <c r="I80" s="21"/>
      <c r="J80" s="21"/>
      <c r="K80" s="20"/>
      <c r="L80" s="20"/>
      <c r="M80" s="20"/>
      <c r="N80" s="20"/>
      <c r="O80" s="20"/>
      <c r="P80" s="20"/>
      <c r="Q80" s="20"/>
      <c r="R80" s="20"/>
      <c r="S80" s="25"/>
      <c r="T80" s="25"/>
    </row>
    <row r="81" spans="1:20" ht="20.149999999999999" customHeight="1">
      <c r="A81" s="18" t="s">
        <v>284</v>
      </c>
      <c r="B81" s="19">
        <v>74</v>
      </c>
      <c r="C81" s="18" t="s">
        <v>285</v>
      </c>
      <c r="D81" s="18" t="s">
        <v>21</v>
      </c>
      <c r="E81" s="18" t="s">
        <v>166</v>
      </c>
      <c r="F81" s="20" t="s">
        <v>286</v>
      </c>
      <c r="G81" s="20" t="s">
        <v>287</v>
      </c>
      <c r="H81" s="21"/>
      <c r="I81" s="21"/>
      <c r="J81" s="21"/>
      <c r="K81" s="20"/>
      <c r="L81" s="20"/>
      <c r="M81" s="20"/>
      <c r="N81" s="20"/>
      <c r="O81" s="20"/>
      <c r="P81" s="20"/>
      <c r="Q81" s="20"/>
      <c r="R81" s="20"/>
      <c r="S81" s="25"/>
      <c r="T81" s="25"/>
    </row>
    <row r="82" spans="1:20" ht="20.149999999999999" customHeight="1">
      <c r="A82" s="18" t="s">
        <v>288</v>
      </c>
      <c r="B82" s="19">
        <v>75</v>
      </c>
      <c r="C82" s="18" t="s">
        <v>289</v>
      </c>
      <c r="D82" s="18" t="s">
        <v>21</v>
      </c>
      <c r="E82" s="18" t="s">
        <v>166</v>
      </c>
      <c r="F82" s="20" t="s">
        <v>290</v>
      </c>
      <c r="G82" s="20" t="s">
        <v>291</v>
      </c>
      <c r="H82" s="21"/>
      <c r="I82" s="21"/>
      <c r="J82" s="21"/>
      <c r="K82" s="20"/>
      <c r="L82" s="20"/>
      <c r="M82" s="20"/>
      <c r="N82" s="20"/>
      <c r="O82" s="20"/>
      <c r="P82" s="20"/>
      <c r="Q82" s="20"/>
      <c r="R82" s="20"/>
      <c r="S82" s="25"/>
      <c r="T82" s="25"/>
    </row>
    <row r="83" spans="1:20" ht="20.149999999999999" customHeight="1">
      <c r="A83" s="18" t="s">
        <v>292</v>
      </c>
      <c r="B83" s="19">
        <v>76</v>
      </c>
      <c r="C83" s="18" t="s">
        <v>293</v>
      </c>
      <c r="D83" s="18" t="s">
        <v>21</v>
      </c>
      <c r="E83" s="18" t="s">
        <v>166</v>
      </c>
      <c r="F83" s="20" t="s">
        <v>294</v>
      </c>
      <c r="G83" s="20" t="s">
        <v>295</v>
      </c>
      <c r="H83" s="21"/>
      <c r="I83" s="21"/>
      <c r="J83" s="21"/>
      <c r="K83" s="20"/>
      <c r="L83" s="20"/>
      <c r="M83" s="20"/>
      <c r="N83" s="20"/>
      <c r="O83" s="20"/>
      <c r="P83" s="20"/>
      <c r="Q83" s="20"/>
      <c r="R83" s="20"/>
      <c r="S83" s="25"/>
      <c r="T83" s="25"/>
    </row>
    <row r="84" spans="1:20" ht="20.149999999999999" customHeight="1">
      <c r="A84" s="18" t="s">
        <v>296</v>
      </c>
      <c r="B84" s="19">
        <v>77</v>
      </c>
      <c r="C84" s="18" t="s">
        <v>297</v>
      </c>
      <c r="D84" s="18" t="s">
        <v>21</v>
      </c>
      <c r="E84" s="18" t="s">
        <v>166</v>
      </c>
      <c r="F84" s="20" t="s">
        <v>298</v>
      </c>
      <c r="G84" s="20" t="s">
        <v>299</v>
      </c>
      <c r="H84" s="21"/>
      <c r="I84" s="21"/>
      <c r="J84" s="21"/>
      <c r="K84" s="20"/>
      <c r="L84" s="20"/>
      <c r="M84" s="20"/>
      <c r="N84" s="20"/>
      <c r="O84" s="20"/>
      <c r="P84" s="20"/>
      <c r="Q84" s="20"/>
      <c r="R84" s="20"/>
      <c r="S84" s="25"/>
      <c r="T84" s="25"/>
    </row>
    <row r="85" spans="1:20" ht="20.149999999999999" customHeight="1">
      <c r="A85" s="18" t="s">
        <v>300</v>
      </c>
      <c r="B85" s="19">
        <v>78</v>
      </c>
      <c r="C85" s="18" t="s">
        <v>301</v>
      </c>
      <c r="D85" s="18" t="s">
        <v>21</v>
      </c>
      <c r="E85" s="18" t="s">
        <v>166</v>
      </c>
      <c r="F85" s="20" t="s">
        <v>302</v>
      </c>
      <c r="G85" s="20" t="s">
        <v>303</v>
      </c>
      <c r="H85" s="21"/>
      <c r="I85" s="21"/>
      <c r="J85" s="21"/>
      <c r="K85" s="20"/>
      <c r="L85" s="20"/>
      <c r="M85" s="20"/>
      <c r="N85" s="20"/>
      <c r="O85" s="20"/>
      <c r="P85" s="20"/>
      <c r="Q85" s="20"/>
      <c r="R85" s="20"/>
      <c r="S85" s="25"/>
      <c r="T85" s="25"/>
    </row>
    <row r="86" spans="1:20" ht="20.149999999999999" customHeight="1">
      <c r="A86" s="18" t="s">
        <v>304</v>
      </c>
      <c r="B86" s="19">
        <v>80</v>
      </c>
      <c r="C86" s="18" t="s">
        <v>305</v>
      </c>
      <c r="D86" s="18" t="s">
        <v>21</v>
      </c>
      <c r="E86" s="18" t="s">
        <v>166</v>
      </c>
      <c r="F86" s="20" t="s">
        <v>306</v>
      </c>
      <c r="G86" s="20" t="s">
        <v>307</v>
      </c>
      <c r="H86" s="21"/>
      <c r="I86" s="21"/>
      <c r="J86" s="21"/>
      <c r="K86" s="20"/>
      <c r="L86" s="20"/>
      <c r="M86" s="20"/>
      <c r="N86" s="20"/>
      <c r="O86" s="20"/>
      <c r="P86" s="20"/>
      <c r="Q86" s="20"/>
      <c r="R86" s="20"/>
      <c r="S86" s="25"/>
      <c r="T86" s="25"/>
    </row>
    <row r="87" spans="1:20" ht="20.149999999999999" customHeight="1">
      <c r="A87" s="18" t="s">
        <v>308</v>
      </c>
      <c r="B87" s="19">
        <v>81</v>
      </c>
      <c r="C87" s="18" t="s">
        <v>309</v>
      </c>
      <c r="D87" s="18" t="s">
        <v>141</v>
      </c>
      <c r="E87" s="18" t="s">
        <v>166</v>
      </c>
      <c r="F87" s="20" t="s">
        <v>310</v>
      </c>
      <c r="G87" s="20" t="s">
        <v>311</v>
      </c>
      <c r="H87" s="21"/>
      <c r="I87" s="21"/>
      <c r="J87" s="21"/>
      <c r="K87" s="20"/>
      <c r="L87" s="20"/>
      <c r="M87" s="20"/>
      <c r="N87" s="20"/>
      <c r="O87" s="20"/>
      <c r="P87" s="20"/>
      <c r="Q87" s="20"/>
      <c r="R87" s="20"/>
      <c r="S87" s="25"/>
      <c r="T87" s="25"/>
    </row>
    <row r="88" spans="1:20" ht="20.149999999999999" customHeight="1">
      <c r="A88" s="18" t="s">
        <v>312</v>
      </c>
      <c r="B88" s="19">
        <v>82</v>
      </c>
      <c r="C88" s="18" t="s">
        <v>313</v>
      </c>
      <c r="D88" s="18" t="s">
        <v>124</v>
      </c>
      <c r="E88" s="18" t="s">
        <v>166</v>
      </c>
      <c r="F88" s="20" t="s">
        <v>310</v>
      </c>
      <c r="G88" s="20" t="s">
        <v>314</v>
      </c>
      <c r="H88" s="21"/>
      <c r="I88" s="21"/>
      <c r="J88" s="21"/>
      <c r="K88" s="20"/>
      <c r="L88" s="20"/>
      <c r="M88" s="20"/>
      <c r="N88" s="20"/>
      <c r="O88" s="20"/>
      <c r="P88" s="20"/>
      <c r="Q88" s="20"/>
      <c r="R88" s="20"/>
      <c r="S88" s="25"/>
      <c r="T88" s="25"/>
    </row>
    <row r="89" spans="1:20" ht="20.149999999999999" customHeight="1">
      <c r="A89" s="18" t="s">
        <v>315</v>
      </c>
      <c r="B89" s="19">
        <v>86</v>
      </c>
      <c r="C89" s="18" t="s">
        <v>316</v>
      </c>
      <c r="D89" s="18" t="s">
        <v>124</v>
      </c>
      <c r="E89" s="18" t="s">
        <v>166</v>
      </c>
      <c r="F89" s="20" t="s">
        <v>317</v>
      </c>
      <c r="G89" s="20" t="s">
        <v>318</v>
      </c>
      <c r="H89" s="21"/>
      <c r="I89" s="21"/>
      <c r="J89" s="21"/>
      <c r="K89" s="20"/>
      <c r="L89" s="20"/>
      <c r="M89" s="20"/>
      <c r="N89" s="20"/>
      <c r="O89" s="20"/>
      <c r="P89" s="20"/>
      <c r="Q89" s="20"/>
      <c r="R89" s="20"/>
      <c r="S89" s="25"/>
      <c r="T89" s="25"/>
    </row>
    <row r="90" spans="1:20" ht="20.149999999999999" customHeight="1">
      <c r="A90" s="18" t="s">
        <v>319</v>
      </c>
      <c r="B90" s="19">
        <v>87</v>
      </c>
      <c r="C90" s="18" t="s">
        <v>320</v>
      </c>
      <c r="D90" s="18" t="s">
        <v>124</v>
      </c>
      <c r="E90" s="18" t="s">
        <v>166</v>
      </c>
      <c r="F90" s="20" t="s">
        <v>310</v>
      </c>
      <c r="G90" s="20" t="s">
        <v>321</v>
      </c>
      <c r="H90" s="21"/>
      <c r="I90" s="21"/>
      <c r="J90" s="21"/>
      <c r="K90" s="20"/>
      <c r="L90" s="20"/>
      <c r="M90" s="20"/>
      <c r="N90" s="20"/>
      <c r="O90" s="20"/>
      <c r="P90" s="20"/>
      <c r="Q90" s="20"/>
      <c r="R90" s="20"/>
      <c r="S90" s="25"/>
      <c r="T90" s="25"/>
    </row>
    <row r="91" spans="1:20" ht="20.149999999999999" customHeight="1">
      <c r="A91" s="18" t="s">
        <v>322</v>
      </c>
      <c r="B91" s="19">
        <v>88</v>
      </c>
      <c r="C91" s="18" t="s">
        <v>323</v>
      </c>
      <c r="D91" s="18" t="s">
        <v>124</v>
      </c>
      <c r="E91" s="18" t="s">
        <v>166</v>
      </c>
      <c r="F91" s="20" t="s">
        <v>324</v>
      </c>
      <c r="G91" s="20" t="s">
        <v>325</v>
      </c>
      <c r="H91" s="21"/>
      <c r="I91" s="21"/>
      <c r="J91" s="21"/>
      <c r="K91" s="20"/>
      <c r="L91" s="20"/>
      <c r="M91" s="20"/>
      <c r="N91" s="20"/>
      <c r="O91" s="20"/>
      <c r="P91" s="20"/>
      <c r="Q91" s="20"/>
      <c r="R91" s="20"/>
      <c r="S91" s="25"/>
      <c r="T91" s="25"/>
    </row>
    <row r="92" spans="1:20" ht="20.149999999999999" customHeight="1">
      <c r="A92" s="18" t="s">
        <v>326</v>
      </c>
      <c r="B92" s="19">
        <v>89</v>
      </c>
      <c r="C92" s="18" t="s">
        <v>327</v>
      </c>
      <c r="D92" s="18" t="s">
        <v>124</v>
      </c>
      <c r="E92" s="18" t="s">
        <v>166</v>
      </c>
      <c r="F92" s="20" t="s">
        <v>328</v>
      </c>
      <c r="G92" s="20" t="s">
        <v>329</v>
      </c>
      <c r="H92" s="21"/>
      <c r="I92" s="21"/>
      <c r="J92" s="21"/>
      <c r="K92" s="20"/>
      <c r="L92" s="20"/>
      <c r="M92" s="20"/>
      <c r="N92" s="20"/>
      <c r="O92" s="20"/>
      <c r="P92" s="20"/>
      <c r="Q92" s="20"/>
      <c r="R92" s="20"/>
      <c r="S92" s="25"/>
      <c r="T92" s="25"/>
    </row>
    <row r="93" spans="1:20" ht="20.149999999999999" customHeight="1">
      <c r="A93" s="18" t="s">
        <v>330</v>
      </c>
      <c r="B93" s="19">
        <v>90</v>
      </c>
      <c r="C93" s="18" t="s">
        <v>331</v>
      </c>
      <c r="D93" s="18" t="s">
        <v>124</v>
      </c>
      <c r="E93" s="18" t="s">
        <v>166</v>
      </c>
      <c r="F93" s="20" t="s">
        <v>332</v>
      </c>
      <c r="G93" s="20" t="s">
        <v>333</v>
      </c>
      <c r="H93" s="21"/>
      <c r="I93" s="21"/>
      <c r="J93" s="21"/>
      <c r="K93" s="20"/>
      <c r="L93" s="20"/>
      <c r="M93" s="20"/>
      <c r="N93" s="20"/>
      <c r="O93" s="20"/>
      <c r="P93" s="20"/>
      <c r="Q93" s="20"/>
      <c r="R93" s="20"/>
      <c r="S93" s="25"/>
      <c r="T93" s="25"/>
    </row>
    <row r="94" spans="1:20" ht="20.149999999999999" customHeight="1">
      <c r="A94" s="18" t="s">
        <v>334</v>
      </c>
      <c r="B94" s="19">
        <v>91</v>
      </c>
      <c r="C94" s="18" t="s">
        <v>335</v>
      </c>
      <c r="D94" s="18" t="s">
        <v>124</v>
      </c>
      <c r="E94" s="18" t="s">
        <v>166</v>
      </c>
      <c r="F94" s="20" t="s">
        <v>336</v>
      </c>
      <c r="G94" s="20" t="s">
        <v>337</v>
      </c>
      <c r="H94" s="21"/>
      <c r="I94" s="21"/>
      <c r="J94" s="21"/>
      <c r="K94" s="20"/>
      <c r="L94" s="20"/>
      <c r="M94" s="20"/>
      <c r="N94" s="20"/>
      <c r="O94" s="20"/>
      <c r="P94" s="20"/>
      <c r="Q94" s="20"/>
      <c r="R94" s="20"/>
      <c r="S94" s="25"/>
      <c r="T94" s="25"/>
    </row>
    <row r="95" spans="1:20" ht="20.149999999999999" customHeight="1">
      <c r="A95" s="18" t="s">
        <v>338</v>
      </c>
      <c r="B95" s="19">
        <v>92</v>
      </c>
      <c r="C95" s="18" t="s">
        <v>339</v>
      </c>
      <c r="D95" s="18" t="s">
        <v>124</v>
      </c>
      <c r="E95" s="18" t="s">
        <v>166</v>
      </c>
      <c r="F95" s="20" t="s">
        <v>340</v>
      </c>
      <c r="G95" s="20" t="s">
        <v>341</v>
      </c>
      <c r="H95" s="21"/>
      <c r="I95" s="21"/>
      <c r="J95" s="21"/>
      <c r="K95" s="20"/>
      <c r="L95" s="20"/>
      <c r="M95" s="20"/>
      <c r="N95" s="20"/>
      <c r="O95" s="20"/>
      <c r="P95" s="20"/>
      <c r="Q95" s="20"/>
      <c r="R95" s="20"/>
      <c r="S95" s="25"/>
      <c r="T95" s="25"/>
    </row>
    <row r="96" spans="1:20" ht="20.149999999999999" customHeight="1">
      <c r="A96" s="18" t="s">
        <v>342</v>
      </c>
      <c r="B96" s="19">
        <v>93</v>
      </c>
      <c r="C96" s="18" t="s">
        <v>343</v>
      </c>
      <c r="D96" s="18" t="s">
        <v>124</v>
      </c>
      <c r="E96" s="18" t="s">
        <v>166</v>
      </c>
      <c r="F96" s="20" t="s">
        <v>344</v>
      </c>
      <c r="G96" s="20" t="s">
        <v>345</v>
      </c>
      <c r="H96" s="21"/>
      <c r="I96" s="21"/>
      <c r="J96" s="21"/>
      <c r="K96" s="20"/>
      <c r="L96" s="20"/>
      <c r="M96" s="20"/>
      <c r="N96" s="20"/>
      <c r="O96" s="20"/>
      <c r="P96" s="20"/>
      <c r="Q96" s="20"/>
      <c r="R96" s="20"/>
      <c r="S96" s="25"/>
      <c r="T96" s="25"/>
    </row>
    <row r="97" spans="1:20" ht="20.149999999999999" customHeight="1">
      <c r="A97" s="18" t="s">
        <v>346</v>
      </c>
      <c r="B97" s="19">
        <v>95</v>
      </c>
      <c r="C97" s="18" t="s">
        <v>347</v>
      </c>
      <c r="D97" s="18" t="s">
        <v>12</v>
      </c>
      <c r="E97" s="18" t="s">
        <v>166</v>
      </c>
      <c r="F97" s="20" t="s">
        <v>310</v>
      </c>
      <c r="G97" s="20" t="s">
        <v>348</v>
      </c>
      <c r="H97" s="21"/>
      <c r="I97" s="21"/>
      <c r="J97" s="21"/>
      <c r="K97" s="20"/>
      <c r="L97" s="20"/>
      <c r="M97" s="20"/>
      <c r="N97" s="20"/>
      <c r="O97" s="20"/>
      <c r="P97" s="20"/>
      <c r="Q97" s="20"/>
      <c r="R97" s="20"/>
      <c r="S97" s="25"/>
      <c r="T97" s="25"/>
    </row>
    <row r="98" spans="1:20" ht="20.149999999999999" customHeight="1">
      <c r="A98" s="18" t="s">
        <v>349</v>
      </c>
      <c r="B98" s="19">
        <v>96</v>
      </c>
      <c r="C98" s="18" t="s">
        <v>350</v>
      </c>
      <c r="D98" s="18" t="s">
        <v>12</v>
      </c>
      <c r="E98" s="18" t="s">
        <v>166</v>
      </c>
      <c r="F98" s="20" t="s">
        <v>290</v>
      </c>
      <c r="G98" s="20" t="s">
        <v>351</v>
      </c>
      <c r="H98" s="21"/>
      <c r="I98" s="21"/>
      <c r="J98" s="21"/>
      <c r="K98" s="20"/>
      <c r="L98" s="20"/>
      <c r="M98" s="20"/>
      <c r="N98" s="20"/>
      <c r="O98" s="20"/>
      <c r="P98" s="20"/>
      <c r="Q98" s="20"/>
      <c r="R98" s="20"/>
      <c r="S98" s="25"/>
      <c r="T98" s="25"/>
    </row>
    <row r="99" spans="1:20" ht="20.149999999999999" customHeight="1">
      <c r="A99" s="18" t="s">
        <v>352</v>
      </c>
      <c r="B99" s="19">
        <v>97</v>
      </c>
      <c r="C99" s="18" t="s">
        <v>353</v>
      </c>
      <c r="D99" s="18" t="s">
        <v>12</v>
      </c>
      <c r="E99" s="18" t="s">
        <v>166</v>
      </c>
      <c r="F99" s="20" t="s">
        <v>354</v>
      </c>
      <c r="G99" s="20" t="s">
        <v>355</v>
      </c>
      <c r="H99" s="21"/>
      <c r="I99" s="21"/>
      <c r="J99" s="21"/>
      <c r="K99" s="20"/>
      <c r="L99" s="20"/>
      <c r="M99" s="20"/>
      <c r="N99" s="20"/>
      <c r="O99" s="20"/>
      <c r="P99" s="20"/>
      <c r="Q99" s="20"/>
      <c r="R99" s="20"/>
      <c r="S99" s="25"/>
      <c r="T99" s="25"/>
    </row>
    <row r="100" spans="1:20" ht="20.149999999999999" customHeight="1">
      <c r="A100" s="18" t="s">
        <v>356</v>
      </c>
      <c r="B100" s="19">
        <v>98</v>
      </c>
      <c r="C100" s="18" t="s">
        <v>357</v>
      </c>
      <c r="D100" s="18" t="s">
        <v>83</v>
      </c>
      <c r="E100" s="18" t="s">
        <v>166</v>
      </c>
      <c r="F100" s="20" t="s">
        <v>358</v>
      </c>
      <c r="G100" s="20" t="s">
        <v>359</v>
      </c>
      <c r="H100" s="21"/>
      <c r="I100" s="21"/>
      <c r="J100" s="21"/>
      <c r="K100" s="20"/>
      <c r="L100" s="20"/>
      <c r="M100" s="20"/>
      <c r="N100" s="20"/>
      <c r="O100" s="20"/>
      <c r="P100" s="20"/>
      <c r="Q100" s="20"/>
      <c r="R100" s="20"/>
      <c r="S100" s="25"/>
      <c r="T100" s="25"/>
    </row>
    <row r="101" spans="1:20" ht="20.149999999999999" customHeight="1">
      <c r="A101" s="18" t="s">
        <v>360</v>
      </c>
      <c r="B101" s="19">
        <v>99</v>
      </c>
      <c r="C101" s="18" t="s">
        <v>361</v>
      </c>
      <c r="D101" s="18" t="s">
        <v>83</v>
      </c>
      <c r="E101" s="18" t="s">
        <v>166</v>
      </c>
      <c r="F101" s="20" t="s">
        <v>278</v>
      </c>
      <c r="G101" s="20" t="s">
        <v>362</v>
      </c>
      <c r="H101" s="21"/>
      <c r="I101" s="21"/>
      <c r="J101" s="21"/>
      <c r="K101" s="20"/>
      <c r="L101" s="20"/>
      <c r="M101" s="20"/>
      <c r="N101" s="20"/>
      <c r="O101" s="20"/>
      <c r="P101" s="20"/>
      <c r="Q101" s="20"/>
      <c r="R101" s="20"/>
      <c r="S101" s="25"/>
      <c r="T101" s="25"/>
    </row>
    <row r="102" spans="1:20" ht="20.149999999999999" customHeight="1">
      <c r="A102" s="18" t="s">
        <v>363</v>
      </c>
      <c r="B102" s="19">
        <v>100</v>
      </c>
      <c r="C102" s="18" t="s">
        <v>364</v>
      </c>
      <c r="D102" s="18" t="s">
        <v>83</v>
      </c>
      <c r="E102" s="18" t="s">
        <v>166</v>
      </c>
      <c r="F102" s="20" t="s">
        <v>365</v>
      </c>
      <c r="G102" s="20" t="s">
        <v>366</v>
      </c>
      <c r="H102" s="21"/>
      <c r="I102" s="21"/>
      <c r="J102" s="21"/>
      <c r="K102" s="20"/>
      <c r="L102" s="20"/>
      <c r="M102" s="20"/>
      <c r="N102" s="20"/>
      <c r="O102" s="20"/>
      <c r="P102" s="20"/>
      <c r="Q102" s="20"/>
      <c r="R102" s="20"/>
      <c r="S102" s="25"/>
      <c r="T102" s="25"/>
    </row>
    <row r="103" spans="1:20" ht="20.149999999999999" customHeight="1">
      <c r="A103" s="18" t="s">
        <v>367</v>
      </c>
      <c r="B103" s="19">
        <v>101</v>
      </c>
      <c r="C103" s="18" t="s">
        <v>368</v>
      </c>
      <c r="D103" s="18" t="s">
        <v>83</v>
      </c>
      <c r="E103" s="18" t="s">
        <v>166</v>
      </c>
      <c r="F103" s="20" t="s">
        <v>369</v>
      </c>
      <c r="G103" s="20" t="s">
        <v>370</v>
      </c>
      <c r="H103" s="21"/>
      <c r="I103" s="21"/>
      <c r="J103" s="21"/>
      <c r="K103" s="20"/>
      <c r="L103" s="20"/>
      <c r="M103" s="20"/>
      <c r="N103" s="20"/>
      <c r="O103" s="20"/>
      <c r="P103" s="20"/>
      <c r="Q103" s="20"/>
      <c r="R103" s="20"/>
      <c r="S103" s="25"/>
      <c r="T103" s="25"/>
    </row>
    <row r="104" spans="1:20" ht="20.149999999999999" customHeight="1">
      <c r="A104" s="18" t="s">
        <v>371</v>
      </c>
      <c r="B104" s="19">
        <v>102</v>
      </c>
      <c r="C104" s="18" t="s">
        <v>372</v>
      </c>
      <c r="D104" s="18" t="s">
        <v>83</v>
      </c>
      <c r="E104" s="18" t="s">
        <v>166</v>
      </c>
      <c r="F104" s="20" t="s">
        <v>373</v>
      </c>
      <c r="G104" s="20" t="s">
        <v>374</v>
      </c>
      <c r="H104" s="21"/>
      <c r="I104" s="21"/>
      <c r="J104" s="21"/>
      <c r="K104" s="20"/>
      <c r="L104" s="20"/>
      <c r="M104" s="20"/>
      <c r="N104" s="20"/>
      <c r="O104" s="20"/>
      <c r="P104" s="20"/>
      <c r="Q104" s="20"/>
      <c r="R104" s="20"/>
      <c r="S104" s="25"/>
      <c r="T104" s="25"/>
    </row>
    <row r="105" spans="1:20" ht="20.149999999999999" customHeight="1">
      <c r="A105" s="18" t="s">
        <v>375</v>
      </c>
      <c r="B105" s="19">
        <v>103</v>
      </c>
      <c r="C105" s="18" t="s">
        <v>376</v>
      </c>
      <c r="D105" s="18" t="s">
        <v>83</v>
      </c>
      <c r="E105" s="18" t="s">
        <v>166</v>
      </c>
      <c r="F105" s="20" t="s">
        <v>377</v>
      </c>
      <c r="G105" s="20" t="s">
        <v>378</v>
      </c>
      <c r="H105" s="21"/>
      <c r="I105" s="21"/>
      <c r="J105" s="21"/>
      <c r="K105" s="20"/>
      <c r="L105" s="20"/>
      <c r="M105" s="20"/>
      <c r="N105" s="20"/>
      <c r="O105" s="20"/>
      <c r="P105" s="20"/>
      <c r="Q105" s="20"/>
      <c r="R105" s="20"/>
      <c r="S105" s="25"/>
      <c r="T105" s="25"/>
    </row>
    <row r="106" spans="1:20" ht="20.149999999999999" customHeight="1">
      <c r="A106" s="18" t="s">
        <v>379</v>
      </c>
      <c r="B106" s="19">
        <v>104</v>
      </c>
      <c r="C106" s="18" t="s">
        <v>380</v>
      </c>
      <c r="D106" s="18" t="s">
        <v>83</v>
      </c>
      <c r="E106" s="18" t="s">
        <v>166</v>
      </c>
      <c r="F106" s="20" t="s">
        <v>381</v>
      </c>
      <c r="G106" s="20" t="s">
        <v>382</v>
      </c>
      <c r="H106" s="21"/>
      <c r="I106" s="21"/>
      <c r="J106" s="21"/>
      <c r="K106" s="20"/>
      <c r="L106" s="20"/>
      <c r="M106" s="20"/>
      <c r="N106" s="20"/>
      <c r="O106" s="20"/>
      <c r="P106" s="20"/>
      <c r="Q106" s="20"/>
      <c r="R106" s="20"/>
      <c r="S106" s="25"/>
      <c r="T106" s="25"/>
    </row>
    <row r="107" spans="1:20" ht="20.149999999999999" customHeight="1">
      <c r="A107" s="18" t="s">
        <v>383</v>
      </c>
      <c r="B107" s="19">
        <v>105</v>
      </c>
      <c r="C107" s="18" t="s">
        <v>384</v>
      </c>
      <c r="D107" s="18" t="s">
        <v>83</v>
      </c>
      <c r="E107" s="18" t="s">
        <v>166</v>
      </c>
      <c r="F107" s="20" t="s">
        <v>385</v>
      </c>
      <c r="G107" s="20" t="s">
        <v>386</v>
      </c>
      <c r="H107" s="21"/>
      <c r="I107" s="21"/>
      <c r="J107" s="21"/>
      <c r="K107" s="20"/>
      <c r="L107" s="20"/>
      <c r="M107" s="20"/>
      <c r="N107" s="20"/>
      <c r="O107" s="20"/>
      <c r="P107" s="20"/>
      <c r="Q107" s="20"/>
      <c r="R107" s="20"/>
      <c r="S107" s="25"/>
      <c r="T107" s="25"/>
    </row>
    <row r="108" spans="1:20" ht="20.149999999999999" customHeight="1">
      <c r="A108" s="18" t="s">
        <v>387</v>
      </c>
      <c r="B108" s="19">
        <v>106</v>
      </c>
      <c r="C108" s="18" t="s">
        <v>388</v>
      </c>
      <c r="D108" s="18" t="s">
        <v>83</v>
      </c>
      <c r="E108" s="18" t="s">
        <v>166</v>
      </c>
      <c r="F108" s="20" t="s">
        <v>389</v>
      </c>
      <c r="G108" s="20" t="s">
        <v>390</v>
      </c>
      <c r="H108" s="21"/>
      <c r="I108" s="21"/>
      <c r="J108" s="21"/>
      <c r="K108" s="20"/>
      <c r="L108" s="20"/>
      <c r="M108" s="20"/>
      <c r="N108" s="20"/>
      <c r="O108" s="20"/>
      <c r="P108" s="20"/>
      <c r="Q108" s="20"/>
      <c r="R108" s="20"/>
      <c r="S108" s="25"/>
      <c r="T108" s="25"/>
    </row>
    <row r="109" spans="1:20" ht="20.149999999999999" customHeight="1">
      <c r="A109" s="18" t="s">
        <v>391</v>
      </c>
      <c r="B109" s="19">
        <v>107</v>
      </c>
      <c r="C109" s="18" t="s">
        <v>392</v>
      </c>
      <c r="D109" s="18" t="s">
        <v>83</v>
      </c>
      <c r="E109" s="18" t="s">
        <v>166</v>
      </c>
      <c r="F109" s="20" t="s">
        <v>393</v>
      </c>
      <c r="G109" s="20" t="s">
        <v>394</v>
      </c>
      <c r="H109" s="21"/>
      <c r="I109" s="21"/>
      <c r="J109" s="21"/>
      <c r="K109" s="20"/>
      <c r="L109" s="20"/>
      <c r="M109" s="20"/>
      <c r="N109" s="20"/>
      <c r="O109" s="20"/>
      <c r="P109" s="20"/>
      <c r="Q109" s="20"/>
      <c r="R109" s="20"/>
      <c r="S109" s="25"/>
      <c r="T109" s="25"/>
    </row>
    <row r="110" spans="1:20" ht="20.149999999999999" customHeight="1">
      <c r="A110" s="18" t="s">
        <v>395</v>
      </c>
      <c r="B110" s="19">
        <v>108</v>
      </c>
      <c r="C110" s="18" t="s">
        <v>396</v>
      </c>
      <c r="D110" s="18" t="s">
        <v>124</v>
      </c>
      <c r="E110" s="18" t="s">
        <v>166</v>
      </c>
      <c r="F110" s="20" t="s">
        <v>397</v>
      </c>
      <c r="G110" s="20" t="s">
        <v>398</v>
      </c>
      <c r="H110" s="21"/>
      <c r="I110" s="21"/>
      <c r="J110" s="21"/>
      <c r="K110" s="20"/>
      <c r="L110" s="20"/>
      <c r="M110" s="20"/>
      <c r="N110" s="20"/>
      <c r="O110" s="20"/>
      <c r="P110" s="20"/>
      <c r="Q110" s="20"/>
      <c r="R110" s="20"/>
      <c r="S110" s="25"/>
      <c r="T110" s="25"/>
    </row>
    <row r="111" spans="1:20" ht="20.149999999999999" customHeight="1">
      <c r="A111" s="18" t="s">
        <v>399</v>
      </c>
      <c r="B111" s="19">
        <v>109</v>
      </c>
      <c r="C111" s="18" t="s">
        <v>400</v>
      </c>
      <c r="D111" s="18" t="s">
        <v>21</v>
      </c>
      <c r="E111" s="18" t="s">
        <v>166</v>
      </c>
      <c r="F111" s="20" t="s">
        <v>397</v>
      </c>
      <c r="G111" s="20" t="s">
        <v>401</v>
      </c>
      <c r="H111" s="21"/>
      <c r="I111" s="21"/>
      <c r="J111" s="21"/>
      <c r="K111" s="20"/>
      <c r="L111" s="20"/>
      <c r="M111" s="20"/>
      <c r="N111" s="20"/>
      <c r="O111" s="20"/>
      <c r="P111" s="20"/>
      <c r="Q111" s="20"/>
      <c r="R111" s="20"/>
      <c r="S111" s="25"/>
      <c r="T111" s="25"/>
    </row>
    <row r="112" spans="1:20" ht="20.149999999999999" customHeight="1">
      <c r="A112" s="18" t="s">
        <v>402</v>
      </c>
      <c r="B112" s="19">
        <v>110</v>
      </c>
      <c r="C112" s="18" t="s">
        <v>403</v>
      </c>
      <c r="D112" s="18" t="s">
        <v>83</v>
      </c>
      <c r="E112" s="18" t="s">
        <v>166</v>
      </c>
      <c r="F112" s="20" t="s">
        <v>397</v>
      </c>
      <c r="G112" s="20" t="s">
        <v>404</v>
      </c>
      <c r="H112" s="21"/>
      <c r="I112" s="21"/>
      <c r="J112" s="21"/>
      <c r="K112" s="20"/>
      <c r="L112" s="20"/>
      <c r="M112" s="20"/>
      <c r="N112" s="20"/>
      <c r="O112" s="20"/>
      <c r="P112" s="20"/>
      <c r="Q112" s="20"/>
      <c r="R112" s="20"/>
      <c r="S112" s="25"/>
      <c r="T112" s="25"/>
    </row>
    <row r="113" spans="1:20" ht="20.149999999999999" customHeight="1">
      <c r="A113" s="18" t="s">
        <v>405</v>
      </c>
      <c r="B113" s="19">
        <v>111</v>
      </c>
      <c r="C113" s="18" t="s">
        <v>406</v>
      </c>
      <c r="D113" s="18" t="s">
        <v>407</v>
      </c>
      <c r="E113" s="18" t="s">
        <v>166</v>
      </c>
      <c r="F113" s="20" t="s">
        <v>397</v>
      </c>
      <c r="G113" s="20" t="s">
        <v>408</v>
      </c>
      <c r="H113" s="21"/>
      <c r="I113" s="21"/>
      <c r="J113" s="21"/>
      <c r="K113" s="20"/>
      <c r="L113" s="20"/>
      <c r="M113" s="20"/>
      <c r="N113" s="20"/>
      <c r="O113" s="20"/>
      <c r="P113" s="20"/>
      <c r="Q113" s="20"/>
      <c r="R113" s="20"/>
      <c r="S113" s="25"/>
      <c r="T113" s="25"/>
    </row>
    <row r="114" spans="1:20" ht="20.149999999999999" customHeight="1">
      <c r="A114" s="18" t="s">
        <v>409</v>
      </c>
      <c r="B114" s="19">
        <v>112</v>
      </c>
      <c r="C114" s="18" t="s">
        <v>410</v>
      </c>
      <c r="D114" s="18" t="s">
        <v>83</v>
      </c>
      <c r="E114" s="18" t="s">
        <v>166</v>
      </c>
      <c r="F114" s="20" t="s">
        <v>411</v>
      </c>
      <c r="G114" s="20" t="s">
        <v>412</v>
      </c>
      <c r="H114" s="21"/>
      <c r="I114" s="21"/>
      <c r="J114" s="21"/>
      <c r="K114" s="20"/>
      <c r="L114" s="20"/>
      <c r="M114" s="20"/>
      <c r="N114" s="20"/>
      <c r="O114" s="20"/>
      <c r="P114" s="20"/>
      <c r="Q114" s="20"/>
      <c r="R114" s="20"/>
      <c r="S114" s="25"/>
      <c r="T114" s="25"/>
    </row>
    <row r="115" spans="1:20" ht="20.149999999999999" customHeight="1">
      <c r="A115" s="18" t="s">
        <v>413</v>
      </c>
      <c r="B115" s="19">
        <v>113</v>
      </c>
      <c r="C115" s="18" t="s">
        <v>414</v>
      </c>
      <c r="D115" s="18" t="s">
        <v>21</v>
      </c>
      <c r="E115" s="18" t="s">
        <v>166</v>
      </c>
      <c r="F115" s="20" t="s">
        <v>411</v>
      </c>
      <c r="G115" s="20" t="s">
        <v>415</v>
      </c>
      <c r="H115" s="21"/>
      <c r="I115" s="21"/>
      <c r="J115" s="21"/>
      <c r="K115" s="20"/>
      <c r="L115" s="20"/>
      <c r="M115" s="20"/>
      <c r="N115" s="20"/>
      <c r="O115" s="20"/>
      <c r="P115" s="20"/>
      <c r="Q115" s="20"/>
      <c r="R115" s="20"/>
      <c r="S115" s="25"/>
      <c r="T115" s="25"/>
    </row>
    <row r="116" spans="1:20" ht="20.149999999999999" customHeight="1">
      <c r="A116" s="18" t="s">
        <v>416</v>
      </c>
      <c r="B116" s="19">
        <v>114</v>
      </c>
      <c r="C116" s="18" t="s">
        <v>417</v>
      </c>
      <c r="D116" s="18" t="s">
        <v>21</v>
      </c>
      <c r="E116" s="18" t="s">
        <v>166</v>
      </c>
      <c r="F116" s="20" t="s">
        <v>411</v>
      </c>
      <c r="G116" s="20" t="s">
        <v>418</v>
      </c>
      <c r="H116" s="21"/>
      <c r="I116" s="21"/>
      <c r="J116" s="21"/>
      <c r="K116" s="20"/>
      <c r="L116" s="20"/>
      <c r="M116" s="20"/>
      <c r="N116" s="20"/>
      <c r="O116" s="20"/>
      <c r="P116" s="20"/>
      <c r="Q116" s="20"/>
      <c r="R116" s="20"/>
      <c r="S116" s="25"/>
      <c r="T116" s="25"/>
    </row>
    <row r="117" spans="1:20" ht="20.149999999999999" customHeight="1">
      <c r="A117" s="18" t="s">
        <v>419</v>
      </c>
      <c r="B117" s="19">
        <v>115</v>
      </c>
      <c r="C117" s="18" t="s">
        <v>420</v>
      </c>
      <c r="D117" s="18" t="s">
        <v>407</v>
      </c>
      <c r="E117" s="18" t="s">
        <v>166</v>
      </c>
      <c r="F117" s="20" t="s">
        <v>411</v>
      </c>
      <c r="G117" s="20" t="s">
        <v>421</v>
      </c>
      <c r="H117" s="21"/>
      <c r="I117" s="21"/>
      <c r="J117" s="21"/>
      <c r="K117" s="20"/>
      <c r="L117" s="20"/>
      <c r="M117" s="20"/>
      <c r="N117" s="20"/>
      <c r="O117" s="20"/>
      <c r="P117" s="20"/>
      <c r="Q117" s="20"/>
      <c r="R117" s="20"/>
      <c r="S117" s="25"/>
      <c r="T117" s="25"/>
    </row>
    <row r="118" spans="1:20" ht="20.149999999999999" customHeight="1">
      <c r="A118" s="18" t="s">
        <v>422</v>
      </c>
      <c r="B118" s="19">
        <v>117</v>
      </c>
      <c r="C118" s="18" t="s">
        <v>423</v>
      </c>
      <c r="D118" s="18" t="s">
        <v>141</v>
      </c>
      <c r="E118" s="18" t="s">
        <v>166</v>
      </c>
      <c r="F118" s="20" t="s">
        <v>210</v>
      </c>
      <c r="G118" s="20" t="s">
        <v>424</v>
      </c>
      <c r="H118" s="21"/>
      <c r="I118" s="21"/>
      <c r="J118" s="21"/>
      <c r="K118" s="20"/>
      <c r="L118" s="20"/>
      <c r="M118" s="20"/>
      <c r="N118" s="20"/>
      <c r="O118" s="20"/>
      <c r="P118" s="20"/>
      <c r="Q118" s="20"/>
      <c r="R118" s="20"/>
      <c r="S118" s="25"/>
      <c r="T118" s="25"/>
    </row>
    <row r="119" spans="1:20" ht="20.149999999999999" customHeight="1">
      <c r="A119" s="18" t="s">
        <v>425</v>
      </c>
      <c r="B119" s="19">
        <v>118</v>
      </c>
      <c r="C119" s="18" t="s">
        <v>426</v>
      </c>
      <c r="D119" s="18" t="s">
        <v>141</v>
      </c>
      <c r="E119" s="18" t="s">
        <v>166</v>
      </c>
      <c r="F119" s="20" t="s">
        <v>427</v>
      </c>
      <c r="G119" s="20" t="s">
        <v>428</v>
      </c>
      <c r="H119" s="21"/>
      <c r="I119" s="21"/>
      <c r="J119" s="21"/>
      <c r="K119" s="20"/>
      <c r="L119" s="20"/>
      <c r="M119" s="20"/>
      <c r="N119" s="20"/>
      <c r="O119" s="20"/>
      <c r="P119" s="20"/>
      <c r="Q119" s="20"/>
      <c r="R119" s="20"/>
      <c r="S119" s="25"/>
      <c r="T119" s="25"/>
    </row>
    <row r="120" spans="1:20" ht="20.149999999999999" customHeight="1">
      <c r="A120" s="18" t="s">
        <v>429</v>
      </c>
      <c r="B120" s="19">
        <v>119</v>
      </c>
      <c r="C120" s="18" t="s">
        <v>430</v>
      </c>
      <c r="D120" s="18" t="s">
        <v>141</v>
      </c>
      <c r="E120" s="18" t="s">
        <v>166</v>
      </c>
      <c r="F120" s="20" t="s">
        <v>282</v>
      </c>
      <c r="G120" s="20" t="s">
        <v>431</v>
      </c>
      <c r="H120" s="21"/>
      <c r="I120" s="21"/>
      <c r="J120" s="21"/>
      <c r="K120" s="20"/>
      <c r="L120" s="20"/>
      <c r="M120" s="20"/>
      <c r="N120" s="20"/>
      <c r="O120" s="20"/>
      <c r="P120" s="20"/>
      <c r="Q120" s="20"/>
      <c r="R120" s="20"/>
      <c r="S120" s="25"/>
      <c r="T120" s="25"/>
    </row>
    <row r="121" spans="1:20" ht="20.149999999999999" customHeight="1">
      <c r="A121" s="18" t="s">
        <v>432</v>
      </c>
      <c r="B121" s="19">
        <v>121</v>
      </c>
      <c r="C121" s="18" t="s">
        <v>433</v>
      </c>
      <c r="D121" s="18" t="s">
        <v>21</v>
      </c>
      <c r="E121" s="18" t="s">
        <v>166</v>
      </c>
      <c r="F121" s="20" t="s">
        <v>434</v>
      </c>
      <c r="G121" s="20" t="s">
        <v>435</v>
      </c>
      <c r="H121" s="21"/>
      <c r="I121" s="21"/>
      <c r="J121" s="21"/>
      <c r="K121" s="20"/>
      <c r="L121" s="20"/>
      <c r="M121" s="20"/>
      <c r="N121" s="20"/>
      <c r="O121" s="20"/>
      <c r="P121" s="20"/>
      <c r="Q121" s="20"/>
      <c r="R121" s="20"/>
      <c r="S121" s="25"/>
      <c r="T121" s="25"/>
    </row>
    <row r="122" spans="1:20" ht="20.149999999999999" customHeight="1">
      <c r="A122" s="18" t="s">
        <v>436</v>
      </c>
      <c r="B122" s="19">
        <v>122</v>
      </c>
      <c r="C122" s="18" t="s">
        <v>437</v>
      </c>
      <c r="D122" s="18" t="s">
        <v>21</v>
      </c>
      <c r="E122" s="18" t="s">
        <v>166</v>
      </c>
      <c r="F122" s="20" t="s">
        <v>171</v>
      </c>
      <c r="G122" s="20" t="s">
        <v>438</v>
      </c>
      <c r="H122" s="21"/>
      <c r="I122" s="21"/>
      <c r="J122" s="21"/>
      <c r="K122" s="20"/>
      <c r="L122" s="20"/>
      <c r="M122" s="20"/>
      <c r="N122" s="20"/>
      <c r="O122" s="20"/>
      <c r="P122" s="20"/>
      <c r="Q122" s="20"/>
      <c r="R122" s="20"/>
      <c r="S122" s="25"/>
      <c r="T122" s="25"/>
    </row>
    <row r="123" spans="1:20" ht="20.149999999999999" customHeight="1">
      <c r="A123" s="18" t="s">
        <v>439</v>
      </c>
      <c r="B123" s="19">
        <v>123</v>
      </c>
      <c r="C123" s="18" t="s">
        <v>440</v>
      </c>
      <c r="D123" s="18" t="s">
        <v>21</v>
      </c>
      <c r="E123" s="18" t="s">
        <v>166</v>
      </c>
      <c r="F123" s="20" t="s">
        <v>441</v>
      </c>
      <c r="G123" s="20" t="s">
        <v>442</v>
      </c>
      <c r="H123" s="21"/>
      <c r="I123" s="21"/>
      <c r="J123" s="21"/>
      <c r="K123" s="20"/>
      <c r="L123" s="20"/>
      <c r="M123" s="20"/>
      <c r="N123" s="20"/>
      <c r="O123" s="20"/>
      <c r="P123" s="20"/>
      <c r="Q123" s="20"/>
      <c r="R123" s="20"/>
      <c r="S123" s="25"/>
      <c r="T123" s="25"/>
    </row>
    <row r="124" spans="1:20" ht="20.149999999999999" customHeight="1">
      <c r="A124" s="18" t="s">
        <v>443</v>
      </c>
      <c r="B124" s="19">
        <v>124</v>
      </c>
      <c r="C124" s="18" t="s">
        <v>444</v>
      </c>
      <c r="D124" s="18" t="s">
        <v>21</v>
      </c>
      <c r="E124" s="18" t="s">
        <v>166</v>
      </c>
      <c r="F124" s="20" t="s">
        <v>328</v>
      </c>
      <c r="G124" s="20" t="s">
        <v>445</v>
      </c>
      <c r="H124" s="21"/>
      <c r="I124" s="21"/>
      <c r="J124" s="21"/>
      <c r="K124" s="20"/>
      <c r="L124" s="20"/>
      <c r="M124" s="20"/>
      <c r="N124" s="20"/>
      <c r="O124" s="20"/>
      <c r="P124" s="20"/>
      <c r="Q124" s="20"/>
      <c r="R124" s="20"/>
      <c r="S124" s="25"/>
      <c r="T124" s="25"/>
    </row>
    <row r="125" spans="1:20" ht="20.149999999999999" customHeight="1">
      <c r="A125" s="18" t="s">
        <v>446</v>
      </c>
      <c r="B125" s="19">
        <v>125</v>
      </c>
      <c r="C125" s="18" t="s">
        <v>447</v>
      </c>
      <c r="D125" s="18" t="s">
        <v>21</v>
      </c>
      <c r="E125" s="18" t="s">
        <v>166</v>
      </c>
      <c r="F125" s="20" t="s">
        <v>448</v>
      </c>
      <c r="G125" s="20" t="s">
        <v>449</v>
      </c>
      <c r="H125" s="21"/>
      <c r="I125" s="21"/>
      <c r="J125" s="21"/>
      <c r="K125" s="20"/>
      <c r="L125" s="20"/>
      <c r="M125" s="20"/>
      <c r="N125" s="20"/>
      <c r="O125" s="20"/>
      <c r="P125" s="20"/>
      <c r="Q125" s="20"/>
      <c r="R125" s="20"/>
      <c r="S125" s="25"/>
      <c r="T125" s="25"/>
    </row>
    <row r="126" spans="1:20" ht="20.149999999999999" customHeight="1">
      <c r="A126" s="18" t="s">
        <v>450</v>
      </c>
      <c r="B126" s="19">
        <v>126</v>
      </c>
      <c r="C126" s="18" t="s">
        <v>451</v>
      </c>
      <c r="D126" s="18" t="s">
        <v>21</v>
      </c>
      <c r="E126" s="18" t="s">
        <v>166</v>
      </c>
      <c r="F126" s="20" t="s">
        <v>340</v>
      </c>
      <c r="G126" s="20" t="s">
        <v>452</v>
      </c>
      <c r="H126" s="21"/>
      <c r="I126" s="21"/>
      <c r="J126" s="21"/>
      <c r="K126" s="20"/>
      <c r="L126" s="20"/>
      <c r="M126" s="20"/>
      <c r="N126" s="20"/>
      <c r="O126" s="20"/>
      <c r="P126" s="20"/>
      <c r="Q126" s="20"/>
      <c r="R126" s="20"/>
      <c r="S126" s="25"/>
      <c r="T126" s="25"/>
    </row>
    <row r="127" spans="1:20" ht="20.149999999999999" customHeight="1">
      <c r="A127" s="18" t="s">
        <v>453</v>
      </c>
      <c r="B127" s="19">
        <v>127</v>
      </c>
      <c r="C127" s="18" t="s">
        <v>454</v>
      </c>
      <c r="D127" s="18" t="s">
        <v>21</v>
      </c>
      <c r="E127" s="18" t="s">
        <v>166</v>
      </c>
      <c r="F127" s="20" t="s">
        <v>455</v>
      </c>
      <c r="G127" s="20" t="s">
        <v>456</v>
      </c>
      <c r="H127" s="21"/>
      <c r="I127" s="21"/>
      <c r="J127" s="21"/>
      <c r="K127" s="20"/>
      <c r="L127" s="20"/>
      <c r="M127" s="20"/>
      <c r="N127" s="20"/>
      <c r="O127" s="20"/>
      <c r="P127" s="20"/>
      <c r="Q127" s="20"/>
      <c r="R127" s="20"/>
      <c r="S127" s="25"/>
      <c r="T127" s="25"/>
    </row>
    <row r="128" spans="1:20" ht="20.149999999999999" customHeight="1">
      <c r="A128" s="18" t="s">
        <v>457</v>
      </c>
      <c r="B128" s="19">
        <v>128</v>
      </c>
      <c r="C128" s="18" t="s">
        <v>458</v>
      </c>
      <c r="D128" s="18" t="s">
        <v>21</v>
      </c>
      <c r="E128" s="18" t="s">
        <v>166</v>
      </c>
      <c r="F128" s="20" t="s">
        <v>290</v>
      </c>
      <c r="G128" s="20" t="s">
        <v>459</v>
      </c>
      <c r="H128" s="21"/>
      <c r="I128" s="21"/>
      <c r="J128" s="21"/>
      <c r="K128" s="20"/>
      <c r="L128" s="20"/>
      <c r="M128" s="20"/>
      <c r="N128" s="20"/>
      <c r="O128" s="20"/>
      <c r="P128" s="20"/>
      <c r="Q128" s="20"/>
      <c r="R128" s="20"/>
      <c r="S128" s="25"/>
      <c r="T128" s="25"/>
    </row>
    <row r="129" spans="1:20" ht="20.149999999999999" customHeight="1">
      <c r="A129" s="18" t="s">
        <v>460</v>
      </c>
      <c r="B129" s="19">
        <v>129</v>
      </c>
      <c r="C129" s="18" t="s">
        <v>461</v>
      </c>
      <c r="D129" s="18" t="s">
        <v>21</v>
      </c>
      <c r="E129" s="18" t="s">
        <v>166</v>
      </c>
      <c r="F129" s="20" t="s">
        <v>393</v>
      </c>
      <c r="G129" s="20" t="s">
        <v>462</v>
      </c>
      <c r="H129" s="21"/>
      <c r="I129" s="21"/>
      <c r="J129" s="21"/>
      <c r="K129" s="20"/>
      <c r="L129" s="20"/>
      <c r="M129" s="20"/>
      <c r="N129" s="20"/>
      <c r="O129" s="20"/>
      <c r="P129" s="20"/>
      <c r="Q129" s="20"/>
      <c r="R129" s="20"/>
      <c r="S129" s="25"/>
      <c r="T129" s="25"/>
    </row>
    <row r="130" spans="1:20" ht="20.149999999999999" customHeight="1">
      <c r="A130" s="18" t="s">
        <v>463</v>
      </c>
      <c r="B130" s="19">
        <v>132</v>
      </c>
      <c r="C130" s="18" t="s">
        <v>464</v>
      </c>
      <c r="D130" s="18" t="s">
        <v>465</v>
      </c>
      <c r="E130" s="18" t="s">
        <v>166</v>
      </c>
      <c r="F130" s="20" t="s">
        <v>466</v>
      </c>
      <c r="G130" s="20" t="s">
        <v>467</v>
      </c>
      <c r="H130" s="21"/>
      <c r="I130" s="21"/>
      <c r="J130" s="21"/>
      <c r="K130" s="20"/>
      <c r="L130" s="20"/>
      <c r="M130" s="20"/>
      <c r="N130" s="20"/>
      <c r="O130" s="20"/>
      <c r="P130" s="20"/>
      <c r="Q130" s="20"/>
      <c r="R130" s="20"/>
      <c r="S130" s="25"/>
      <c r="T130" s="25"/>
    </row>
    <row r="131" spans="1:20" ht="20.149999999999999" customHeight="1">
      <c r="A131" s="18" t="s">
        <v>468</v>
      </c>
      <c r="B131" s="19">
        <v>133</v>
      </c>
      <c r="C131" s="18" t="s">
        <v>469</v>
      </c>
      <c r="D131" s="18" t="s">
        <v>465</v>
      </c>
      <c r="E131" s="18" t="s">
        <v>166</v>
      </c>
      <c r="F131" s="20" t="s">
        <v>466</v>
      </c>
      <c r="G131" s="20" t="s">
        <v>470</v>
      </c>
      <c r="H131" s="21"/>
      <c r="I131" s="21"/>
      <c r="J131" s="21"/>
      <c r="K131" s="20"/>
      <c r="L131" s="20"/>
      <c r="M131" s="20"/>
      <c r="N131" s="20"/>
      <c r="O131" s="20"/>
      <c r="P131" s="20"/>
      <c r="Q131" s="20"/>
      <c r="R131" s="20"/>
      <c r="S131" s="25"/>
      <c r="T131" s="25"/>
    </row>
    <row r="132" spans="1:20" ht="20.149999999999999" customHeight="1">
      <c r="A132" s="18" t="s">
        <v>471</v>
      </c>
      <c r="B132" s="19">
        <v>201</v>
      </c>
      <c r="C132" s="18" t="s">
        <v>472</v>
      </c>
      <c r="D132" s="18" t="s">
        <v>124</v>
      </c>
      <c r="E132" s="18" t="s">
        <v>166</v>
      </c>
      <c r="F132" s="20" t="s">
        <v>473</v>
      </c>
      <c r="G132" s="20" t="s">
        <v>474</v>
      </c>
      <c r="H132" s="21"/>
      <c r="I132" s="21"/>
      <c r="J132" s="21"/>
      <c r="K132" s="20"/>
      <c r="L132" s="20"/>
      <c r="M132" s="20"/>
      <c r="N132" s="20"/>
      <c r="O132" s="20"/>
      <c r="P132" s="20"/>
      <c r="Q132" s="20"/>
      <c r="R132" s="20"/>
      <c r="S132" s="25"/>
      <c r="T132" s="25"/>
    </row>
    <row r="133" spans="1:20" ht="20.149999999999999" customHeight="1">
      <c r="A133" s="18" t="s">
        <v>475</v>
      </c>
      <c r="B133" s="19">
        <v>240</v>
      </c>
      <c r="C133" s="18" t="s">
        <v>476</v>
      </c>
      <c r="D133" s="18" t="s">
        <v>141</v>
      </c>
      <c r="E133" s="18" t="s">
        <v>166</v>
      </c>
      <c r="F133" s="20" t="s">
        <v>477</v>
      </c>
      <c r="G133" s="20" t="s">
        <v>478</v>
      </c>
      <c r="H133" s="21"/>
      <c r="I133" s="21"/>
      <c r="J133" s="21"/>
      <c r="K133" s="20"/>
      <c r="L133" s="20"/>
      <c r="M133" s="20"/>
      <c r="N133" s="20"/>
      <c r="O133" s="20"/>
      <c r="P133" s="20"/>
      <c r="Q133" s="20"/>
      <c r="R133" s="20"/>
      <c r="S133" s="25"/>
      <c r="T133" s="25"/>
    </row>
    <row r="134" spans="1:20" ht="20.149999999999999" customHeight="1">
      <c r="A134" s="18" t="s">
        <v>479</v>
      </c>
      <c r="B134" s="19">
        <v>241</v>
      </c>
      <c r="C134" s="18" t="s">
        <v>480</v>
      </c>
      <c r="D134" s="18" t="s">
        <v>124</v>
      </c>
      <c r="E134" s="18" t="s">
        <v>166</v>
      </c>
      <c r="F134" s="20" t="s">
        <v>477</v>
      </c>
      <c r="G134" s="20" t="s">
        <v>481</v>
      </c>
      <c r="H134" s="21"/>
      <c r="I134" s="21"/>
      <c r="J134" s="21"/>
      <c r="K134" s="20"/>
      <c r="L134" s="20"/>
      <c r="M134" s="20"/>
      <c r="N134" s="20"/>
      <c r="O134" s="20"/>
      <c r="P134" s="20"/>
      <c r="Q134" s="20"/>
      <c r="R134" s="20"/>
      <c r="S134" s="25"/>
      <c r="T134" s="25"/>
    </row>
    <row r="135" spans="1:20" ht="20.149999999999999" customHeight="1">
      <c r="A135" s="18" t="s">
        <v>482</v>
      </c>
      <c r="B135" s="19">
        <v>242</v>
      </c>
      <c r="C135" s="18" t="s">
        <v>483</v>
      </c>
      <c r="D135" s="18" t="s">
        <v>124</v>
      </c>
      <c r="E135" s="18" t="s">
        <v>166</v>
      </c>
      <c r="F135" s="20" t="s">
        <v>484</v>
      </c>
      <c r="G135" s="20" t="s">
        <v>485</v>
      </c>
      <c r="H135" s="21"/>
      <c r="I135" s="21"/>
      <c r="J135" s="21"/>
      <c r="K135" s="20"/>
      <c r="L135" s="20"/>
      <c r="M135" s="20"/>
      <c r="N135" s="20"/>
      <c r="O135" s="20"/>
      <c r="P135" s="20"/>
      <c r="Q135" s="20"/>
      <c r="R135" s="20"/>
      <c r="S135" s="25"/>
      <c r="T135" s="25"/>
    </row>
    <row r="136" spans="1:20" ht="20.149999999999999" customHeight="1">
      <c r="A136" s="18" t="s">
        <v>486</v>
      </c>
      <c r="B136" s="19">
        <v>244</v>
      </c>
      <c r="C136" s="18" t="s">
        <v>487</v>
      </c>
      <c r="D136" s="18" t="s">
        <v>21</v>
      </c>
      <c r="E136" s="18" t="s">
        <v>166</v>
      </c>
      <c r="F136" s="20" t="s">
        <v>477</v>
      </c>
      <c r="G136" s="20" t="s">
        <v>488</v>
      </c>
      <c r="H136" s="21"/>
      <c r="I136" s="21"/>
      <c r="J136" s="21"/>
      <c r="K136" s="20"/>
      <c r="L136" s="20"/>
      <c r="M136" s="20"/>
      <c r="N136" s="20"/>
      <c r="O136" s="20"/>
      <c r="P136" s="20"/>
      <c r="Q136" s="20"/>
      <c r="R136" s="20"/>
      <c r="S136" s="25"/>
      <c r="T136" s="25"/>
    </row>
    <row r="137" spans="1:20" ht="20.149999999999999" customHeight="1">
      <c r="A137" s="18" t="s">
        <v>489</v>
      </c>
      <c r="B137" s="19">
        <v>251</v>
      </c>
      <c r="C137" s="18" t="s">
        <v>490</v>
      </c>
      <c r="D137" s="18" t="s">
        <v>159</v>
      </c>
      <c r="E137" s="18" t="s">
        <v>166</v>
      </c>
      <c r="F137" s="20" t="s">
        <v>477</v>
      </c>
      <c r="G137" s="20"/>
      <c r="H137" s="21"/>
      <c r="I137" s="21"/>
      <c r="J137" s="21"/>
      <c r="K137" s="20"/>
      <c r="L137" s="20"/>
      <c r="M137" s="20"/>
      <c r="N137" s="20"/>
      <c r="O137" s="20"/>
      <c r="P137" s="20"/>
      <c r="Q137" s="20"/>
      <c r="R137" s="20"/>
      <c r="S137" s="25"/>
      <c r="T137" s="25"/>
    </row>
    <row r="138" spans="1:20" ht="20.149999999999999" customHeight="1">
      <c r="A138" s="18" t="s">
        <v>491</v>
      </c>
      <c r="B138" s="19">
        <v>253</v>
      </c>
      <c r="C138" s="18" t="s">
        <v>492</v>
      </c>
      <c r="D138" s="18" t="s">
        <v>493</v>
      </c>
      <c r="E138" s="18" t="s">
        <v>166</v>
      </c>
      <c r="F138" s="20" t="s">
        <v>494</v>
      </c>
      <c r="G138" s="20" t="s">
        <v>495</v>
      </c>
      <c r="H138" s="21"/>
      <c r="I138" s="21"/>
      <c r="J138" s="21"/>
      <c r="K138" s="20"/>
      <c r="L138" s="20"/>
      <c r="M138" s="20"/>
      <c r="N138" s="20"/>
      <c r="O138" s="20"/>
      <c r="P138" s="20"/>
      <c r="Q138" s="20"/>
      <c r="R138" s="20"/>
      <c r="S138" s="25"/>
      <c r="T138" s="25"/>
    </row>
    <row r="139" spans="1:20" ht="20.149999999999999" customHeight="1">
      <c r="A139" s="18" t="s">
        <v>496</v>
      </c>
      <c r="B139" s="19">
        <v>254</v>
      </c>
      <c r="C139" s="18" t="s">
        <v>497</v>
      </c>
      <c r="D139" s="18" t="s">
        <v>493</v>
      </c>
      <c r="E139" s="18" t="s">
        <v>166</v>
      </c>
      <c r="F139" s="20" t="s">
        <v>498</v>
      </c>
      <c r="G139" s="20" t="s">
        <v>499</v>
      </c>
      <c r="H139" s="21"/>
      <c r="I139" s="21"/>
      <c r="J139" s="21"/>
      <c r="K139" s="20"/>
      <c r="L139" s="20"/>
      <c r="M139" s="20"/>
      <c r="N139" s="20"/>
      <c r="O139" s="20"/>
      <c r="P139" s="20"/>
      <c r="Q139" s="20"/>
      <c r="R139" s="20"/>
      <c r="S139" s="25"/>
      <c r="T139" s="25"/>
    </row>
    <row r="140" spans="1:20" ht="20.149999999999999" customHeight="1">
      <c r="A140" s="18" t="s">
        <v>500</v>
      </c>
      <c r="B140" s="19">
        <v>257</v>
      </c>
      <c r="C140" s="18" t="s">
        <v>501</v>
      </c>
      <c r="D140" s="18" t="s">
        <v>83</v>
      </c>
      <c r="E140" s="18" t="s">
        <v>166</v>
      </c>
      <c r="F140" s="20" t="s">
        <v>502</v>
      </c>
      <c r="G140" s="20" t="s">
        <v>503</v>
      </c>
      <c r="H140" s="21"/>
      <c r="I140" s="21"/>
      <c r="J140" s="21"/>
      <c r="K140" s="20"/>
      <c r="L140" s="20"/>
      <c r="M140" s="20"/>
      <c r="N140" s="20"/>
      <c r="O140" s="20"/>
      <c r="P140" s="20"/>
      <c r="Q140" s="20"/>
      <c r="R140" s="20"/>
      <c r="S140" s="25"/>
      <c r="T140" s="25"/>
    </row>
    <row r="141" spans="1:20" ht="20.149999999999999" customHeight="1">
      <c r="A141" s="18" t="s">
        <v>504</v>
      </c>
      <c r="B141" s="19">
        <v>258</v>
      </c>
      <c r="C141" s="18" t="s">
        <v>505</v>
      </c>
      <c r="D141" s="18" t="s">
        <v>465</v>
      </c>
      <c r="E141" s="18" t="s">
        <v>166</v>
      </c>
      <c r="F141" s="20" t="s">
        <v>166</v>
      </c>
      <c r="G141" s="20" t="s">
        <v>506</v>
      </c>
      <c r="H141" s="21"/>
      <c r="I141" s="21"/>
      <c r="J141" s="21"/>
      <c r="K141" s="20"/>
      <c r="L141" s="20"/>
      <c r="M141" s="20"/>
      <c r="N141" s="20"/>
      <c r="O141" s="20"/>
      <c r="P141" s="20"/>
      <c r="Q141" s="20"/>
      <c r="R141" s="20"/>
      <c r="S141" s="25"/>
      <c r="T141" s="25"/>
    </row>
    <row r="142" spans="1:20" ht="20.149999999999999" customHeight="1">
      <c r="A142" s="18" t="s">
        <v>507</v>
      </c>
      <c r="B142" s="19">
        <v>259</v>
      </c>
      <c r="C142" s="18" t="s">
        <v>508</v>
      </c>
      <c r="D142" s="18" t="s">
        <v>141</v>
      </c>
      <c r="E142" s="18" t="s">
        <v>166</v>
      </c>
      <c r="F142" s="20" t="s">
        <v>274</v>
      </c>
      <c r="G142" s="20" t="s">
        <v>509</v>
      </c>
      <c r="H142" s="21"/>
      <c r="I142" s="21"/>
      <c r="J142" s="21"/>
      <c r="K142" s="20"/>
      <c r="L142" s="20"/>
      <c r="M142" s="20"/>
      <c r="N142" s="20"/>
      <c r="O142" s="20"/>
      <c r="P142" s="20"/>
      <c r="Q142" s="20"/>
      <c r="R142" s="20"/>
      <c r="S142" s="25"/>
      <c r="T142" s="25"/>
    </row>
    <row r="143" spans="1:20" ht="20.149999999999999" customHeight="1">
      <c r="A143" s="18" t="s">
        <v>510</v>
      </c>
      <c r="B143" s="19">
        <v>262</v>
      </c>
      <c r="C143" s="18" t="s">
        <v>511</v>
      </c>
      <c r="D143" s="18" t="s">
        <v>21</v>
      </c>
      <c r="E143" s="18" t="s">
        <v>166</v>
      </c>
      <c r="F143" s="20" t="s">
        <v>512</v>
      </c>
      <c r="G143" s="20" t="s">
        <v>513</v>
      </c>
      <c r="H143" s="21"/>
      <c r="I143" s="21"/>
      <c r="J143" s="21"/>
      <c r="K143" s="20"/>
      <c r="L143" s="20"/>
      <c r="M143" s="20"/>
      <c r="N143" s="20"/>
      <c r="O143" s="20"/>
      <c r="P143" s="20"/>
      <c r="Q143" s="20"/>
      <c r="R143" s="20"/>
      <c r="S143" s="25"/>
      <c r="T143" s="25"/>
    </row>
    <row r="144" spans="1:20" ht="20.149999999999999" customHeight="1">
      <c r="A144" s="18" t="s">
        <v>514</v>
      </c>
      <c r="B144" s="19">
        <v>271</v>
      </c>
      <c r="C144" s="18" t="s">
        <v>515</v>
      </c>
      <c r="D144" s="18" t="s">
        <v>21</v>
      </c>
      <c r="E144" s="18" t="s">
        <v>166</v>
      </c>
      <c r="F144" s="20" t="s">
        <v>516</v>
      </c>
      <c r="G144" s="20" t="s">
        <v>517</v>
      </c>
      <c r="H144" s="21"/>
      <c r="I144" s="21"/>
      <c r="J144" s="21"/>
      <c r="K144" s="20"/>
      <c r="L144" s="20"/>
      <c r="M144" s="20"/>
      <c r="N144" s="20"/>
      <c r="O144" s="20"/>
      <c r="P144" s="20"/>
      <c r="Q144" s="20"/>
      <c r="R144" s="20"/>
      <c r="S144" s="25"/>
      <c r="T144" s="25"/>
    </row>
    <row r="145" spans="1:20" ht="20.149999999999999" customHeight="1">
      <c r="A145" s="18" t="s">
        <v>518</v>
      </c>
      <c r="B145" s="19">
        <v>272</v>
      </c>
      <c r="C145" s="18" t="s">
        <v>519</v>
      </c>
      <c r="D145" s="18" t="s">
        <v>21</v>
      </c>
      <c r="E145" s="18" t="s">
        <v>166</v>
      </c>
      <c r="F145" s="20" t="s">
        <v>520</v>
      </c>
      <c r="G145" s="20" t="s">
        <v>521</v>
      </c>
      <c r="H145" s="21"/>
      <c r="I145" s="21"/>
      <c r="J145" s="21"/>
      <c r="K145" s="20"/>
      <c r="L145" s="20"/>
      <c r="M145" s="20"/>
      <c r="N145" s="20"/>
      <c r="O145" s="20"/>
      <c r="P145" s="20"/>
      <c r="Q145" s="20"/>
      <c r="R145" s="20"/>
      <c r="S145" s="25"/>
      <c r="T145" s="25"/>
    </row>
    <row r="146" spans="1:20" ht="20.149999999999999" customHeight="1">
      <c r="A146" s="18" t="s">
        <v>522</v>
      </c>
      <c r="B146" s="19">
        <v>274</v>
      </c>
      <c r="C146" s="18" t="s">
        <v>523</v>
      </c>
      <c r="D146" s="18" t="s">
        <v>159</v>
      </c>
      <c r="E146" s="18" t="s">
        <v>166</v>
      </c>
      <c r="F146" s="20" t="s">
        <v>524</v>
      </c>
      <c r="G146" s="20" t="s">
        <v>525</v>
      </c>
      <c r="H146" s="21"/>
      <c r="I146" s="21"/>
      <c r="J146" s="21"/>
      <c r="K146" s="20"/>
      <c r="L146" s="20"/>
      <c r="M146" s="20"/>
      <c r="N146" s="20"/>
      <c r="O146" s="20"/>
      <c r="P146" s="20"/>
      <c r="Q146" s="20"/>
      <c r="R146" s="20"/>
      <c r="S146" s="25"/>
      <c r="T146" s="25"/>
    </row>
    <row r="147" spans="1:20" ht="20.149999999999999" customHeight="1">
      <c r="A147" s="18" t="s">
        <v>526</v>
      </c>
      <c r="B147" s="19">
        <v>280</v>
      </c>
      <c r="C147" s="18" t="s">
        <v>527</v>
      </c>
      <c r="D147" s="18" t="s">
        <v>528</v>
      </c>
      <c r="E147" s="18" t="s">
        <v>166</v>
      </c>
      <c r="F147" s="20" t="s">
        <v>466</v>
      </c>
      <c r="G147" s="48" t="s">
        <v>529</v>
      </c>
      <c r="H147" s="21"/>
      <c r="I147" s="21"/>
      <c r="J147" s="21"/>
      <c r="K147" s="20"/>
      <c r="L147" s="20"/>
      <c r="M147" s="20"/>
      <c r="N147" s="20"/>
      <c r="O147" s="20"/>
      <c r="P147" s="20"/>
      <c r="Q147" s="20"/>
      <c r="R147" s="20"/>
      <c r="S147" s="25"/>
      <c r="T147" s="25"/>
    </row>
    <row r="148" spans="1:20" ht="20.149999999999999" customHeight="1">
      <c r="A148" s="18" t="s">
        <v>530</v>
      </c>
      <c r="B148" s="19">
        <v>286</v>
      </c>
      <c r="C148" s="18" t="s">
        <v>531</v>
      </c>
      <c r="D148" s="18" t="s">
        <v>141</v>
      </c>
      <c r="E148" s="18" t="s">
        <v>166</v>
      </c>
      <c r="F148" s="20" t="s">
        <v>532</v>
      </c>
      <c r="G148" s="20"/>
      <c r="H148" s="21"/>
      <c r="I148" s="21"/>
      <c r="J148" s="21"/>
      <c r="K148" s="20"/>
      <c r="L148" s="20"/>
      <c r="M148" s="20"/>
      <c r="N148" s="20"/>
      <c r="O148" s="20"/>
      <c r="P148" s="20"/>
      <c r="Q148" s="20"/>
      <c r="R148" s="20"/>
      <c r="S148" s="25"/>
      <c r="T148" s="25"/>
    </row>
    <row r="149" spans="1:20" ht="20.149999999999999" customHeight="1">
      <c r="A149" s="18" t="s">
        <v>533</v>
      </c>
      <c r="B149" s="19">
        <v>287</v>
      </c>
      <c r="C149" s="18" t="s">
        <v>534</v>
      </c>
      <c r="D149" s="18" t="s">
        <v>535</v>
      </c>
      <c r="E149" s="18" t="s">
        <v>166</v>
      </c>
      <c r="F149" s="20" t="s">
        <v>477</v>
      </c>
      <c r="G149" s="20"/>
      <c r="H149" s="21"/>
      <c r="I149" s="21"/>
      <c r="J149" s="21"/>
      <c r="K149" s="20"/>
      <c r="L149" s="20"/>
      <c r="M149" s="20"/>
      <c r="N149" s="20"/>
      <c r="O149" s="20"/>
      <c r="P149" s="20"/>
      <c r="Q149" s="20"/>
      <c r="R149" s="20"/>
      <c r="S149" s="25"/>
      <c r="T149" s="25"/>
    </row>
    <row r="150" spans="1:20" ht="20.149999999999999" customHeight="1">
      <c r="A150" s="18" t="s">
        <v>536</v>
      </c>
      <c r="B150" s="19">
        <v>162</v>
      </c>
      <c r="C150" s="18" t="s">
        <v>537</v>
      </c>
      <c r="D150" s="18" t="s">
        <v>21</v>
      </c>
      <c r="E150" s="18" t="s">
        <v>538</v>
      </c>
      <c r="F150" s="20" t="s">
        <v>539</v>
      </c>
      <c r="G150" s="20" t="s">
        <v>540</v>
      </c>
      <c r="H150" s="21"/>
      <c r="I150" s="21"/>
      <c r="J150" s="21"/>
      <c r="K150" s="20"/>
      <c r="L150" s="20"/>
      <c r="M150" s="20"/>
      <c r="N150" s="20"/>
      <c r="O150" s="20"/>
      <c r="P150" s="20"/>
      <c r="Q150" s="20"/>
      <c r="R150" s="20"/>
      <c r="S150" s="25"/>
      <c r="T150" s="25"/>
    </row>
    <row r="151" spans="1:20" ht="20.149999999999999" customHeight="1">
      <c r="A151" s="18" t="s">
        <v>541</v>
      </c>
      <c r="B151" s="19">
        <v>163</v>
      </c>
      <c r="C151" s="18" t="s">
        <v>542</v>
      </c>
      <c r="D151" s="18" t="s">
        <v>21</v>
      </c>
      <c r="E151" s="18" t="s">
        <v>538</v>
      </c>
      <c r="F151" s="20" t="s">
        <v>543</v>
      </c>
      <c r="G151" s="20" t="s">
        <v>544</v>
      </c>
      <c r="H151" s="21"/>
      <c r="I151" s="21"/>
      <c r="J151" s="21"/>
      <c r="K151" s="20"/>
      <c r="L151" s="20"/>
      <c r="M151" s="20"/>
      <c r="N151" s="20"/>
      <c r="O151" s="20"/>
      <c r="P151" s="20"/>
      <c r="Q151" s="20"/>
      <c r="R151" s="20"/>
      <c r="S151" s="25"/>
      <c r="T151" s="25"/>
    </row>
    <row r="152" spans="1:20" ht="20.149999999999999" customHeight="1">
      <c r="A152" s="18" t="s">
        <v>545</v>
      </c>
      <c r="B152" s="19">
        <v>164</v>
      </c>
      <c r="C152" s="18" t="s">
        <v>546</v>
      </c>
      <c r="D152" s="18" t="s">
        <v>21</v>
      </c>
      <c r="E152" s="18" t="s">
        <v>538</v>
      </c>
      <c r="F152" s="20" t="s">
        <v>547</v>
      </c>
      <c r="G152" s="20" t="s">
        <v>548</v>
      </c>
      <c r="H152" s="21"/>
      <c r="I152" s="21"/>
      <c r="J152" s="21"/>
      <c r="K152" s="20"/>
      <c r="L152" s="20"/>
      <c r="M152" s="20"/>
      <c r="N152" s="20"/>
      <c r="O152" s="20"/>
      <c r="P152" s="20"/>
      <c r="Q152" s="20"/>
      <c r="R152" s="20"/>
      <c r="S152" s="25"/>
      <c r="T152" s="25"/>
    </row>
    <row r="153" spans="1:20" ht="20.149999999999999" customHeight="1">
      <c r="A153" s="18" t="s">
        <v>549</v>
      </c>
      <c r="B153" s="19">
        <v>165</v>
      </c>
      <c r="C153" s="18" t="s">
        <v>550</v>
      </c>
      <c r="D153" s="18" t="s">
        <v>21</v>
      </c>
      <c r="E153" s="18" t="s">
        <v>538</v>
      </c>
      <c r="F153" s="20" t="s">
        <v>551</v>
      </c>
      <c r="G153" s="20" t="s">
        <v>552</v>
      </c>
      <c r="H153" s="21"/>
      <c r="I153" s="21"/>
      <c r="J153" s="21"/>
      <c r="K153" s="20"/>
      <c r="L153" s="20"/>
      <c r="M153" s="20"/>
      <c r="N153" s="20"/>
      <c r="O153" s="20"/>
      <c r="P153" s="20"/>
      <c r="Q153" s="20"/>
      <c r="R153" s="20"/>
      <c r="S153" s="25"/>
      <c r="T153" s="25"/>
    </row>
    <row r="154" spans="1:20" ht="20.149999999999999" customHeight="1">
      <c r="A154" s="18" t="s">
        <v>553</v>
      </c>
      <c r="B154" s="19">
        <v>166</v>
      </c>
      <c r="C154" s="18" t="s">
        <v>554</v>
      </c>
      <c r="D154" s="18" t="s">
        <v>21</v>
      </c>
      <c r="E154" s="18" t="s">
        <v>538</v>
      </c>
      <c r="F154" s="20" t="s">
        <v>555</v>
      </c>
      <c r="G154" s="20" t="s">
        <v>556</v>
      </c>
      <c r="H154" s="21"/>
      <c r="I154" s="21"/>
      <c r="J154" s="21"/>
      <c r="K154" s="20"/>
      <c r="L154" s="20"/>
      <c r="M154" s="20"/>
      <c r="N154" s="20"/>
      <c r="O154" s="20"/>
      <c r="P154" s="20"/>
      <c r="Q154" s="20"/>
      <c r="R154" s="20"/>
      <c r="S154" s="25"/>
      <c r="T154" s="25"/>
    </row>
    <row r="155" spans="1:20" ht="20.149999999999999" customHeight="1">
      <c r="A155" s="18" t="s">
        <v>557</v>
      </c>
      <c r="B155" s="19">
        <v>167</v>
      </c>
      <c r="C155" s="18" t="s">
        <v>558</v>
      </c>
      <c r="D155" s="18" t="s">
        <v>21</v>
      </c>
      <c r="E155" s="18" t="s">
        <v>538</v>
      </c>
      <c r="F155" s="20" t="s">
        <v>559</v>
      </c>
      <c r="G155" s="20" t="s">
        <v>560</v>
      </c>
      <c r="H155" s="21"/>
      <c r="I155" s="21"/>
      <c r="J155" s="21"/>
      <c r="K155" s="20"/>
      <c r="L155" s="20"/>
      <c r="M155" s="20"/>
      <c r="N155" s="20"/>
      <c r="O155" s="20"/>
      <c r="P155" s="20"/>
      <c r="Q155" s="20"/>
      <c r="R155" s="20"/>
      <c r="S155" s="25"/>
      <c r="T155" s="25"/>
    </row>
    <row r="156" spans="1:20" ht="20.149999999999999" customHeight="1">
      <c r="A156" s="18" t="s">
        <v>561</v>
      </c>
      <c r="B156" s="19">
        <v>168</v>
      </c>
      <c r="C156" s="18" t="s">
        <v>562</v>
      </c>
      <c r="D156" s="18" t="s">
        <v>21</v>
      </c>
      <c r="E156" s="18" t="s">
        <v>538</v>
      </c>
      <c r="F156" s="20" t="s">
        <v>563</v>
      </c>
      <c r="G156" s="20" t="s">
        <v>564</v>
      </c>
      <c r="H156" s="21"/>
      <c r="I156" s="21"/>
      <c r="J156" s="21"/>
      <c r="K156" s="20"/>
      <c r="L156" s="20"/>
      <c r="M156" s="20"/>
      <c r="N156" s="20"/>
      <c r="O156" s="20"/>
      <c r="P156" s="20"/>
      <c r="Q156" s="20"/>
      <c r="R156" s="20"/>
      <c r="S156" s="25"/>
      <c r="T156" s="25"/>
    </row>
    <row r="157" spans="1:20" ht="20.149999999999999" customHeight="1">
      <c r="A157" s="18" t="s">
        <v>565</v>
      </c>
      <c r="B157" s="19">
        <v>169</v>
      </c>
      <c r="C157" s="18" t="s">
        <v>566</v>
      </c>
      <c r="D157" s="18" t="s">
        <v>21</v>
      </c>
      <c r="E157" s="18" t="s">
        <v>538</v>
      </c>
      <c r="F157" s="20" t="s">
        <v>567</v>
      </c>
      <c r="G157" s="20" t="s">
        <v>568</v>
      </c>
      <c r="H157" s="21"/>
      <c r="I157" s="21"/>
      <c r="J157" s="21"/>
      <c r="K157" s="20"/>
      <c r="L157" s="20"/>
      <c r="M157" s="20"/>
      <c r="N157" s="20"/>
      <c r="O157" s="20"/>
      <c r="P157" s="20"/>
      <c r="Q157" s="20"/>
      <c r="R157" s="20"/>
      <c r="S157" s="25"/>
      <c r="T157" s="25"/>
    </row>
    <row r="158" spans="1:20" ht="20.149999999999999" customHeight="1">
      <c r="A158" s="18" t="s">
        <v>569</v>
      </c>
      <c r="B158" s="19">
        <v>170</v>
      </c>
      <c r="C158" s="18" t="s">
        <v>570</v>
      </c>
      <c r="D158" s="18" t="s">
        <v>21</v>
      </c>
      <c r="E158" s="18" t="s">
        <v>538</v>
      </c>
      <c r="F158" s="20" t="s">
        <v>571</v>
      </c>
      <c r="G158" s="20" t="s">
        <v>572</v>
      </c>
      <c r="H158" s="21"/>
      <c r="I158" s="21"/>
      <c r="J158" s="21"/>
      <c r="K158" s="20"/>
      <c r="L158" s="20"/>
      <c r="M158" s="20"/>
      <c r="N158" s="20"/>
      <c r="O158" s="20"/>
      <c r="P158" s="20"/>
      <c r="Q158" s="20"/>
      <c r="R158" s="20"/>
      <c r="S158" s="25"/>
      <c r="T158" s="25"/>
    </row>
    <row r="159" spans="1:20" ht="20.149999999999999" customHeight="1">
      <c r="A159" s="18" t="s">
        <v>573</v>
      </c>
      <c r="B159" s="19">
        <v>171</v>
      </c>
      <c r="C159" s="18" t="s">
        <v>574</v>
      </c>
      <c r="D159" s="18" t="s">
        <v>21</v>
      </c>
      <c r="E159" s="18" t="s">
        <v>538</v>
      </c>
      <c r="F159" s="20" t="s">
        <v>575</v>
      </c>
      <c r="G159" s="20" t="s">
        <v>576</v>
      </c>
      <c r="H159" s="21"/>
      <c r="I159" s="21"/>
      <c r="J159" s="21"/>
      <c r="K159" s="20"/>
      <c r="L159" s="20"/>
      <c r="M159" s="20"/>
      <c r="N159" s="20"/>
      <c r="O159" s="20"/>
      <c r="P159" s="20"/>
      <c r="Q159" s="20"/>
      <c r="R159" s="20"/>
      <c r="S159" s="25"/>
      <c r="T159" s="25"/>
    </row>
    <row r="160" spans="1:20" ht="20.149999999999999" customHeight="1">
      <c r="A160" s="18" t="s">
        <v>577</v>
      </c>
      <c r="B160" s="19">
        <v>172</v>
      </c>
      <c r="C160" s="18" t="s">
        <v>578</v>
      </c>
      <c r="D160" s="18" t="s">
        <v>21</v>
      </c>
      <c r="E160" s="18" t="s">
        <v>538</v>
      </c>
      <c r="F160" s="20" t="s">
        <v>579</v>
      </c>
      <c r="G160" s="20" t="s">
        <v>580</v>
      </c>
      <c r="H160" s="21"/>
      <c r="I160" s="21"/>
      <c r="J160" s="21"/>
      <c r="K160" s="20"/>
      <c r="L160" s="20"/>
      <c r="M160" s="20"/>
      <c r="N160" s="20"/>
      <c r="O160" s="20"/>
      <c r="P160" s="20"/>
      <c r="Q160" s="20"/>
      <c r="R160" s="20"/>
      <c r="S160" s="25"/>
      <c r="T160" s="25"/>
    </row>
    <row r="161" spans="1:20" ht="20.149999999999999" customHeight="1">
      <c r="A161" s="18" t="s">
        <v>581</v>
      </c>
      <c r="B161" s="19">
        <v>173</v>
      </c>
      <c r="C161" s="18" t="s">
        <v>582</v>
      </c>
      <c r="D161" s="18" t="s">
        <v>21</v>
      </c>
      <c r="E161" s="18" t="s">
        <v>538</v>
      </c>
      <c r="F161" s="20" t="s">
        <v>583</v>
      </c>
      <c r="G161" s="20" t="s">
        <v>584</v>
      </c>
      <c r="H161" s="21"/>
      <c r="I161" s="21"/>
      <c r="J161" s="21"/>
      <c r="K161" s="20"/>
      <c r="L161" s="20"/>
      <c r="M161" s="20"/>
      <c r="N161" s="20"/>
      <c r="O161" s="20"/>
      <c r="P161" s="20"/>
      <c r="Q161" s="20"/>
      <c r="R161" s="20"/>
      <c r="S161" s="25"/>
      <c r="T161" s="25"/>
    </row>
    <row r="162" spans="1:20" ht="20.149999999999999" customHeight="1">
      <c r="A162" s="18" t="s">
        <v>585</v>
      </c>
      <c r="B162" s="19">
        <v>174</v>
      </c>
      <c r="C162" s="18" t="s">
        <v>586</v>
      </c>
      <c r="D162" s="18" t="s">
        <v>21</v>
      </c>
      <c r="E162" s="18" t="s">
        <v>538</v>
      </c>
      <c r="F162" s="20" t="s">
        <v>587</v>
      </c>
      <c r="G162" s="20" t="s">
        <v>588</v>
      </c>
      <c r="H162" s="21"/>
      <c r="I162" s="21"/>
      <c r="J162" s="21"/>
      <c r="K162" s="20"/>
      <c r="L162" s="20"/>
      <c r="M162" s="20"/>
      <c r="N162" s="20"/>
      <c r="O162" s="20"/>
      <c r="P162" s="20"/>
      <c r="Q162" s="20"/>
      <c r="R162" s="20"/>
      <c r="S162" s="25"/>
      <c r="T162" s="25"/>
    </row>
    <row r="163" spans="1:20" ht="20.149999999999999" customHeight="1">
      <c r="A163" s="18" t="s">
        <v>589</v>
      </c>
      <c r="B163" s="19">
        <v>175</v>
      </c>
      <c r="C163" s="18" t="s">
        <v>590</v>
      </c>
      <c r="D163" s="18" t="s">
        <v>21</v>
      </c>
      <c r="E163" s="18" t="s">
        <v>538</v>
      </c>
      <c r="F163" s="20" t="s">
        <v>591</v>
      </c>
      <c r="G163" s="20" t="s">
        <v>592</v>
      </c>
      <c r="H163" s="21"/>
      <c r="I163" s="21"/>
      <c r="J163" s="21"/>
      <c r="K163" s="20"/>
      <c r="L163" s="20"/>
      <c r="M163" s="20"/>
      <c r="N163" s="20"/>
      <c r="O163" s="20"/>
      <c r="P163" s="20"/>
      <c r="Q163" s="20"/>
      <c r="R163" s="20"/>
      <c r="S163" s="25"/>
      <c r="T163" s="25"/>
    </row>
    <row r="164" spans="1:20" ht="20.149999999999999" customHeight="1">
      <c r="A164" s="18" t="s">
        <v>593</v>
      </c>
      <c r="B164" s="19">
        <v>177</v>
      </c>
      <c r="C164" s="18" t="s">
        <v>594</v>
      </c>
      <c r="D164" s="18" t="s">
        <v>83</v>
      </c>
      <c r="E164" s="18" t="s">
        <v>538</v>
      </c>
      <c r="F164" s="20" t="s">
        <v>595</v>
      </c>
      <c r="G164" s="20" t="s">
        <v>596</v>
      </c>
      <c r="H164" s="21"/>
      <c r="I164" s="21"/>
      <c r="J164" s="21"/>
      <c r="K164" s="20"/>
      <c r="L164" s="20"/>
      <c r="M164" s="20"/>
      <c r="N164" s="20"/>
      <c r="O164" s="20"/>
      <c r="P164" s="20"/>
      <c r="Q164" s="20"/>
      <c r="R164" s="20"/>
      <c r="S164" s="25"/>
      <c r="T164" s="25"/>
    </row>
    <row r="165" spans="1:20" ht="20.149999999999999" customHeight="1">
      <c r="A165" s="18" t="s">
        <v>597</v>
      </c>
      <c r="B165" s="19">
        <v>179</v>
      </c>
      <c r="C165" s="18" t="s">
        <v>598</v>
      </c>
      <c r="D165" s="18" t="s">
        <v>83</v>
      </c>
      <c r="E165" s="18" t="s">
        <v>538</v>
      </c>
      <c r="F165" s="20" t="s">
        <v>599</v>
      </c>
      <c r="G165" s="20" t="s">
        <v>600</v>
      </c>
      <c r="H165" s="21"/>
      <c r="I165" s="21"/>
      <c r="J165" s="21"/>
      <c r="K165" s="20"/>
      <c r="L165" s="20"/>
      <c r="M165" s="20"/>
      <c r="N165" s="20"/>
      <c r="O165" s="20"/>
      <c r="P165" s="20"/>
      <c r="Q165" s="20"/>
      <c r="R165" s="20"/>
      <c r="S165" s="25"/>
      <c r="T165" s="25"/>
    </row>
    <row r="166" spans="1:20" ht="20.149999999999999" customHeight="1">
      <c r="A166" s="18" t="s">
        <v>601</v>
      </c>
      <c r="B166" s="19">
        <v>180</v>
      </c>
      <c r="C166" s="18" t="s">
        <v>602</v>
      </c>
      <c r="D166" s="18" t="s">
        <v>21</v>
      </c>
      <c r="E166" s="18" t="s">
        <v>538</v>
      </c>
      <c r="F166" s="20" t="s">
        <v>547</v>
      </c>
      <c r="G166" s="20" t="s">
        <v>603</v>
      </c>
      <c r="H166" s="21"/>
      <c r="I166" s="21"/>
      <c r="J166" s="21"/>
      <c r="K166" s="20"/>
      <c r="L166" s="20"/>
      <c r="M166" s="20"/>
      <c r="N166" s="20"/>
      <c r="O166" s="20"/>
      <c r="P166" s="20"/>
      <c r="Q166" s="20"/>
      <c r="R166" s="20"/>
      <c r="S166" s="25"/>
      <c r="T166" s="25"/>
    </row>
    <row r="167" spans="1:20" ht="20.149999999999999" customHeight="1">
      <c r="A167" s="18" t="s">
        <v>604</v>
      </c>
      <c r="B167" s="19">
        <v>181</v>
      </c>
      <c r="C167" s="18" t="s">
        <v>605</v>
      </c>
      <c r="D167" s="18" t="s">
        <v>21</v>
      </c>
      <c r="E167" s="18" t="s">
        <v>538</v>
      </c>
      <c r="F167" s="20" t="s">
        <v>539</v>
      </c>
      <c r="G167" s="20" t="s">
        <v>606</v>
      </c>
      <c r="H167" s="21"/>
      <c r="I167" s="21"/>
      <c r="J167" s="21"/>
      <c r="K167" s="20"/>
      <c r="L167" s="20"/>
      <c r="M167" s="20"/>
      <c r="N167" s="20"/>
      <c r="O167" s="20"/>
      <c r="P167" s="20"/>
      <c r="Q167" s="20"/>
      <c r="R167" s="20"/>
      <c r="S167" s="25"/>
      <c r="T167" s="25"/>
    </row>
    <row r="168" spans="1:20" ht="20.149999999999999" customHeight="1">
      <c r="A168" s="18" t="s">
        <v>607</v>
      </c>
      <c r="B168" s="19">
        <v>182</v>
      </c>
      <c r="C168" s="18" t="s">
        <v>608</v>
      </c>
      <c r="D168" s="18" t="s">
        <v>21</v>
      </c>
      <c r="E168" s="18" t="s">
        <v>538</v>
      </c>
      <c r="F168" s="20" t="s">
        <v>609</v>
      </c>
      <c r="G168" s="20" t="s">
        <v>610</v>
      </c>
      <c r="H168" s="21"/>
      <c r="I168" s="21"/>
      <c r="J168" s="21"/>
      <c r="K168" s="20"/>
      <c r="L168" s="20"/>
      <c r="M168" s="20"/>
      <c r="N168" s="20"/>
      <c r="O168" s="20"/>
      <c r="P168" s="20"/>
      <c r="Q168" s="20"/>
      <c r="R168" s="20"/>
      <c r="S168" s="25"/>
      <c r="T168" s="25"/>
    </row>
    <row r="169" spans="1:20" ht="20.149999999999999" customHeight="1">
      <c r="A169" s="18" t="s">
        <v>611</v>
      </c>
      <c r="B169" s="19">
        <v>184</v>
      </c>
      <c r="C169" s="18" t="s">
        <v>612</v>
      </c>
      <c r="D169" s="18" t="s">
        <v>141</v>
      </c>
      <c r="E169" s="18" t="s">
        <v>538</v>
      </c>
      <c r="F169" s="20" t="s">
        <v>539</v>
      </c>
      <c r="G169" s="20" t="s">
        <v>613</v>
      </c>
      <c r="H169" s="21"/>
      <c r="I169" s="21"/>
      <c r="J169" s="21"/>
      <c r="K169" s="20"/>
      <c r="L169" s="20"/>
      <c r="M169" s="20"/>
      <c r="N169" s="20"/>
      <c r="O169" s="20"/>
      <c r="P169" s="20"/>
      <c r="Q169" s="20"/>
      <c r="R169" s="20"/>
      <c r="S169" s="25"/>
      <c r="T169" s="25"/>
    </row>
    <row r="170" spans="1:20" ht="20.149999999999999" customHeight="1">
      <c r="A170" s="18" t="s">
        <v>614</v>
      </c>
      <c r="B170" s="19">
        <v>185</v>
      </c>
      <c r="C170" s="18" t="s">
        <v>615</v>
      </c>
      <c r="D170" s="18" t="s">
        <v>141</v>
      </c>
      <c r="E170" s="18" t="s">
        <v>538</v>
      </c>
      <c r="F170" s="20" t="s">
        <v>575</v>
      </c>
      <c r="G170" s="20" t="s">
        <v>616</v>
      </c>
      <c r="H170" s="21"/>
      <c r="I170" s="21"/>
      <c r="J170" s="21"/>
      <c r="K170" s="20"/>
      <c r="L170" s="20"/>
      <c r="M170" s="20"/>
      <c r="N170" s="20"/>
      <c r="O170" s="20"/>
      <c r="P170" s="20"/>
      <c r="Q170" s="20"/>
      <c r="R170" s="20"/>
      <c r="S170" s="25"/>
      <c r="T170" s="25"/>
    </row>
    <row r="171" spans="1:20" ht="20.149999999999999" customHeight="1">
      <c r="A171" s="18" t="s">
        <v>617</v>
      </c>
      <c r="B171" s="19">
        <v>186</v>
      </c>
      <c r="C171" s="18" t="s">
        <v>618</v>
      </c>
      <c r="D171" s="18" t="s">
        <v>124</v>
      </c>
      <c r="E171" s="18" t="s">
        <v>538</v>
      </c>
      <c r="F171" s="20" t="s">
        <v>619</v>
      </c>
      <c r="G171" s="20" t="s">
        <v>620</v>
      </c>
      <c r="H171" s="21"/>
      <c r="I171" s="21"/>
      <c r="J171" s="21"/>
      <c r="K171" s="20"/>
      <c r="L171" s="20"/>
      <c r="M171" s="20"/>
      <c r="N171" s="20"/>
      <c r="O171" s="20"/>
      <c r="P171" s="20"/>
      <c r="Q171" s="20"/>
      <c r="R171" s="20"/>
      <c r="S171" s="25"/>
      <c r="T171" s="25"/>
    </row>
    <row r="172" spans="1:20" ht="20.149999999999999" customHeight="1">
      <c r="A172" s="18" t="s">
        <v>621</v>
      </c>
      <c r="B172" s="19">
        <v>188</v>
      </c>
      <c r="C172" s="18" t="s">
        <v>622</v>
      </c>
      <c r="D172" s="18" t="s">
        <v>124</v>
      </c>
      <c r="E172" s="18" t="s">
        <v>538</v>
      </c>
      <c r="F172" s="20" t="s">
        <v>623</v>
      </c>
      <c r="G172" s="20" t="s">
        <v>624</v>
      </c>
      <c r="H172" s="21"/>
      <c r="I172" s="21"/>
      <c r="J172" s="21"/>
      <c r="K172" s="20"/>
      <c r="L172" s="20"/>
      <c r="M172" s="20"/>
      <c r="N172" s="20"/>
      <c r="O172" s="20"/>
      <c r="P172" s="20"/>
      <c r="Q172" s="20"/>
      <c r="R172" s="20"/>
      <c r="S172" s="25"/>
      <c r="T172" s="25"/>
    </row>
    <row r="173" spans="1:20" ht="20.149999999999999" customHeight="1">
      <c r="A173" s="18" t="s">
        <v>625</v>
      </c>
      <c r="B173" s="19">
        <v>189</v>
      </c>
      <c r="C173" s="18" t="s">
        <v>626</v>
      </c>
      <c r="D173" s="18" t="s">
        <v>124</v>
      </c>
      <c r="E173" s="18" t="s">
        <v>538</v>
      </c>
      <c r="F173" s="20" t="s">
        <v>609</v>
      </c>
      <c r="G173" s="20" t="s">
        <v>627</v>
      </c>
      <c r="H173" s="21"/>
      <c r="I173" s="21"/>
      <c r="J173" s="21"/>
      <c r="K173" s="20"/>
      <c r="L173" s="20"/>
      <c r="M173" s="20"/>
      <c r="N173" s="20"/>
      <c r="O173" s="20"/>
      <c r="P173" s="20"/>
      <c r="Q173" s="20"/>
      <c r="R173" s="20"/>
      <c r="S173" s="25"/>
      <c r="T173" s="25"/>
    </row>
    <row r="174" spans="1:20" ht="20.149999999999999" customHeight="1">
      <c r="A174" s="18" t="s">
        <v>628</v>
      </c>
      <c r="B174" s="19">
        <v>190</v>
      </c>
      <c r="C174" s="18" t="s">
        <v>629</v>
      </c>
      <c r="D174" s="18" t="s">
        <v>21</v>
      </c>
      <c r="E174" s="18" t="s">
        <v>538</v>
      </c>
      <c r="F174" s="20" t="s">
        <v>591</v>
      </c>
      <c r="G174" s="20" t="s">
        <v>630</v>
      </c>
      <c r="H174" s="21"/>
      <c r="I174" s="21"/>
      <c r="J174" s="21"/>
      <c r="K174" s="20"/>
      <c r="L174" s="20"/>
      <c r="M174" s="20"/>
      <c r="N174" s="20"/>
      <c r="O174" s="20"/>
      <c r="P174" s="20"/>
      <c r="Q174" s="20"/>
      <c r="R174" s="20"/>
      <c r="S174" s="25"/>
      <c r="T174" s="25"/>
    </row>
    <row r="175" spans="1:20" ht="20.149999999999999" customHeight="1">
      <c r="A175" s="18" t="s">
        <v>631</v>
      </c>
      <c r="B175" s="19">
        <v>191</v>
      </c>
      <c r="C175" s="18" t="s">
        <v>632</v>
      </c>
      <c r="D175" s="18" t="s">
        <v>21</v>
      </c>
      <c r="E175" s="18" t="s">
        <v>538</v>
      </c>
      <c r="F175" s="20" t="s">
        <v>609</v>
      </c>
      <c r="G175" s="20" t="s">
        <v>633</v>
      </c>
      <c r="H175" s="21"/>
      <c r="I175" s="21"/>
      <c r="J175" s="21"/>
      <c r="K175" s="20"/>
      <c r="L175" s="20"/>
      <c r="M175" s="20"/>
      <c r="N175" s="20"/>
      <c r="O175" s="20"/>
      <c r="P175" s="20"/>
      <c r="Q175" s="20"/>
      <c r="R175" s="20"/>
      <c r="S175" s="25"/>
      <c r="T175" s="25"/>
    </row>
    <row r="176" spans="1:20" ht="20.149999999999999" customHeight="1">
      <c r="A176" s="18" t="s">
        <v>634</v>
      </c>
      <c r="B176" s="19">
        <v>192</v>
      </c>
      <c r="C176" s="18" t="s">
        <v>635</v>
      </c>
      <c r="D176" s="18" t="s">
        <v>21</v>
      </c>
      <c r="E176" s="18" t="s">
        <v>538</v>
      </c>
      <c r="F176" s="20" t="s">
        <v>563</v>
      </c>
      <c r="G176" s="20" t="s">
        <v>636</v>
      </c>
      <c r="H176" s="21"/>
      <c r="I176" s="21"/>
      <c r="J176" s="21"/>
      <c r="K176" s="20"/>
      <c r="L176" s="20"/>
      <c r="M176" s="20"/>
      <c r="N176" s="20"/>
      <c r="O176" s="20"/>
      <c r="P176" s="20"/>
      <c r="Q176" s="20"/>
      <c r="R176" s="20"/>
      <c r="S176" s="25"/>
      <c r="T176" s="25"/>
    </row>
    <row r="177" spans="1:20" ht="20.149999999999999" customHeight="1">
      <c r="A177" s="18" t="s">
        <v>637</v>
      </c>
      <c r="B177" s="19">
        <v>193</v>
      </c>
      <c r="C177" s="18" t="s">
        <v>638</v>
      </c>
      <c r="D177" s="18" t="s">
        <v>21</v>
      </c>
      <c r="E177" s="18" t="s">
        <v>538</v>
      </c>
      <c r="F177" s="20" t="s">
        <v>639</v>
      </c>
      <c r="G177" s="20" t="s">
        <v>640</v>
      </c>
      <c r="H177" s="21"/>
      <c r="I177" s="21"/>
      <c r="J177" s="21"/>
      <c r="K177" s="20"/>
      <c r="L177" s="20"/>
      <c r="M177" s="20"/>
      <c r="N177" s="20"/>
      <c r="O177" s="20"/>
      <c r="P177" s="20"/>
      <c r="Q177" s="20"/>
      <c r="R177" s="20"/>
      <c r="S177" s="25"/>
      <c r="T177" s="25"/>
    </row>
    <row r="178" spans="1:20" ht="20.149999999999999" customHeight="1">
      <c r="A178" s="18" t="s">
        <v>641</v>
      </c>
      <c r="B178" s="19">
        <v>194</v>
      </c>
      <c r="C178" s="18" t="s">
        <v>642</v>
      </c>
      <c r="D178" s="18" t="s">
        <v>21</v>
      </c>
      <c r="E178" s="18" t="s">
        <v>538</v>
      </c>
      <c r="F178" s="20" t="s">
        <v>643</v>
      </c>
      <c r="G178" s="20" t="s">
        <v>644</v>
      </c>
      <c r="H178" s="21"/>
      <c r="I178" s="21"/>
      <c r="J178" s="21"/>
      <c r="K178" s="20"/>
      <c r="L178" s="20"/>
      <c r="M178" s="20"/>
      <c r="N178" s="20"/>
      <c r="O178" s="20"/>
      <c r="P178" s="20"/>
      <c r="Q178" s="20"/>
      <c r="R178" s="20"/>
      <c r="S178" s="25"/>
      <c r="T178" s="25"/>
    </row>
    <row r="179" spans="1:20" ht="20.149999999999999" customHeight="1">
      <c r="A179" s="18" t="s">
        <v>645</v>
      </c>
      <c r="B179" s="19">
        <v>195</v>
      </c>
      <c r="C179" s="18" t="s">
        <v>646</v>
      </c>
      <c r="D179" s="18" t="s">
        <v>21</v>
      </c>
      <c r="E179" s="18" t="s">
        <v>538</v>
      </c>
      <c r="F179" s="20" t="s">
        <v>643</v>
      </c>
      <c r="G179" s="20" t="s">
        <v>647</v>
      </c>
      <c r="H179" s="21"/>
      <c r="I179" s="21"/>
      <c r="J179" s="21"/>
      <c r="K179" s="20"/>
      <c r="L179" s="20"/>
      <c r="M179" s="20"/>
      <c r="N179" s="20"/>
      <c r="O179" s="20"/>
      <c r="P179" s="20"/>
      <c r="Q179" s="20"/>
      <c r="R179" s="20"/>
      <c r="S179" s="25"/>
      <c r="T179" s="25"/>
    </row>
    <row r="180" spans="1:20" ht="20.149999999999999" customHeight="1">
      <c r="A180" s="18" t="s">
        <v>648</v>
      </c>
      <c r="B180" s="19">
        <v>196</v>
      </c>
      <c r="C180" s="18" t="s">
        <v>649</v>
      </c>
      <c r="D180" s="18" t="s">
        <v>21</v>
      </c>
      <c r="E180" s="18" t="s">
        <v>538</v>
      </c>
      <c r="F180" s="20" t="s">
        <v>587</v>
      </c>
      <c r="G180" s="20"/>
      <c r="H180" s="21"/>
      <c r="I180" s="21"/>
      <c r="J180" s="21"/>
      <c r="K180" s="20"/>
      <c r="L180" s="20"/>
      <c r="M180" s="20"/>
      <c r="N180" s="20"/>
      <c r="O180" s="20"/>
      <c r="P180" s="20"/>
      <c r="Q180" s="20"/>
      <c r="R180" s="20"/>
      <c r="S180" s="25"/>
      <c r="T180" s="25"/>
    </row>
    <row r="181" spans="1:20" ht="20.149999999999999" customHeight="1">
      <c r="A181" s="18" t="s">
        <v>650</v>
      </c>
      <c r="B181" s="19">
        <v>202</v>
      </c>
      <c r="C181" s="18" t="s">
        <v>651</v>
      </c>
      <c r="D181" s="18" t="s">
        <v>83</v>
      </c>
      <c r="E181" s="18" t="s">
        <v>538</v>
      </c>
      <c r="F181" s="20" t="s">
        <v>652</v>
      </c>
      <c r="G181" s="20" t="s">
        <v>653</v>
      </c>
      <c r="H181" s="21"/>
      <c r="I181" s="21"/>
      <c r="J181" s="21"/>
      <c r="K181" s="20"/>
      <c r="L181" s="20"/>
      <c r="M181" s="20"/>
      <c r="N181" s="20"/>
      <c r="O181" s="20"/>
      <c r="P181" s="20"/>
      <c r="Q181" s="20"/>
      <c r="R181" s="20"/>
      <c r="S181" s="25"/>
      <c r="T181" s="25"/>
    </row>
    <row r="182" spans="1:20" ht="20.149999999999999" customHeight="1">
      <c r="A182" s="18" t="s">
        <v>654</v>
      </c>
      <c r="B182" s="19">
        <v>203</v>
      </c>
      <c r="C182" s="18" t="s">
        <v>655</v>
      </c>
      <c r="D182" s="18" t="s">
        <v>83</v>
      </c>
      <c r="E182" s="18" t="s">
        <v>538</v>
      </c>
      <c r="F182" s="20" t="s">
        <v>656</v>
      </c>
      <c r="G182" s="20" t="s">
        <v>657</v>
      </c>
      <c r="H182" s="21"/>
      <c r="I182" s="21"/>
      <c r="J182" s="21"/>
      <c r="K182" s="20"/>
      <c r="L182" s="20"/>
      <c r="M182" s="20"/>
      <c r="N182" s="20"/>
      <c r="O182" s="20"/>
      <c r="P182" s="20"/>
      <c r="Q182" s="20"/>
      <c r="R182" s="20"/>
      <c r="S182" s="25"/>
      <c r="T182" s="25"/>
    </row>
    <row r="183" spans="1:20" ht="20.149999999999999" customHeight="1">
      <c r="A183" s="18" t="s">
        <v>658</v>
      </c>
      <c r="B183" s="19">
        <v>204</v>
      </c>
      <c r="C183" s="18" t="s">
        <v>659</v>
      </c>
      <c r="D183" s="18" t="s">
        <v>83</v>
      </c>
      <c r="E183" s="18" t="s">
        <v>538</v>
      </c>
      <c r="F183" s="20" t="s">
        <v>660</v>
      </c>
      <c r="G183" s="20" t="s">
        <v>661</v>
      </c>
      <c r="H183" s="21"/>
      <c r="I183" s="21"/>
      <c r="J183" s="21"/>
      <c r="K183" s="20"/>
      <c r="L183" s="20"/>
      <c r="M183" s="20"/>
      <c r="N183" s="20"/>
      <c r="O183" s="20"/>
      <c r="P183" s="20"/>
      <c r="Q183" s="20"/>
      <c r="R183" s="20"/>
      <c r="S183" s="25"/>
      <c r="T183" s="25"/>
    </row>
    <row r="184" spans="1:20" ht="20.149999999999999" customHeight="1">
      <c r="A184" s="18" t="s">
        <v>662</v>
      </c>
      <c r="B184" s="19">
        <v>205</v>
      </c>
      <c r="C184" s="18" t="s">
        <v>663</v>
      </c>
      <c r="D184" s="18" t="s">
        <v>83</v>
      </c>
      <c r="E184" s="18" t="s">
        <v>538</v>
      </c>
      <c r="F184" s="20" t="s">
        <v>664</v>
      </c>
      <c r="G184" s="20" t="s">
        <v>665</v>
      </c>
      <c r="H184" s="21"/>
      <c r="I184" s="21"/>
      <c r="J184" s="21"/>
      <c r="K184" s="20"/>
      <c r="L184" s="20"/>
      <c r="M184" s="20"/>
      <c r="N184" s="20"/>
      <c r="O184" s="20"/>
      <c r="P184" s="20"/>
      <c r="Q184" s="20"/>
      <c r="R184" s="20"/>
      <c r="S184" s="25"/>
      <c r="T184" s="25"/>
    </row>
    <row r="185" spans="1:20" ht="20.149999999999999" customHeight="1">
      <c r="A185" s="18" t="s">
        <v>666</v>
      </c>
      <c r="B185" s="19">
        <v>206</v>
      </c>
      <c r="C185" s="18" t="s">
        <v>667</v>
      </c>
      <c r="D185" s="18" t="s">
        <v>83</v>
      </c>
      <c r="E185" s="18" t="s">
        <v>538</v>
      </c>
      <c r="F185" s="20" t="s">
        <v>668</v>
      </c>
      <c r="G185" s="20" t="s">
        <v>669</v>
      </c>
      <c r="H185" s="21"/>
      <c r="I185" s="21"/>
      <c r="J185" s="21"/>
      <c r="K185" s="20"/>
      <c r="L185" s="20"/>
      <c r="M185" s="20"/>
      <c r="N185" s="20"/>
      <c r="O185" s="20"/>
      <c r="P185" s="20"/>
      <c r="Q185" s="20"/>
      <c r="R185" s="20"/>
      <c r="S185" s="25"/>
      <c r="T185" s="25"/>
    </row>
    <row r="186" spans="1:20" ht="20.149999999999999" customHeight="1">
      <c r="A186" s="18" t="s">
        <v>670</v>
      </c>
      <c r="B186" s="19">
        <v>207</v>
      </c>
      <c r="C186" s="18" t="s">
        <v>671</v>
      </c>
      <c r="D186" s="18" t="s">
        <v>21</v>
      </c>
      <c r="E186" s="18" t="s">
        <v>538</v>
      </c>
      <c r="F186" s="20" t="s">
        <v>672</v>
      </c>
      <c r="G186" s="20" t="s">
        <v>673</v>
      </c>
      <c r="H186" s="21"/>
      <c r="I186" s="21"/>
      <c r="J186" s="21"/>
      <c r="K186" s="20"/>
      <c r="L186" s="20"/>
      <c r="M186" s="20"/>
      <c r="N186" s="20"/>
      <c r="O186" s="20"/>
      <c r="P186" s="20"/>
      <c r="Q186" s="20"/>
      <c r="R186" s="20"/>
      <c r="S186" s="25"/>
      <c r="T186" s="25"/>
    </row>
    <row r="187" spans="1:20" ht="20.149999999999999" customHeight="1">
      <c r="A187" s="18" t="s">
        <v>674</v>
      </c>
      <c r="B187" s="19">
        <v>208</v>
      </c>
      <c r="C187" s="18" t="s">
        <v>675</v>
      </c>
      <c r="D187" s="18" t="s">
        <v>21</v>
      </c>
      <c r="E187" s="18" t="s">
        <v>538</v>
      </c>
      <c r="F187" s="20" t="s">
        <v>676</v>
      </c>
      <c r="G187" s="20" t="s">
        <v>677</v>
      </c>
      <c r="H187" s="21"/>
      <c r="I187" s="21"/>
      <c r="J187" s="21"/>
      <c r="K187" s="20"/>
      <c r="L187" s="20"/>
      <c r="M187" s="20"/>
      <c r="N187" s="20"/>
      <c r="O187" s="20"/>
      <c r="P187" s="20"/>
      <c r="Q187" s="20"/>
      <c r="R187" s="20"/>
      <c r="S187" s="25"/>
      <c r="T187" s="25"/>
    </row>
    <row r="188" spans="1:20" ht="20.149999999999999" customHeight="1">
      <c r="A188" s="18" t="s">
        <v>678</v>
      </c>
      <c r="B188" s="19">
        <v>209</v>
      </c>
      <c r="C188" s="18" t="s">
        <v>679</v>
      </c>
      <c r="D188" s="18" t="s">
        <v>21</v>
      </c>
      <c r="E188" s="18" t="s">
        <v>538</v>
      </c>
      <c r="F188" s="20" t="s">
        <v>680</v>
      </c>
      <c r="G188" s="20" t="s">
        <v>681</v>
      </c>
      <c r="H188" s="21"/>
      <c r="I188" s="21"/>
      <c r="J188" s="21"/>
      <c r="K188" s="20"/>
      <c r="L188" s="20"/>
      <c r="M188" s="20"/>
      <c r="N188" s="20"/>
      <c r="O188" s="20"/>
      <c r="P188" s="20"/>
      <c r="Q188" s="20"/>
      <c r="R188" s="20"/>
      <c r="S188" s="25"/>
      <c r="T188" s="25"/>
    </row>
    <row r="189" spans="1:20" ht="20.149999999999999" customHeight="1">
      <c r="A189" s="18" t="s">
        <v>682</v>
      </c>
      <c r="B189" s="19">
        <v>210</v>
      </c>
      <c r="C189" s="18" t="s">
        <v>683</v>
      </c>
      <c r="D189" s="18" t="s">
        <v>21</v>
      </c>
      <c r="E189" s="18" t="s">
        <v>538</v>
      </c>
      <c r="F189" s="20" t="s">
        <v>672</v>
      </c>
      <c r="G189" s="20" t="s">
        <v>684</v>
      </c>
      <c r="H189" s="21"/>
      <c r="I189" s="21"/>
      <c r="J189" s="21"/>
      <c r="K189" s="20"/>
      <c r="L189" s="20"/>
      <c r="M189" s="20"/>
      <c r="N189" s="20"/>
      <c r="O189" s="20"/>
      <c r="P189" s="20"/>
      <c r="Q189" s="20"/>
      <c r="R189" s="20"/>
      <c r="S189" s="25"/>
      <c r="T189" s="25"/>
    </row>
    <row r="190" spans="1:20" ht="20.149999999999999" customHeight="1">
      <c r="A190" s="18" t="s">
        <v>685</v>
      </c>
      <c r="B190" s="19">
        <v>211</v>
      </c>
      <c r="C190" s="18" t="s">
        <v>686</v>
      </c>
      <c r="D190" s="18" t="s">
        <v>21</v>
      </c>
      <c r="E190" s="18" t="s">
        <v>538</v>
      </c>
      <c r="F190" s="20" t="s">
        <v>672</v>
      </c>
      <c r="G190" s="20" t="s">
        <v>687</v>
      </c>
      <c r="H190" s="21"/>
      <c r="I190" s="21"/>
      <c r="J190" s="21"/>
      <c r="K190" s="20"/>
      <c r="L190" s="20"/>
      <c r="M190" s="20"/>
      <c r="N190" s="20"/>
      <c r="O190" s="20"/>
      <c r="P190" s="20"/>
      <c r="Q190" s="20"/>
      <c r="R190" s="20"/>
      <c r="S190" s="25"/>
      <c r="T190" s="25"/>
    </row>
    <row r="191" spans="1:20" ht="20.149999999999999" customHeight="1">
      <c r="A191" s="18" t="s">
        <v>688</v>
      </c>
      <c r="B191" s="19">
        <v>212</v>
      </c>
      <c r="C191" s="18" t="s">
        <v>689</v>
      </c>
      <c r="D191" s="18" t="s">
        <v>21</v>
      </c>
      <c r="E191" s="18" t="s">
        <v>538</v>
      </c>
      <c r="F191" s="20" t="s">
        <v>672</v>
      </c>
      <c r="G191" s="20" t="s">
        <v>690</v>
      </c>
      <c r="H191" s="21"/>
      <c r="I191" s="21"/>
      <c r="J191" s="21"/>
      <c r="K191" s="20"/>
      <c r="L191" s="20"/>
      <c r="M191" s="20"/>
      <c r="N191" s="20"/>
      <c r="O191" s="20"/>
      <c r="P191" s="20"/>
      <c r="Q191" s="20"/>
      <c r="R191" s="20"/>
      <c r="S191" s="25"/>
      <c r="T191" s="25"/>
    </row>
    <row r="192" spans="1:20" ht="20.149999999999999" customHeight="1">
      <c r="A192" s="18" t="s">
        <v>691</v>
      </c>
      <c r="B192" s="19">
        <v>213</v>
      </c>
      <c r="C192" s="18" t="s">
        <v>692</v>
      </c>
      <c r="D192" s="18" t="s">
        <v>21</v>
      </c>
      <c r="E192" s="18" t="s">
        <v>538</v>
      </c>
      <c r="F192" s="20" t="s">
        <v>672</v>
      </c>
      <c r="G192" s="20" t="s">
        <v>693</v>
      </c>
      <c r="H192" s="21"/>
      <c r="I192" s="21"/>
      <c r="J192" s="21"/>
      <c r="K192" s="20"/>
      <c r="L192" s="20"/>
      <c r="M192" s="20"/>
      <c r="N192" s="20"/>
      <c r="O192" s="20"/>
      <c r="P192" s="20"/>
      <c r="Q192" s="20"/>
      <c r="R192" s="20"/>
      <c r="S192" s="25"/>
      <c r="T192" s="25"/>
    </row>
    <row r="193" spans="1:20" ht="20.149999999999999" customHeight="1">
      <c r="A193" s="18" t="s">
        <v>694</v>
      </c>
      <c r="B193" s="19">
        <v>214</v>
      </c>
      <c r="C193" s="18" t="s">
        <v>695</v>
      </c>
      <c r="D193" s="18" t="s">
        <v>21</v>
      </c>
      <c r="E193" s="18" t="s">
        <v>538</v>
      </c>
      <c r="F193" s="20" t="s">
        <v>696</v>
      </c>
      <c r="G193" s="20" t="s">
        <v>697</v>
      </c>
      <c r="H193" s="21"/>
      <c r="I193" s="21"/>
      <c r="J193" s="21"/>
      <c r="K193" s="20"/>
      <c r="L193" s="20"/>
      <c r="M193" s="20"/>
      <c r="N193" s="20"/>
      <c r="O193" s="20"/>
      <c r="P193" s="20"/>
      <c r="Q193" s="20"/>
      <c r="R193" s="20"/>
      <c r="S193" s="25"/>
      <c r="T193" s="25"/>
    </row>
    <row r="194" spans="1:20" ht="20.149999999999999" customHeight="1">
      <c r="A194" s="18" t="s">
        <v>698</v>
      </c>
      <c r="B194" s="19">
        <v>215</v>
      </c>
      <c r="C194" s="18" t="s">
        <v>699</v>
      </c>
      <c r="D194" s="18" t="s">
        <v>21</v>
      </c>
      <c r="E194" s="18" t="s">
        <v>538</v>
      </c>
      <c r="F194" s="20" t="s">
        <v>700</v>
      </c>
      <c r="G194" s="20" t="s">
        <v>701</v>
      </c>
      <c r="H194" s="21"/>
      <c r="I194" s="21"/>
      <c r="J194" s="21"/>
      <c r="K194" s="20"/>
      <c r="L194" s="20"/>
      <c r="M194" s="20"/>
      <c r="N194" s="20"/>
      <c r="O194" s="20"/>
      <c r="P194" s="20"/>
      <c r="Q194" s="20"/>
      <c r="R194" s="20"/>
      <c r="S194" s="25"/>
      <c r="T194" s="25"/>
    </row>
    <row r="195" spans="1:20" ht="20.149999999999999" customHeight="1">
      <c r="A195" s="18" t="s">
        <v>702</v>
      </c>
      <c r="B195" s="19">
        <v>216</v>
      </c>
      <c r="C195" s="18" t="s">
        <v>703</v>
      </c>
      <c r="D195" s="18" t="s">
        <v>21</v>
      </c>
      <c r="E195" s="18" t="s">
        <v>538</v>
      </c>
      <c r="F195" s="20" t="s">
        <v>696</v>
      </c>
      <c r="G195" s="20" t="s">
        <v>704</v>
      </c>
      <c r="H195" s="21"/>
      <c r="I195" s="21"/>
      <c r="J195" s="21"/>
      <c r="K195" s="20"/>
      <c r="L195" s="20"/>
      <c r="M195" s="20"/>
      <c r="N195" s="20"/>
      <c r="O195" s="20"/>
      <c r="P195" s="20"/>
      <c r="Q195" s="20"/>
      <c r="R195" s="20"/>
      <c r="S195" s="25"/>
      <c r="T195" s="25"/>
    </row>
    <row r="196" spans="1:20" ht="20.149999999999999" customHeight="1">
      <c r="A196" s="18" t="s">
        <v>705</v>
      </c>
      <c r="B196" s="19">
        <v>217</v>
      </c>
      <c r="C196" s="18" t="s">
        <v>706</v>
      </c>
      <c r="D196" s="18" t="s">
        <v>21</v>
      </c>
      <c r="E196" s="18" t="s">
        <v>538</v>
      </c>
      <c r="F196" s="20" t="s">
        <v>696</v>
      </c>
      <c r="G196" s="20" t="s">
        <v>707</v>
      </c>
      <c r="H196" s="21"/>
      <c r="I196" s="21"/>
      <c r="J196" s="21"/>
      <c r="K196" s="20"/>
      <c r="L196" s="20"/>
      <c r="M196" s="20"/>
      <c r="N196" s="20"/>
      <c r="O196" s="20"/>
      <c r="P196" s="20"/>
      <c r="Q196" s="20"/>
      <c r="R196" s="20"/>
      <c r="S196" s="25"/>
      <c r="T196" s="25"/>
    </row>
    <row r="197" spans="1:20" ht="20.149999999999999" customHeight="1">
      <c r="A197" s="18" t="s">
        <v>708</v>
      </c>
      <c r="B197" s="19">
        <v>219</v>
      </c>
      <c r="C197" s="18" t="s">
        <v>709</v>
      </c>
      <c r="D197" s="18" t="s">
        <v>21</v>
      </c>
      <c r="E197" s="18" t="s">
        <v>538</v>
      </c>
      <c r="F197" s="20" t="s">
        <v>710</v>
      </c>
      <c r="G197" s="20" t="s">
        <v>711</v>
      </c>
      <c r="H197" s="21"/>
      <c r="I197" s="21"/>
      <c r="J197" s="21"/>
      <c r="K197" s="20"/>
      <c r="L197" s="20"/>
      <c r="M197" s="20"/>
      <c r="N197" s="20"/>
      <c r="O197" s="20"/>
      <c r="P197" s="20"/>
      <c r="Q197" s="20"/>
      <c r="R197" s="20"/>
      <c r="S197" s="25"/>
      <c r="T197" s="25"/>
    </row>
    <row r="198" spans="1:20" ht="20.149999999999999" customHeight="1">
      <c r="A198" s="18" t="s">
        <v>712</v>
      </c>
      <c r="B198" s="19">
        <v>220</v>
      </c>
      <c r="C198" s="18" t="s">
        <v>713</v>
      </c>
      <c r="D198" s="18" t="s">
        <v>21</v>
      </c>
      <c r="E198" s="18" t="s">
        <v>538</v>
      </c>
      <c r="F198" s="20" t="s">
        <v>714</v>
      </c>
      <c r="G198" s="20" t="s">
        <v>715</v>
      </c>
      <c r="H198" s="21"/>
      <c r="I198" s="21"/>
      <c r="J198" s="21"/>
      <c r="K198" s="20"/>
      <c r="L198" s="20"/>
      <c r="M198" s="20"/>
      <c r="N198" s="20"/>
      <c r="O198" s="20"/>
      <c r="P198" s="20"/>
      <c r="Q198" s="20"/>
      <c r="R198" s="20"/>
      <c r="S198" s="25"/>
      <c r="T198" s="25"/>
    </row>
    <row r="199" spans="1:20" ht="20.149999999999999" customHeight="1">
      <c r="A199" s="18" t="s">
        <v>716</v>
      </c>
      <c r="B199" s="19">
        <v>222</v>
      </c>
      <c r="C199" s="18" t="s">
        <v>717</v>
      </c>
      <c r="D199" s="18" t="s">
        <v>21</v>
      </c>
      <c r="E199" s="18" t="s">
        <v>538</v>
      </c>
      <c r="F199" s="20" t="s">
        <v>718</v>
      </c>
      <c r="G199" s="20" t="s">
        <v>719</v>
      </c>
      <c r="H199" s="21"/>
      <c r="I199" s="21"/>
      <c r="J199" s="21"/>
      <c r="K199" s="20"/>
      <c r="L199" s="20"/>
      <c r="M199" s="20"/>
      <c r="N199" s="20"/>
      <c r="O199" s="20"/>
      <c r="P199" s="20"/>
      <c r="Q199" s="20"/>
      <c r="R199" s="20"/>
      <c r="S199" s="25"/>
      <c r="T199" s="25"/>
    </row>
    <row r="200" spans="1:20" ht="20.149999999999999" customHeight="1">
      <c r="A200" s="18" t="s">
        <v>720</v>
      </c>
      <c r="B200" s="19">
        <v>223</v>
      </c>
      <c r="C200" s="18" t="s">
        <v>721</v>
      </c>
      <c r="D200" s="18" t="s">
        <v>21</v>
      </c>
      <c r="E200" s="18" t="s">
        <v>538</v>
      </c>
      <c r="F200" s="20" t="s">
        <v>722</v>
      </c>
      <c r="G200" s="20" t="s">
        <v>723</v>
      </c>
      <c r="H200" s="21"/>
      <c r="I200" s="21"/>
      <c r="J200" s="21"/>
      <c r="K200" s="20"/>
      <c r="L200" s="20"/>
      <c r="M200" s="20"/>
      <c r="N200" s="20"/>
      <c r="O200" s="20"/>
      <c r="P200" s="20"/>
      <c r="Q200" s="20"/>
      <c r="R200" s="20"/>
      <c r="S200" s="25"/>
      <c r="T200" s="25"/>
    </row>
    <row r="201" spans="1:20" ht="20.149999999999999" customHeight="1">
      <c r="A201" s="18" t="s">
        <v>724</v>
      </c>
      <c r="B201" s="19">
        <v>224</v>
      </c>
      <c r="C201" s="18" t="s">
        <v>725</v>
      </c>
      <c r="D201" s="18" t="s">
        <v>21</v>
      </c>
      <c r="E201" s="18" t="s">
        <v>538</v>
      </c>
      <c r="F201" s="20" t="s">
        <v>700</v>
      </c>
      <c r="G201" s="20" t="s">
        <v>726</v>
      </c>
      <c r="H201" s="21"/>
      <c r="I201" s="21"/>
      <c r="J201" s="21"/>
      <c r="K201" s="20"/>
      <c r="L201" s="20"/>
      <c r="M201" s="20"/>
      <c r="N201" s="20"/>
      <c r="O201" s="20"/>
      <c r="P201" s="20"/>
      <c r="Q201" s="20"/>
      <c r="R201" s="20"/>
      <c r="S201" s="25"/>
      <c r="T201" s="25"/>
    </row>
    <row r="202" spans="1:20" ht="20.149999999999999" customHeight="1">
      <c r="A202" s="18" t="s">
        <v>727</v>
      </c>
      <c r="B202" s="19">
        <v>226</v>
      </c>
      <c r="C202" s="18" t="s">
        <v>728</v>
      </c>
      <c r="D202" s="18" t="s">
        <v>21</v>
      </c>
      <c r="E202" s="18" t="s">
        <v>538</v>
      </c>
      <c r="F202" s="20" t="s">
        <v>672</v>
      </c>
      <c r="G202" s="20" t="s">
        <v>729</v>
      </c>
      <c r="H202" s="21"/>
      <c r="I202" s="21"/>
      <c r="J202" s="21"/>
      <c r="K202" s="20"/>
      <c r="L202" s="20"/>
      <c r="M202" s="20"/>
      <c r="N202" s="20"/>
      <c r="O202" s="20"/>
      <c r="P202" s="20"/>
      <c r="Q202" s="20"/>
      <c r="R202" s="20"/>
      <c r="S202" s="25"/>
      <c r="T202" s="25"/>
    </row>
    <row r="203" spans="1:20" ht="20.149999999999999" customHeight="1">
      <c r="A203" s="18" t="s">
        <v>730</v>
      </c>
      <c r="B203" s="19">
        <v>229</v>
      </c>
      <c r="C203" s="18" t="s">
        <v>731</v>
      </c>
      <c r="D203" s="18" t="s">
        <v>124</v>
      </c>
      <c r="E203" s="18" t="s">
        <v>538</v>
      </c>
      <c r="F203" s="20" t="s">
        <v>732</v>
      </c>
      <c r="G203" s="20" t="s">
        <v>733</v>
      </c>
      <c r="H203" s="21"/>
      <c r="I203" s="21"/>
      <c r="J203" s="21"/>
      <c r="K203" s="20"/>
      <c r="L203" s="20"/>
      <c r="M203" s="20"/>
      <c r="N203" s="20"/>
      <c r="O203" s="20"/>
      <c r="P203" s="20"/>
      <c r="Q203" s="20"/>
      <c r="R203" s="20"/>
      <c r="S203" s="25"/>
      <c r="T203" s="25"/>
    </row>
    <row r="204" spans="1:20" ht="20.149999999999999" customHeight="1">
      <c r="A204" s="18" t="s">
        <v>734</v>
      </c>
      <c r="B204" s="19">
        <v>230</v>
      </c>
      <c r="C204" s="18" t="s">
        <v>735</v>
      </c>
      <c r="D204" s="18" t="s">
        <v>124</v>
      </c>
      <c r="E204" s="18" t="s">
        <v>538</v>
      </c>
      <c r="F204" s="20" t="s">
        <v>714</v>
      </c>
      <c r="G204" s="20" t="s">
        <v>736</v>
      </c>
      <c r="H204" s="21"/>
      <c r="I204" s="21"/>
      <c r="J204" s="21"/>
      <c r="K204" s="20"/>
      <c r="L204" s="20"/>
      <c r="M204" s="20"/>
      <c r="N204" s="20"/>
      <c r="O204" s="20"/>
      <c r="P204" s="20"/>
      <c r="Q204" s="20"/>
      <c r="R204" s="20"/>
      <c r="S204" s="25"/>
      <c r="T204" s="25"/>
    </row>
    <row r="205" spans="1:20" ht="20.149999999999999" customHeight="1">
      <c r="A205" s="18" t="s">
        <v>737</v>
      </c>
      <c r="B205" s="19">
        <v>231</v>
      </c>
      <c r="C205" s="18" t="s">
        <v>738</v>
      </c>
      <c r="D205" s="18" t="s">
        <v>124</v>
      </c>
      <c r="E205" s="18" t="s">
        <v>538</v>
      </c>
      <c r="F205" s="20" t="s">
        <v>732</v>
      </c>
      <c r="G205" s="20" t="s">
        <v>739</v>
      </c>
      <c r="H205" s="21"/>
      <c r="I205" s="21"/>
      <c r="J205" s="21"/>
      <c r="K205" s="20"/>
      <c r="L205" s="20"/>
      <c r="M205" s="20"/>
      <c r="N205" s="20"/>
      <c r="O205" s="20"/>
      <c r="P205" s="20"/>
      <c r="Q205" s="20"/>
      <c r="R205" s="20"/>
      <c r="S205" s="25"/>
      <c r="T205" s="25"/>
    </row>
    <row r="206" spans="1:20" ht="20.149999999999999" customHeight="1">
      <c r="A206" s="18" t="s">
        <v>740</v>
      </c>
      <c r="B206" s="19">
        <v>232</v>
      </c>
      <c r="C206" s="18" t="s">
        <v>741</v>
      </c>
      <c r="D206" s="18" t="s">
        <v>124</v>
      </c>
      <c r="E206" s="18" t="s">
        <v>538</v>
      </c>
      <c r="F206" s="20" t="s">
        <v>742</v>
      </c>
      <c r="G206" s="20" t="s">
        <v>743</v>
      </c>
      <c r="H206" s="21"/>
      <c r="I206" s="21"/>
      <c r="J206" s="21"/>
      <c r="K206" s="20"/>
      <c r="L206" s="20"/>
      <c r="M206" s="20"/>
      <c r="N206" s="20"/>
      <c r="O206" s="20"/>
      <c r="P206" s="20"/>
      <c r="Q206" s="20"/>
      <c r="R206" s="20"/>
      <c r="S206" s="25"/>
      <c r="T206" s="25"/>
    </row>
    <row r="207" spans="1:20" ht="20.149999999999999" customHeight="1">
      <c r="A207" s="18" t="s">
        <v>744</v>
      </c>
      <c r="B207" s="19">
        <v>233</v>
      </c>
      <c r="C207" s="18" t="s">
        <v>745</v>
      </c>
      <c r="D207" s="18" t="s">
        <v>124</v>
      </c>
      <c r="E207" s="18" t="s">
        <v>538</v>
      </c>
      <c r="F207" s="20" t="s">
        <v>742</v>
      </c>
      <c r="G207" s="20" t="s">
        <v>746</v>
      </c>
      <c r="H207" s="21"/>
      <c r="I207" s="21"/>
      <c r="J207" s="21"/>
      <c r="K207" s="20"/>
      <c r="L207" s="20"/>
      <c r="M207" s="20"/>
      <c r="N207" s="20"/>
      <c r="O207" s="20"/>
      <c r="P207" s="20"/>
      <c r="Q207" s="20"/>
      <c r="R207" s="20"/>
      <c r="S207" s="25"/>
      <c r="T207" s="25"/>
    </row>
    <row r="208" spans="1:20" ht="20.149999999999999" customHeight="1">
      <c r="A208" s="18" t="s">
        <v>747</v>
      </c>
      <c r="B208" s="19">
        <v>234</v>
      </c>
      <c r="C208" s="18" t="s">
        <v>748</v>
      </c>
      <c r="D208" s="18" t="s">
        <v>124</v>
      </c>
      <c r="E208" s="18" t="s">
        <v>538</v>
      </c>
      <c r="F208" s="20" t="s">
        <v>742</v>
      </c>
      <c r="G208" s="20"/>
      <c r="H208" s="21"/>
      <c r="I208" s="21"/>
      <c r="J208" s="21"/>
      <c r="K208" s="20"/>
      <c r="L208" s="20"/>
      <c r="M208" s="20"/>
      <c r="N208" s="20"/>
      <c r="O208" s="20"/>
      <c r="P208" s="20"/>
      <c r="Q208" s="20"/>
      <c r="R208" s="20"/>
      <c r="S208" s="25"/>
      <c r="T208" s="25"/>
    </row>
    <row r="209" spans="1:20" ht="20.149999999999999" customHeight="1">
      <c r="A209" s="18" t="s">
        <v>749</v>
      </c>
      <c r="B209" s="19">
        <v>235</v>
      </c>
      <c r="C209" s="18" t="s">
        <v>750</v>
      </c>
      <c r="D209" s="18" t="s">
        <v>407</v>
      </c>
      <c r="E209" s="18" t="s">
        <v>538</v>
      </c>
      <c r="F209" s="20" t="s">
        <v>714</v>
      </c>
      <c r="G209" s="20" t="s">
        <v>751</v>
      </c>
      <c r="H209" s="21"/>
      <c r="I209" s="21"/>
      <c r="J209" s="21"/>
      <c r="K209" s="20"/>
      <c r="L209" s="20"/>
      <c r="M209" s="20"/>
      <c r="N209" s="20"/>
      <c r="O209" s="20"/>
      <c r="P209" s="20"/>
      <c r="Q209" s="20"/>
      <c r="R209" s="20"/>
      <c r="S209" s="25"/>
      <c r="T209" s="25"/>
    </row>
    <row r="210" spans="1:20" ht="20.149999999999999" customHeight="1">
      <c r="A210" s="18" t="s">
        <v>752</v>
      </c>
      <c r="B210" s="19">
        <v>236</v>
      </c>
      <c r="C210" s="18" t="s">
        <v>753</v>
      </c>
      <c r="D210" s="18" t="s">
        <v>407</v>
      </c>
      <c r="E210" s="18" t="s">
        <v>538</v>
      </c>
      <c r="F210" s="20" t="s">
        <v>754</v>
      </c>
      <c r="G210" s="20" t="s">
        <v>755</v>
      </c>
      <c r="H210" s="21"/>
      <c r="I210" s="21"/>
      <c r="J210" s="21"/>
      <c r="K210" s="20"/>
      <c r="L210" s="20"/>
      <c r="M210" s="20"/>
      <c r="N210" s="20"/>
      <c r="O210" s="20"/>
      <c r="P210" s="20"/>
      <c r="Q210" s="20"/>
      <c r="R210" s="20"/>
      <c r="S210" s="25"/>
      <c r="T210" s="25"/>
    </row>
    <row r="211" spans="1:20" ht="20.149999999999999" customHeight="1">
      <c r="A211" s="18" t="s">
        <v>756</v>
      </c>
      <c r="B211" s="19">
        <v>237</v>
      </c>
      <c r="C211" s="18" t="s">
        <v>757</v>
      </c>
      <c r="D211" s="18" t="s">
        <v>407</v>
      </c>
      <c r="E211" s="18" t="s">
        <v>538</v>
      </c>
      <c r="F211" s="20" t="s">
        <v>700</v>
      </c>
      <c r="G211" s="20" t="s">
        <v>758</v>
      </c>
      <c r="H211" s="21"/>
      <c r="I211" s="21"/>
      <c r="J211" s="21"/>
      <c r="K211" s="20"/>
      <c r="L211" s="20"/>
      <c r="M211" s="20"/>
      <c r="N211" s="20"/>
      <c r="O211" s="20"/>
      <c r="P211" s="20"/>
      <c r="Q211" s="20"/>
      <c r="R211" s="20"/>
      <c r="S211" s="25"/>
      <c r="T211" s="25"/>
    </row>
    <row r="212" spans="1:20" ht="20.149999999999999" customHeight="1">
      <c r="A212" s="18" t="s">
        <v>759</v>
      </c>
      <c r="B212" s="19">
        <v>238</v>
      </c>
      <c r="C212" s="18" t="s">
        <v>760</v>
      </c>
      <c r="D212" s="18" t="s">
        <v>407</v>
      </c>
      <c r="E212" s="18" t="s">
        <v>538</v>
      </c>
      <c r="F212" s="20" t="s">
        <v>696</v>
      </c>
      <c r="G212" s="20" t="s">
        <v>761</v>
      </c>
      <c r="H212" s="21"/>
      <c r="I212" s="21"/>
      <c r="J212" s="21"/>
      <c r="K212" s="20"/>
      <c r="L212" s="20"/>
      <c r="M212" s="20"/>
      <c r="N212" s="20"/>
      <c r="O212" s="20"/>
      <c r="P212" s="20"/>
      <c r="Q212" s="20"/>
      <c r="R212" s="20"/>
      <c r="S212" s="25"/>
      <c r="T212" s="25"/>
    </row>
    <row r="213" spans="1:20" ht="20.149999999999999" customHeight="1">
      <c r="A213" s="18" t="s">
        <v>762</v>
      </c>
      <c r="B213" s="19">
        <v>239</v>
      </c>
      <c r="C213" s="18" t="s">
        <v>763</v>
      </c>
      <c r="D213" s="18" t="s">
        <v>83</v>
      </c>
      <c r="E213" s="18" t="s">
        <v>538</v>
      </c>
      <c r="F213" s="20" t="s">
        <v>547</v>
      </c>
      <c r="G213" s="20" t="s">
        <v>764</v>
      </c>
      <c r="H213" s="21"/>
      <c r="I213" s="21"/>
      <c r="J213" s="21"/>
      <c r="K213" s="20"/>
      <c r="L213" s="20"/>
      <c r="M213" s="20"/>
      <c r="N213" s="20"/>
      <c r="O213" s="20"/>
      <c r="P213" s="20"/>
      <c r="Q213" s="20"/>
      <c r="R213" s="20"/>
      <c r="S213" s="25"/>
      <c r="T213" s="25"/>
    </row>
    <row r="214" spans="1:20" ht="20.149999999999999" customHeight="1">
      <c r="A214" s="18" t="s">
        <v>765</v>
      </c>
      <c r="B214" s="19">
        <v>245</v>
      </c>
      <c r="C214" s="18" t="s">
        <v>766</v>
      </c>
      <c r="D214" s="18" t="s">
        <v>159</v>
      </c>
      <c r="E214" s="18" t="s">
        <v>538</v>
      </c>
      <c r="F214" s="20" t="s">
        <v>754</v>
      </c>
      <c r="G214" s="20"/>
      <c r="H214" s="21"/>
      <c r="I214" s="21"/>
      <c r="J214" s="21"/>
      <c r="K214" s="20"/>
      <c r="L214" s="20"/>
      <c r="M214" s="20"/>
      <c r="N214" s="20"/>
      <c r="O214" s="20"/>
      <c r="P214" s="20"/>
      <c r="Q214" s="20"/>
      <c r="R214" s="20"/>
      <c r="S214" s="25"/>
      <c r="T214" s="25"/>
    </row>
    <row r="215" spans="1:20" ht="20.149999999999999" customHeight="1">
      <c r="A215" s="18" t="s">
        <v>767</v>
      </c>
      <c r="B215" s="19">
        <v>246</v>
      </c>
      <c r="C215" s="18" t="s">
        <v>768</v>
      </c>
      <c r="D215" s="18" t="s">
        <v>407</v>
      </c>
      <c r="E215" s="18" t="s">
        <v>538</v>
      </c>
      <c r="F215" s="20" t="s">
        <v>547</v>
      </c>
      <c r="G215" s="20" t="s">
        <v>769</v>
      </c>
      <c r="H215" s="21"/>
      <c r="I215" s="21"/>
      <c r="J215" s="21"/>
      <c r="K215" s="20"/>
      <c r="L215" s="20"/>
      <c r="M215" s="20"/>
      <c r="N215" s="20"/>
      <c r="O215" s="20"/>
      <c r="P215" s="20"/>
      <c r="Q215" s="20"/>
      <c r="R215" s="20"/>
      <c r="S215" s="25"/>
      <c r="T215" s="25"/>
    </row>
    <row r="216" spans="1:20" ht="20.149999999999999" customHeight="1">
      <c r="A216" s="18" t="s">
        <v>770</v>
      </c>
      <c r="B216" s="19">
        <v>250</v>
      </c>
      <c r="C216" s="18" t="s">
        <v>771</v>
      </c>
      <c r="D216" s="18" t="s">
        <v>83</v>
      </c>
      <c r="E216" s="18" t="s">
        <v>538</v>
      </c>
      <c r="F216" s="20" t="s">
        <v>575</v>
      </c>
      <c r="G216" s="20"/>
      <c r="H216" s="21"/>
      <c r="I216" s="21"/>
      <c r="J216" s="21"/>
      <c r="K216" s="20"/>
      <c r="L216" s="20"/>
      <c r="M216" s="20"/>
      <c r="N216" s="20"/>
      <c r="O216" s="20"/>
      <c r="P216" s="20"/>
      <c r="Q216" s="20"/>
      <c r="R216" s="20"/>
      <c r="S216" s="25"/>
      <c r="T216" s="25"/>
    </row>
    <row r="217" spans="1:20" ht="20.149999999999999" customHeight="1">
      <c r="A217" s="18" t="s">
        <v>772</v>
      </c>
      <c r="B217" s="19">
        <v>264</v>
      </c>
      <c r="C217" s="18" t="s">
        <v>773</v>
      </c>
      <c r="D217" s="18" t="s">
        <v>83</v>
      </c>
      <c r="E217" s="18" t="s">
        <v>538</v>
      </c>
      <c r="F217" s="20" t="s">
        <v>595</v>
      </c>
      <c r="G217" s="20" t="s">
        <v>774</v>
      </c>
      <c r="H217" s="21"/>
      <c r="I217" s="21"/>
      <c r="J217" s="21"/>
      <c r="K217" s="20"/>
      <c r="L217" s="20"/>
      <c r="M217" s="20"/>
      <c r="N217" s="20"/>
      <c r="O217" s="20"/>
      <c r="P217" s="20"/>
      <c r="Q217" s="20"/>
      <c r="R217" s="20"/>
      <c r="S217" s="25"/>
      <c r="T217" s="25"/>
    </row>
    <row r="218" spans="1:20" ht="20.149999999999999" customHeight="1">
      <c r="A218" s="18" t="s">
        <v>775</v>
      </c>
      <c r="B218" s="19">
        <v>269</v>
      </c>
      <c r="C218" s="18" t="s">
        <v>776</v>
      </c>
      <c r="D218" s="18" t="s">
        <v>83</v>
      </c>
      <c r="E218" s="18" t="s">
        <v>538</v>
      </c>
      <c r="F218" s="20" t="s">
        <v>777</v>
      </c>
      <c r="G218" s="20" t="s">
        <v>778</v>
      </c>
      <c r="H218" s="21"/>
      <c r="I218" s="21"/>
      <c r="J218" s="21"/>
      <c r="K218" s="20"/>
      <c r="L218" s="20"/>
      <c r="M218" s="20"/>
      <c r="N218" s="20"/>
      <c r="O218" s="20"/>
      <c r="P218" s="20"/>
      <c r="Q218" s="20"/>
      <c r="R218" s="20"/>
      <c r="S218" s="25"/>
      <c r="T218" s="25"/>
    </row>
    <row r="219" spans="1:20" ht="20.149999999999999" customHeight="1">
      <c r="A219" s="18" t="s">
        <v>779</v>
      </c>
      <c r="B219" s="19">
        <v>270</v>
      </c>
      <c r="C219" s="18" t="s">
        <v>780</v>
      </c>
      <c r="D219" s="18" t="s">
        <v>21</v>
      </c>
      <c r="E219" s="18" t="s">
        <v>538</v>
      </c>
      <c r="F219" s="20" t="s">
        <v>781</v>
      </c>
      <c r="G219" s="20" t="s">
        <v>782</v>
      </c>
      <c r="H219" s="21"/>
      <c r="I219" s="21"/>
      <c r="J219" s="21"/>
      <c r="K219" s="20"/>
      <c r="L219" s="20"/>
      <c r="M219" s="20"/>
      <c r="N219" s="20"/>
      <c r="O219" s="20"/>
      <c r="P219" s="20"/>
      <c r="Q219" s="20"/>
      <c r="R219" s="20"/>
      <c r="S219" s="25"/>
      <c r="T219" s="25"/>
    </row>
    <row r="220" spans="1:20" ht="20.149999999999999" customHeight="1">
      <c r="A220" s="18" t="s">
        <v>783</v>
      </c>
      <c r="B220" s="19">
        <v>275</v>
      </c>
      <c r="C220" s="18" t="s">
        <v>784</v>
      </c>
      <c r="D220" s="18" t="s">
        <v>159</v>
      </c>
      <c r="E220" s="18" t="s">
        <v>538</v>
      </c>
      <c r="F220" s="20" t="s">
        <v>785</v>
      </c>
      <c r="G220" s="20" t="s">
        <v>786</v>
      </c>
      <c r="H220" s="21"/>
      <c r="I220" s="21"/>
      <c r="J220" s="21"/>
      <c r="K220" s="20"/>
      <c r="L220" s="20"/>
      <c r="M220" s="20"/>
      <c r="N220" s="20"/>
      <c r="O220" s="20"/>
      <c r="P220" s="20"/>
      <c r="Q220" s="20"/>
      <c r="R220" s="20"/>
      <c r="S220" s="25"/>
      <c r="T220" s="25"/>
    </row>
    <row r="221" spans="1:20" ht="20.149999999999999" customHeight="1">
      <c r="A221" s="18" t="s">
        <v>787</v>
      </c>
      <c r="B221" s="19">
        <v>282</v>
      </c>
      <c r="C221" s="18" t="s">
        <v>788</v>
      </c>
      <c r="D221" s="18" t="s">
        <v>124</v>
      </c>
      <c r="E221" s="18" t="s">
        <v>538</v>
      </c>
      <c r="F221" s="20" t="s">
        <v>789</v>
      </c>
      <c r="G221" s="20" t="s">
        <v>790</v>
      </c>
      <c r="H221" s="21"/>
      <c r="I221" s="21"/>
      <c r="J221" s="21"/>
      <c r="K221" s="20"/>
      <c r="L221" s="20"/>
      <c r="M221" s="20"/>
      <c r="N221" s="20"/>
      <c r="O221" s="20"/>
      <c r="P221" s="20"/>
      <c r="Q221" s="20"/>
      <c r="R221" s="20"/>
      <c r="S221" s="25"/>
      <c r="T221" s="25"/>
    </row>
    <row r="222" spans="1:20" ht="20.149999999999999" customHeight="1">
      <c r="A222" s="18" t="s">
        <v>791</v>
      </c>
      <c r="B222" s="19">
        <v>283</v>
      </c>
      <c r="C222" s="18" t="s">
        <v>792</v>
      </c>
      <c r="D222" s="18" t="s">
        <v>159</v>
      </c>
      <c r="E222" s="18" t="s">
        <v>538</v>
      </c>
      <c r="F222" s="20" t="s">
        <v>793</v>
      </c>
      <c r="G222" s="20" t="s">
        <v>794</v>
      </c>
      <c r="H222" s="21"/>
      <c r="I222" s="21"/>
      <c r="J222" s="21"/>
      <c r="K222" s="20"/>
      <c r="L222" s="20"/>
      <c r="M222" s="20"/>
      <c r="N222" s="20"/>
      <c r="O222" s="20"/>
      <c r="P222" s="20"/>
      <c r="Q222" s="20"/>
      <c r="R222" s="20"/>
      <c r="S222" s="25"/>
      <c r="T222" s="25"/>
    </row>
    <row r="223" spans="1:20" ht="20.149999999999999" customHeight="1">
      <c r="A223" s="18" t="s">
        <v>795</v>
      </c>
      <c r="B223" s="19">
        <v>285</v>
      </c>
      <c r="C223" s="18" t="s">
        <v>796</v>
      </c>
      <c r="D223" s="18" t="s">
        <v>21</v>
      </c>
      <c r="E223" s="18" t="s">
        <v>538</v>
      </c>
      <c r="F223" s="20" t="s">
        <v>797</v>
      </c>
      <c r="G223" s="20"/>
      <c r="H223" s="21"/>
      <c r="I223" s="21"/>
      <c r="J223" s="21"/>
      <c r="K223" s="20"/>
      <c r="L223" s="20"/>
      <c r="M223" s="20"/>
      <c r="N223" s="20"/>
      <c r="O223" s="20"/>
      <c r="P223" s="20"/>
      <c r="Q223" s="20"/>
      <c r="R223" s="20"/>
      <c r="S223" s="25"/>
      <c r="T223" s="25"/>
    </row>
    <row r="224" spans="1:20" ht="20.149999999999999" customHeight="1">
      <c r="A224" s="18" t="s">
        <v>798</v>
      </c>
      <c r="B224" s="19">
        <v>134</v>
      </c>
      <c r="C224" s="18" t="s">
        <v>799</v>
      </c>
      <c r="D224" s="18" t="s">
        <v>124</v>
      </c>
      <c r="E224" s="18" t="s">
        <v>800</v>
      </c>
      <c r="F224" s="20" t="s">
        <v>801</v>
      </c>
      <c r="G224" s="20" t="s">
        <v>802</v>
      </c>
      <c r="H224" s="21"/>
      <c r="I224" s="21"/>
      <c r="J224" s="21"/>
      <c r="K224" s="20"/>
      <c r="L224" s="20"/>
      <c r="M224" s="20"/>
      <c r="N224" s="20"/>
      <c r="O224" s="20"/>
      <c r="P224" s="20"/>
      <c r="Q224" s="20"/>
      <c r="R224" s="20"/>
      <c r="S224" s="25"/>
      <c r="T224" s="25"/>
    </row>
    <row r="225" spans="1:20" ht="20.149999999999999" customHeight="1">
      <c r="A225" s="18" t="s">
        <v>803</v>
      </c>
      <c r="B225" s="19">
        <v>135</v>
      </c>
      <c r="C225" s="18" t="s">
        <v>804</v>
      </c>
      <c r="D225" s="18" t="s">
        <v>124</v>
      </c>
      <c r="E225" s="18" t="s">
        <v>800</v>
      </c>
      <c r="F225" s="20" t="s">
        <v>805</v>
      </c>
      <c r="G225" s="20" t="s">
        <v>806</v>
      </c>
      <c r="H225" s="21"/>
      <c r="I225" s="21"/>
      <c r="J225" s="21"/>
      <c r="K225" s="20"/>
      <c r="L225" s="20"/>
      <c r="M225" s="20"/>
      <c r="N225" s="20"/>
      <c r="O225" s="20"/>
      <c r="P225" s="20"/>
      <c r="Q225" s="20"/>
      <c r="R225" s="20"/>
      <c r="S225" s="25"/>
      <c r="T225" s="25"/>
    </row>
    <row r="226" spans="1:20" ht="20.149999999999999" customHeight="1">
      <c r="A226" s="18" t="s">
        <v>807</v>
      </c>
      <c r="B226" s="19">
        <v>136</v>
      </c>
      <c r="C226" s="18" t="s">
        <v>808</v>
      </c>
      <c r="D226" s="18" t="s">
        <v>124</v>
      </c>
      <c r="E226" s="18" t="s">
        <v>800</v>
      </c>
      <c r="F226" s="20" t="s">
        <v>809</v>
      </c>
      <c r="G226" s="20" t="s">
        <v>810</v>
      </c>
      <c r="H226" s="21"/>
      <c r="I226" s="21"/>
      <c r="J226" s="21"/>
      <c r="K226" s="20"/>
      <c r="L226" s="20"/>
      <c r="M226" s="20"/>
      <c r="N226" s="20"/>
      <c r="O226" s="20"/>
      <c r="P226" s="20"/>
      <c r="Q226" s="20"/>
      <c r="R226" s="20"/>
      <c r="S226" s="25"/>
      <c r="T226" s="25"/>
    </row>
    <row r="227" spans="1:20" ht="20.149999999999999" customHeight="1">
      <c r="A227" s="18" t="s">
        <v>811</v>
      </c>
      <c r="B227" s="19">
        <v>138</v>
      </c>
      <c r="C227" s="18" t="s">
        <v>812</v>
      </c>
      <c r="D227" s="18" t="s">
        <v>83</v>
      </c>
      <c r="E227" s="18" t="s">
        <v>800</v>
      </c>
      <c r="F227" s="20" t="s">
        <v>801</v>
      </c>
      <c r="G227" s="20" t="s">
        <v>813</v>
      </c>
      <c r="H227" s="21"/>
      <c r="I227" s="21"/>
      <c r="J227" s="21"/>
      <c r="K227" s="20"/>
      <c r="L227" s="20"/>
      <c r="M227" s="20"/>
      <c r="N227" s="20"/>
      <c r="O227" s="20"/>
      <c r="P227" s="20"/>
      <c r="Q227" s="20"/>
      <c r="R227" s="20"/>
      <c r="S227" s="25"/>
      <c r="T227" s="25"/>
    </row>
    <row r="228" spans="1:20" ht="20.149999999999999" customHeight="1">
      <c r="A228" s="18" t="s">
        <v>814</v>
      </c>
      <c r="B228" s="19">
        <v>139</v>
      </c>
      <c r="C228" s="18" t="s">
        <v>815</v>
      </c>
      <c r="D228" s="18" t="s">
        <v>83</v>
      </c>
      <c r="E228" s="18" t="s">
        <v>800</v>
      </c>
      <c r="F228" s="20" t="s">
        <v>816</v>
      </c>
      <c r="G228" s="20" t="s">
        <v>817</v>
      </c>
      <c r="H228" s="21"/>
      <c r="I228" s="21"/>
      <c r="J228" s="21"/>
      <c r="K228" s="20"/>
      <c r="L228" s="20"/>
      <c r="M228" s="20"/>
      <c r="N228" s="20"/>
      <c r="O228" s="20"/>
      <c r="P228" s="20"/>
      <c r="Q228" s="20"/>
      <c r="R228" s="20"/>
      <c r="S228" s="25"/>
      <c r="T228" s="25"/>
    </row>
    <row r="229" spans="1:20" ht="20.149999999999999" customHeight="1">
      <c r="A229" s="18" t="s">
        <v>818</v>
      </c>
      <c r="B229" s="19">
        <v>140</v>
      </c>
      <c r="C229" s="18" t="s">
        <v>819</v>
      </c>
      <c r="D229" s="18" t="s">
        <v>83</v>
      </c>
      <c r="E229" s="18" t="s">
        <v>800</v>
      </c>
      <c r="F229" s="20" t="s">
        <v>820</v>
      </c>
      <c r="G229" s="20" t="s">
        <v>821</v>
      </c>
      <c r="H229" s="21"/>
      <c r="I229" s="21"/>
      <c r="J229" s="21"/>
      <c r="K229" s="20"/>
      <c r="L229" s="20"/>
      <c r="M229" s="20"/>
      <c r="N229" s="20"/>
      <c r="O229" s="20"/>
      <c r="P229" s="20"/>
      <c r="Q229" s="20"/>
      <c r="R229" s="20"/>
      <c r="S229" s="25"/>
      <c r="T229" s="25"/>
    </row>
    <row r="230" spans="1:20" ht="20.149999999999999" customHeight="1">
      <c r="A230" s="18" t="s">
        <v>822</v>
      </c>
      <c r="B230" s="19">
        <v>141</v>
      </c>
      <c r="C230" s="18" t="s">
        <v>823</v>
      </c>
      <c r="D230" s="18" t="s">
        <v>83</v>
      </c>
      <c r="E230" s="18" t="s">
        <v>800</v>
      </c>
      <c r="F230" s="20" t="s">
        <v>824</v>
      </c>
      <c r="G230" s="20" t="s">
        <v>825</v>
      </c>
      <c r="H230" s="21"/>
      <c r="I230" s="21"/>
      <c r="J230" s="21"/>
      <c r="K230" s="20"/>
      <c r="L230" s="20"/>
      <c r="M230" s="20"/>
      <c r="N230" s="20"/>
      <c r="O230" s="20"/>
      <c r="P230" s="20"/>
      <c r="Q230" s="20"/>
      <c r="R230" s="20"/>
      <c r="S230" s="25"/>
      <c r="T230" s="25"/>
    </row>
    <row r="231" spans="1:20" ht="20.149999999999999" customHeight="1">
      <c r="A231" s="18" t="s">
        <v>826</v>
      </c>
      <c r="B231" s="19">
        <v>142</v>
      </c>
      <c r="C231" s="18" t="s">
        <v>827</v>
      </c>
      <c r="D231" s="18" t="s">
        <v>83</v>
      </c>
      <c r="E231" s="18" t="s">
        <v>800</v>
      </c>
      <c r="F231" s="20" t="s">
        <v>828</v>
      </c>
      <c r="G231" s="20" t="s">
        <v>829</v>
      </c>
      <c r="H231" s="21"/>
      <c r="I231" s="21"/>
      <c r="J231" s="21"/>
      <c r="K231" s="20"/>
      <c r="L231" s="20"/>
      <c r="M231" s="20"/>
      <c r="N231" s="20"/>
      <c r="O231" s="20"/>
      <c r="P231" s="20"/>
      <c r="Q231" s="20"/>
      <c r="R231" s="20"/>
      <c r="S231" s="25"/>
      <c r="T231" s="25"/>
    </row>
    <row r="232" spans="1:20" ht="20.149999999999999" customHeight="1">
      <c r="A232" s="18" t="s">
        <v>830</v>
      </c>
      <c r="B232" s="19">
        <v>143</v>
      </c>
      <c r="C232" s="18" t="s">
        <v>831</v>
      </c>
      <c r="D232" s="18" t="s">
        <v>21</v>
      </c>
      <c r="E232" s="18" t="s">
        <v>800</v>
      </c>
      <c r="F232" s="20" t="s">
        <v>832</v>
      </c>
      <c r="G232" s="20" t="s">
        <v>833</v>
      </c>
      <c r="H232" s="21"/>
      <c r="I232" s="21"/>
      <c r="J232" s="21"/>
      <c r="K232" s="20"/>
      <c r="L232" s="20"/>
      <c r="M232" s="20"/>
      <c r="N232" s="20"/>
      <c r="O232" s="20"/>
      <c r="P232" s="20"/>
      <c r="Q232" s="20"/>
      <c r="R232" s="20"/>
      <c r="S232" s="25"/>
      <c r="T232" s="25"/>
    </row>
    <row r="233" spans="1:20" ht="20.149999999999999" customHeight="1">
      <c r="A233" s="18" t="s">
        <v>834</v>
      </c>
      <c r="B233" s="19">
        <v>144</v>
      </c>
      <c r="C233" s="18" t="s">
        <v>835</v>
      </c>
      <c r="D233" s="18" t="s">
        <v>21</v>
      </c>
      <c r="E233" s="18" t="s">
        <v>800</v>
      </c>
      <c r="F233" s="20" t="s">
        <v>836</v>
      </c>
      <c r="G233" s="20" t="s">
        <v>837</v>
      </c>
      <c r="H233" s="21"/>
      <c r="I233" s="21"/>
      <c r="J233" s="21"/>
      <c r="K233" s="20"/>
      <c r="L233" s="20"/>
      <c r="M233" s="20"/>
      <c r="N233" s="20"/>
      <c r="O233" s="20"/>
      <c r="P233" s="20"/>
      <c r="Q233" s="20"/>
      <c r="R233" s="20"/>
      <c r="S233" s="25"/>
      <c r="T233" s="25"/>
    </row>
    <row r="234" spans="1:20" ht="20.149999999999999" customHeight="1">
      <c r="A234" s="18" t="s">
        <v>838</v>
      </c>
      <c r="B234" s="19">
        <v>145</v>
      </c>
      <c r="C234" s="18" t="s">
        <v>839</v>
      </c>
      <c r="D234" s="18" t="s">
        <v>21</v>
      </c>
      <c r="E234" s="18" t="s">
        <v>800</v>
      </c>
      <c r="F234" s="20" t="s">
        <v>840</v>
      </c>
      <c r="G234" s="20" t="s">
        <v>841</v>
      </c>
      <c r="H234" s="21"/>
      <c r="I234" s="21"/>
      <c r="J234" s="21"/>
      <c r="K234" s="20"/>
      <c r="L234" s="20"/>
      <c r="M234" s="20"/>
      <c r="N234" s="20"/>
      <c r="O234" s="20"/>
      <c r="P234" s="20"/>
      <c r="Q234" s="20"/>
      <c r="R234" s="20"/>
      <c r="S234" s="25"/>
      <c r="T234" s="25"/>
    </row>
    <row r="235" spans="1:20" ht="20.149999999999999" customHeight="1">
      <c r="A235" s="18" t="s">
        <v>842</v>
      </c>
      <c r="B235" s="19">
        <v>146</v>
      </c>
      <c r="C235" s="18" t="s">
        <v>843</v>
      </c>
      <c r="D235" s="18" t="s">
        <v>21</v>
      </c>
      <c r="E235" s="18" t="s">
        <v>800</v>
      </c>
      <c r="F235" s="20" t="s">
        <v>809</v>
      </c>
      <c r="G235" s="20" t="s">
        <v>844</v>
      </c>
      <c r="H235" s="21"/>
      <c r="I235" s="21"/>
      <c r="J235" s="21"/>
      <c r="K235" s="20"/>
      <c r="L235" s="20"/>
      <c r="M235" s="20"/>
      <c r="N235" s="20"/>
      <c r="O235" s="20"/>
      <c r="P235" s="20"/>
      <c r="Q235" s="20"/>
      <c r="R235" s="20"/>
      <c r="S235" s="25"/>
      <c r="T235" s="25"/>
    </row>
    <row r="236" spans="1:20" ht="20.149999999999999" customHeight="1">
      <c r="A236" s="18" t="s">
        <v>845</v>
      </c>
      <c r="B236" s="19">
        <v>147</v>
      </c>
      <c r="C236" s="18" t="s">
        <v>846</v>
      </c>
      <c r="D236" s="18" t="s">
        <v>21</v>
      </c>
      <c r="E236" s="18" t="s">
        <v>800</v>
      </c>
      <c r="F236" s="20" t="s">
        <v>847</v>
      </c>
      <c r="G236" s="20" t="s">
        <v>848</v>
      </c>
      <c r="H236" s="21"/>
      <c r="I236" s="21"/>
      <c r="J236" s="21"/>
      <c r="K236" s="20"/>
      <c r="L236" s="20"/>
      <c r="M236" s="20"/>
      <c r="N236" s="20"/>
      <c r="O236" s="20"/>
      <c r="P236" s="20"/>
      <c r="Q236" s="20"/>
      <c r="R236" s="20"/>
      <c r="S236" s="25"/>
      <c r="T236" s="25"/>
    </row>
    <row r="237" spans="1:20" ht="20.149999999999999" customHeight="1">
      <c r="A237" s="18" t="s">
        <v>849</v>
      </c>
      <c r="B237" s="19">
        <v>148</v>
      </c>
      <c r="C237" s="18" t="s">
        <v>850</v>
      </c>
      <c r="D237" s="18" t="s">
        <v>21</v>
      </c>
      <c r="E237" s="18" t="s">
        <v>800</v>
      </c>
      <c r="F237" s="20" t="s">
        <v>851</v>
      </c>
      <c r="G237" s="20" t="s">
        <v>852</v>
      </c>
      <c r="H237" s="21"/>
      <c r="I237" s="21"/>
      <c r="J237" s="21"/>
      <c r="K237" s="20"/>
      <c r="L237" s="20"/>
      <c r="M237" s="20"/>
      <c r="N237" s="20"/>
      <c r="O237" s="20"/>
      <c r="P237" s="20"/>
      <c r="Q237" s="20"/>
      <c r="R237" s="20"/>
      <c r="S237" s="25"/>
      <c r="T237" s="25"/>
    </row>
    <row r="238" spans="1:20" ht="20.149999999999999" customHeight="1">
      <c r="A238" s="18" t="s">
        <v>853</v>
      </c>
      <c r="B238" s="19">
        <v>150</v>
      </c>
      <c r="C238" s="18" t="s">
        <v>854</v>
      </c>
      <c r="D238" s="18" t="s">
        <v>21</v>
      </c>
      <c r="E238" s="18" t="s">
        <v>800</v>
      </c>
      <c r="F238" s="20" t="s">
        <v>855</v>
      </c>
      <c r="G238" s="20" t="s">
        <v>856</v>
      </c>
      <c r="H238" s="21"/>
      <c r="I238" s="21"/>
      <c r="J238" s="21"/>
      <c r="K238" s="20"/>
      <c r="L238" s="20"/>
      <c r="M238" s="20"/>
      <c r="N238" s="20"/>
      <c r="O238" s="20"/>
      <c r="P238" s="20"/>
      <c r="Q238" s="20"/>
      <c r="R238" s="20"/>
      <c r="S238" s="25"/>
      <c r="T238" s="25"/>
    </row>
    <row r="239" spans="1:20" ht="20.149999999999999" customHeight="1">
      <c r="A239" s="18" t="s">
        <v>857</v>
      </c>
      <c r="B239" s="19">
        <v>151</v>
      </c>
      <c r="C239" s="18" t="s">
        <v>858</v>
      </c>
      <c r="D239" s="18" t="s">
        <v>21</v>
      </c>
      <c r="E239" s="18" t="s">
        <v>800</v>
      </c>
      <c r="F239" s="20" t="s">
        <v>859</v>
      </c>
      <c r="G239" s="20" t="s">
        <v>860</v>
      </c>
      <c r="H239" s="21"/>
      <c r="I239" s="21"/>
      <c r="J239" s="21"/>
      <c r="K239" s="20"/>
      <c r="L239" s="20"/>
      <c r="M239" s="20"/>
      <c r="N239" s="20"/>
      <c r="O239" s="20"/>
      <c r="P239" s="20"/>
      <c r="Q239" s="20"/>
      <c r="R239" s="20"/>
      <c r="S239" s="25"/>
      <c r="T239" s="25"/>
    </row>
    <row r="240" spans="1:20" ht="20.149999999999999" customHeight="1">
      <c r="A240" s="18" t="s">
        <v>861</v>
      </c>
      <c r="B240" s="19">
        <v>152</v>
      </c>
      <c r="C240" s="18" t="s">
        <v>862</v>
      </c>
      <c r="D240" s="18" t="s">
        <v>21</v>
      </c>
      <c r="E240" s="18" t="s">
        <v>800</v>
      </c>
      <c r="F240" s="20" t="s">
        <v>863</v>
      </c>
      <c r="G240" s="20" t="s">
        <v>864</v>
      </c>
      <c r="H240" s="21"/>
      <c r="I240" s="21"/>
      <c r="J240" s="21"/>
      <c r="K240" s="20"/>
      <c r="L240" s="20"/>
      <c r="M240" s="20"/>
      <c r="N240" s="20"/>
      <c r="O240" s="20"/>
      <c r="P240" s="20"/>
      <c r="Q240" s="20"/>
      <c r="R240" s="20"/>
      <c r="S240" s="25"/>
      <c r="T240" s="25"/>
    </row>
    <row r="241" spans="1:20" ht="20.149999999999999" customHeight="1">
      <c r="A241" s="18" t="s">
        <v>865</v>
      </c>
      <c r="B241" s="19">
        <v>153</v>
      </c>
      <c r="C241" s="18" t="s">
        <v>866</v>
      </c>
      <c r="D241" s="18" t="s">
        <v>21</v>
      </c>
      <c r="E241" s="18" t="s">
        <v>800</v>
      </c>
      <c r="F241" s="20" t="s">
        <v>867</v>
      </c>
      <c r="G241" s="20" t="s">
        <v>868</v>
      </c>
      <c r="H241" s="21"/>
      <c r="I241" s="21"/>
      <c r="J241" s="21"/>
      <c r="K241" s="20"/>
      <c r="L241" s="20"/>
      <c r="M241" s="20"/>
      <c r="N241" s="20"/>
      <c r="O241" s="20"/>
      <c r="P241" s="20"/>
      <c r="Q241" s="20"/>
      <c r="R241" s="20"/>
      <c r="S241" s="25"/>
      <c r="T241" s="25"/>
    </row>
    <row r="242" spans="1:20" ht="20.149999999999999" customHeight="1">
      <c r="A242" s="18" t="s">
        <v>869</v>
      </c>
      <c r="B242" s="19">
        <v>154</v>
      </c>
      <c r="C242" s="18" t="s">
        <v>870</v>
      </c>
      <c r="D242" s="18" t="s">
        <v>21</v>
      </c>
      <c r="E242" s="18" t="s">
        <v>800</v>
      </c>
      <c r="F242" s="20" t="s">
        <v>871</v>
      </c>
      <c r="G242" s="20" t="s">
        <v>872</v>
      </c>
      <c r="H242" s="21"/>
      <c r="I242" s="21"/>
      <c r="J242" s="21"/>
      <c r="K242" s="20"/>
      <c r="L242" s="20"/>
      <c r="M242" s="20"/>
      <c r="N242" s="20"/>
      <c r="O242" s="20"/>
      <c r="P242" s="20"/>
      <c r="Q242" s="20"/>
      <c r="R242" s="20"/>
      <c r="S242" s="25"/>
      <c r="T242" s="25"/>
    </row>
    <row r="243" spans="1:20" ht="20.149999999999999" customHeight="1">
      <c r="A243" s="18" t="s">
        <v>873</v>
      </c>
      <c r="B243" s="19">
        <v>155</v>
      </c>
      <c r="C243" s="18" t="s">
        <v>874</v>
      </c>
      <c r="D243" s="18" t="s">
        <v>21</v>
      </c>
      <c r="E243" s="18" t="s">
        <v>800</v>
      </c>
      <c r="F243" s="20" t="s">
        <v>875</v>
      </c>
      <c r="G243" s="20" t="s">
        <v>876</v>
      </c>
      <c r="H243" s="21"/>
      <c r="I243" s="21"/>
      <c r="J243" s="21"/>
      <c r="K243" s="20"/>
      <c r="L243" s="20"/>
      <c r="M243" s="20"/>
      <c r="N243" s="20"/>
      <c r="O243" s="20"/>
      <c r="P243" s="20"/>
      <c r="Q243" s="20"/>
      <c r="R243" s="20"/>
      <c r="S243" s="25"/>
      <c r="T243" s="25"/>
    </row>
    <row r="244" spans="1:20" ht="20.149999999999999" customHeight="1">
      <c r="A244" s="18" t="s">
        <v>877</v>
      </c>
      <c r="B244" s="19">
        <v>156</v>
      </c>
      <c r="C244" s="18" t="s">
        <v>878</v>
      </c>
      <c r="D244" s="18" t="s">
        <v>21</v>
      </c>
      <c r="E244" s="18" t="s">
        <v>800</v>
      </c>
      <c r="F244" s="20" t="s">
        <v>879</v>
      </c>
      <c r="G244" s="20" t="s">
        <v>880</v>
      </c>
      <c r="H244" s="21"/>
      <c r="I244" s="21"/>
      <c r="J244" s="21"/>
      <c r="K244" s="20"/>
      <c r="L244" s="20"/>
      <c r="M244" s="20"/>
      <c r="N244" s="20"/>
      <c r="O244" s="20"/>
      <c r="P244" s="20"/>
      <c r="Q244" s="20"/>
      <c r="R244" s="20"/>
      <c r="S244" s="25"/>
      <c r="T244" s="25"/>
    </row>
    <row r="245" spans="1:20" ht="20.149999999999999" customHeight="1">
      <c r="A245" s="18" t="s">
        <v>881</v>
      </c>
      <c r="B245" s="19">
        <v>157</v>
      </c>
      <c r="C245" s="18" t="s">
        <v>882</v>
      </c>
      <c r="D245" s="18" t="s">
        <v>21</v>
      </c>
      <c r="E245" s="18" t="s">
        <v>800</v>
      </c>
      <c r="F245" s="20" t="s">
        <v>824</v>
      </c>
      <c r="G245" s="20" t="s">
        <v>883</v>
      </c>
      <c r="H245" s="21"/>
      <c r="I245" s="21"/>
      <c r="J245" s="21"/>
      <c r="K245" s="20"/>
      <c r="L245" s="20"/>
      <c r="M245" s="20"/>
      <c r="N245" s="20"/>
      <c r="O245" s="20"/>
      <c r="P245" s="20"/>
      <c r="Q245" s="20"/>
      <c r="R245" s="20"/>
      <c r="S245" s="25"/>
      <c r="T245" s="25"/>
    </row>
    <row r="246" spans="1:20" ht="20.149999999999999" customHeight="1">
      <c r="A246" s="18" t="s">
        <v>884</v>
      </c>
      <c r="B246" s="19">
        <v>158</v>
      </c>
      <c r="C246" s="18" t="s">
        <v>885</v>
      </c>
      <c r="D246" s="18" t="s">
        <v>21</v>
      </c>
      <c r="E246" s="18" t="s">
        <v>800</v>
      </c>
      <c r="F246" s="20" t="s">
        <v>886</v>
      </c>
      <c r="G246" s="20" t="s">
        <v>887</v>
      </c>
      <c r="H246" s="21"/>
      <c r="I246" s="21"/>
      <c r="J246" s="21"/>
      <c r="K246" s="20"/>
      <c r="L246" s="20"/>
      <c r="M246" s="20"/>
      <c r="N246" s="20"/>
      <c r="O246" s="20"/>
      <c r="P246" s="20"/>
      <c r="Q246" s="20"/>
      <c r="R246" s="20"/>
      <c r="S246" s="25"/>
      <c r="T246" s="25"/>
    </row>
    <row r="247" spans="1:20" ht="20.149999999999999" customHeight="1">
      <c r="A247" s="18" t="s">
        <v>888</v>
      </c>
      <c r="B247" s="19">
        <v>159</v>
      </c>
      <c r="C247" s="18" t="s">
        <v>889</v>
      </c>
      <c r="D247" s="18" t="s">
        <v>141</v>
      </c>
      <c r="E247" s="18" t="s">
        <v>800</v>
      </c>
      <c r="F247" s="20" t="s">
        <v>890</v>
      </c>
      <c r="G247" s="20" t="s">
        <v>891</v>
      </c>
      <c r="H247" s="21"/>
      <c r="I247" s="21"/>
      <c r="J247" s="21"/>
      <c r="K247" s="20"/>
      <c r="L247" s="20"/>
      <c r="M247" s="20"/>
      <c r="N247" s="20"/>
      <c r="O247" s="20"/>
      <c r="P247" s="20"/>
      <c r="Q247" s="20"/>
      <c r="R247" s="20"/>
      <c r="S247" s="25"/>
      <c r="T247" s="25"/>
    </row>
    <row r="248" spans="1:20" ht="20.149999999999999" customHeight="1">
      <c r="A248" s="18" t="s">
        <v>892</v>
      </c>
      <c r="B248" s="19">
        <v>160</v>
      </c>
      <c r="C248" s="18" t="s">
        <v>893</v>
      </c>
      <c r="D248" s="18" t="s">
        <v>21</v>
      </c>
      <c r="E248" s="18" t="s">
        <v>800</v>
      </c>
      <c r="F248" s="20" t="s">
        <v>894</v>
      </c>
      <c r="G248" s="20" t="s">
        <v>895</v>
      </c>
      <c r="H248" s="21"/>
      <c r="I248" s="21"/>
      <c r="J248" s="21"/>
      <c r="K248" s="20"/>
      <c r="L248" s="20"/>
      <c r="M248" s="20"/>
      <c r="N248" s="20"/>
      <c r="O248" s="20"/>
      <c r="P248" s="20"/>
      <c r="Q248" s="20"/>
      <c r="R248" s="20"/>
      <c r="S248" s="25"/>
      <c r="T248" s="25"/>
    </row>
    <row r="249" spans="1:20" ht="20.149999999999999" customHeight="1">
      <c r="A249" s="18" t="s">
        <v>896</v>
      </c>
      <c r="B249" s="19">
        <v>161</v>
      </c>
      <c r="C249" s="18" t="s">
        <v>897</v>
      </c>
      <c r="D249" s="18" t="s">
        <v>12</v>
      </c>
      <c r="E249" s="18" t="s">
        <v>800</v>
      </c>
      <c r="F249" s="20" t="s">
        <v>890</v>
      </c>
      <c r="G249" s="20" t="s">
        <v>898</v>
      </c>
      <c r="H249" s="21"/>
      <c r="I249" s="21"/>
      <c r="J249" s="21"/>
      <c r="K249" s="20"/>
      <c r="L249" s="20"/>
      <c r="M249" s="20"/>
      <c r="N249" s="20"/>
      <c r="O249" s="20"/>
      <c r="P249" s="20"/>
      <c r="Q249" s="20"/>
      <c r="R249" s="20"/>
      <c r="S249" s="25"/>
      <c r="T249" s="25"/>
    </row>
    <row r="250" spans="1:20" ht="20.149999999999999" customHeight="1">
      <c r="A250" s="18" t="s">
        <v>899</v>
      </c>
      <c r="B250" s="19">
        <v>200</v>
      </c>
      <c r="C250" s="18" t="s">
        <v>900</v>
      </c>
      <c r="D250" s="18" t="s">
        <v>21</v>
      </c>
      <c r="E250" s="18" t="s">
        <v>800</v>
      </c>
      <c r="F250" s="20" t="s">
        <v>840</v>
      </c>
      <c r="G250" s="20" t="s">
        <v>88</v>
      </c>
      <c r="H250" s="21"/>
      <c r="I250" s="21"/>
      <c r="J250" s="21"/>
      <c r="K250" s="20"/>
      <c r="L250" s="20"/>
      <c r="M250" s="20"/>
      <c r="N250" s="20"/>
      <c r="O250" s="20"/>
      <c r="P250" s="20"/>
      <c r="Q250" s="20"/>
      <c r="R250" s="20"/>
      <c r="S250" s="25"/>
      <c r="T250" s="25"/>
    </row>
    <row r="251" spans="1:20" ht="20.149999999999999" customHeight="1">
      <c r="A251" s="18" t="s">
        <v>901</v>
      </c>
      <c r="B251" s="19">
        <v>247</v>
      </c>
      <c r="C251" s="18" t="s">
        <v>902</v>
      </c>
      <c r="D251" s="18" t="s">
        <v>21</v>
      </c>
      <c r="E251" s="18" t="s">
        <v>800</v>
      </c>
      <c r="F251" s="20" t="s">
        <v>903</v>
      </c>
      <c r="G251" s="20" t="s">
        <v>904</v>
      </c>
      <c r="H251" s="21"/>
      <c r="I251" s="21"/>
      <c r="J251" s="21"/>
      <c r="K251" s="20"/>
      <c r="L251" s="20"/>
      <c r="M251" s="20"/>
      <c r="N251" s="20"/>
      <c r="O251" s="20"/>
      <c r="P251" s="20"/>
      <c r="Q251" s="20"/>
      <c r="R251" s="20"/>
      <c r="S251" s="25"/>
      <c r="T251" s="25"/>
    </row>
    <row r="252" spans="1:20" ht="20.149999999999999" customHeight="1">
      <c r="A252" s="18" t="s">
        <v>905</v>
      </c>
      <c r="B252" s="19">
        <v>276</v>
      </c>
      <c r="C252" s="18" t="s">
        <v>906</v>
      </c>
      <c r="D252" s="18" t="s">
        <v>159</v>
      </c>
      <c r="E252" s="18" t="s">
        <v>800</v>
      </c>
      <c r="F252" s="20" t="s">
        <v>907</v>
      </c>
      <c r="G252" s="20" t="s">
        <v>908</v>
      </c>
      <c r="H252" s="21"/>
      <c r="I252" s="21"/>
      <c r="J252" s="21"/>
      <c r="K252" s="20"/>
      <c r="L252" s="20"/>
      <c r="M252" s="20"/>
      <c r="N252" s="20"/>
      <c r="O252" s="20"/>
      <c r="P252" s="20"/>
      <c r="Q252" s="20"/>
      <c r="R252" s="20"/>
      <c r="S252" s="25"/>
      <c r="T252" s="25"/>
    </row>
    <row r="253" spans="1:20" ht="20.149999999999999" customHeight="1">
      <c r="A253" s="18" t="s">
        <v>909</v>
      </c>
      <c r="B253" s="19">
        <v>284</v>
      </c>
      <c r="C253" s="18" t="s">
        <v>910</v>
      </c>
      <c r="D253" s="18" t="s">
        <v>535</v>
      </c>
      <c r="E253" s="18" t="s">
        <v>800</v>
      </c>
      <c r="F253" s="20" t="s">
        <v>911</v>
      </c>
      <c r="G253" s="48" t="s">
        <v>912</v>
      </c>
      <c r="H253" s="21"/>
      <c r="I253" s="21"/>
      <c r="J253" s="21"/>
      <c r="K253" s="20"/>
      <c r="L253" s="20"/>
      <c r="M253" s="20"/>
      <c r="N253" s="20"/>
      <c r="O253" s="20"/>
      <c r="P253" s="20"/>
      <c r="Q253" s="20"/>
      <c r="R253" s="20"/>
      <c r="S253" s="25"/>
      <c r="T253" s="25"/>
    </row>
  </sheetData>
  <autoFilter ref="A3:T253" xr:uid="{00000000-0009-0000-0000-000000000000}">
    <sortState xmlns:xlrd2="http://schemas.microsoft.com/office/spreadsheetml/2017/richdata2" ref="A3:T253">
      <sortCondition ref="E3:E51"/>
    </sortState>
  </autoFilter>
  <mergeCells count="3">
    <mergeCell ref="A1:T1"/>
    <mergeCell ref="H2:M2"/>
    <mergeCell ref="O2:S2"/>
  </mergeCells>
  <pageMargins left="0.2" right="0.2" top="0.45" bottom="0.63" header="0.24" footer="0.3"/>
  <pageSetup scale="4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02E54-6977-4030-9E93-DC62E16B3814}">
  <sheetPr>
    <pageSetUpPr fitToPage="1"/>
  </sheetPr>
  <dimension ref="A1:AA283"/>
  <sheetViews>
    <sheetView tabSelected="1" zoomScale="91" zoomScaleNormal="91" workbookViewId="0">
      <pane xSplit="2" ySplit="2" topLeftCell="C3" activePane="bottomRight" state="frozen"/>
      <selection pane="topRight" activeCell="C1" sqref="C1"/>
      <selection pane="bottomLeft" activeCell="A3" sqref="A3"/>
      <selection pane="bottomRight" activeCell="A7" sqref="A7"/>
    </sheetView>
  </sheetViews>
  <sheetFormatPr defaultColWidth="9.1796875" defaultRowHeight="20.149999999999999" customHeight="1"/>
  <cols>
    <col min="1" max="1" width="4.453125" style="55" customWidth="1"/>
    <col min="2" max="2" width="21.81640625" style="55" bestFit="1" customWidth="1"/>
    <col min="3" max="3" width="9.08984375" style="55" bestFit="1" customWidth="1"/>
    <col min="4" max="5" width="13.08984375" style="55" customWidth="1"/>
    <col min="6" max="6" width="28.36328125" style="55" customWidth="1"/>
    <col min="7" max="7" width="31" style="55" bestFit="1" customWidth="1"/>
    <col min="8" max="8" width="11" style="55" bestFit="1" customWidth="1"/>
    <col min="9" max="9" width="14.90625" style="55" bestFit="1" customWidth="1"/>
    <col min="10" max="10" width="28.36328125" style="51" bestFit="1" customWidth="1"/>
    <col min="11" max="11" width="15.81640625" style="49" customWidth="1"/>
    <col min="12" max="14" width="15.26953125" style="49" customWidth="1"/>
    <col min="15" max="15" width="17.26953125" style="49" customWidth="1"/>
    <col min="16" max="16" width="39" style="49" customWidth="1"/>
    <col min="17" max="17" width="33.7265625" style="49" bestFit="1" customWidth="1"/>
    <col min="18" max="18" width="76.7265625" style="49" bestFit="1" customWidth="1"/>
    <col min="19" max="19" width="68.08984375" style="49" customWidth="1"/>
    <col min="20" max="20" width="21.90625" style="49" bestFit="1" customWidth="1"/>
    <col min="21" max="21" width="12" style="49" bestFit="1" customWidth="1"/>
    <col min="22" max="22" width="20" style="49" customWidth="1"/>
    <col min="23" max="23" width="15.1796875" style="49" customWidth="1"/>
    <col min="24" max="24" width="8.7265625" style="49" customWidth="1"/>
    <col min="25" max="25" width="9.1796875" style="49"/>
    <col min="26" max="26" width="28.6328125" style="49" customWidth="1"/>
    <col min="27" max="16384" width="9.1796875" style="49"/>
  </cols>
  <sheetData>
    <row r="1" spans="1:26" ht="20.149999999999999" customHeight="1">
      <c r="A1" s="209"/>
      <c r="B1" s="340"/>
      <c r="C1" s="340"/>
      <c r="D1" s="340"/>
      <c r="E1" s="340"/>
      <c r="F1" s="340"/>
      <c r="G1" s="341"/>
      <c r="H1" s="210"/>
      <c r="I1" s="210"/>
      <c r="J1" s="69"/>
      <c r="M1" s="61"/>
      <c r="N1" s="61"/>
      <c r="O1" s="61"/>
      <c r="P1" s="61"/>
      <c r="Q1" s="61"/>
      <c r="R1" s="61"/>
      <c r="S1" s="61"/>
      <c r="T1" s="61"/>
      <c r="U1" s="61"/>
    </row>
    <row r="2" spans="1:26" ht="40" customHeight="1">
      <c r="A2" s="79" t="s">
        <v>2</v>
      </c>
      <c r="B2" s="307" t="s">
        <v>4</v>
      </c>
      <c r="C2" s="79" t="s">
        <v>1625</v>
      </c>
      <c r="D2" s="79" t="s">
        <v>1983</v>
      </c>
      <c r="E2" s="79" t="s">
        <v>1982</v>
      </c>
      <c r="F2" s="79"/>
      <c r="G2" s="79" t="s">
        <v>5</v>
      </c>
      <c r="H2" s="79" t="s">
        <v>6</v>
      </c>
      <c r="I2" s="79" t="s">
        <v>1593</v>
      </c>
      <c r="J2" s="79" t="s">
        <v>7</v>
      </c>
      <c r="K2" s="79" t="s">
        <v>990</v>
      </c>
      <c r="L2" s="79" t="s">
        <v>986</v>
      </c>
      <c r="M2" s="79" t="s">
        <v>1552</v>
      </c>
      <c r="N2" s="79" t="s">
        <v>1549</v>
      </c>
      <c r="O2" s="79" t="s">
        <v>987</v>
      </c>
      <c r="P2" s="79" t="s">
        <v>982</v>
      </c>
      <c r="Q2" s="79" t="s">
        <v>3113</v>
      </c>
      <c r="R2" s="79" t="s">
        <v>993</v>
      </c>
      <c r="S2" s="79" t="s">
        <v>2822</v>
      </c>
      <c r="T2" s="79" t="s">
        <v>1985</v>
      </c>
      <c r="U2" s="80" t="s">
        <v>1986</v>
      </c>
      <c r="V2" s="49" t="s">
        <v>2818</v>
      </c>
      <c r="X2" s="49" t="s">
        <v>2827</v>
      </c>
      <c r="Y2" s="49" t="s">
        <v>2828</v>
      </c>
      <c r="Z2" s="49" t="s">
        <v>2829</v>
      </c>
    </row>
    <row r="3" spans="1:26" s="54" customFormat="1" ht="30">
      <c r="A3" s="64" t="s">
        <v>97</v>
      </c>
      <c r="B3" s="106" t="s">
        <v>2830</v>
      </c>
      <c r="C3" s="106" t="s">
        <v>1626</v>
      </c>
      <c r="D3" s="81" t="s">
        <v>121</v>
      </c>
      <c r="E3" s="81" t="s">
        <v>1990</v>
      </c>
      <c r="F3" s="169" t="s">
        <v>2804</v>
      </c>
      <c r="G3" s="106" t="s">
        <v>2992</v>
      </c>
      <c r="H3" s="106" t="s">
        <v>13</v>
      </c>
      <c r="I3" s="106" t="s">
        <v>3010</v>
      </c>
      <c r="J3" s="106" t="s">
        <v>3030</v>
      </c>
      <c r="K3" s="50" t="s">
        <v>1005</v>
      </c>
      <c r="L3" s="70" t="s">
        <v>1489</v>
      </c>
      <c r="M3" s="69" t="str">
        <f t="shared" ref="M3" si="0">IF(L3="","",TEXT(DATEVALUE(SUBSTITUTE(SUBSTITUTE(SUBSTITUTE(SUBSTITUTE(SUBSTITUTE(L3,"st",""),"nd",""),"rd",""),"th",""),"TH","")),"dd/mm/yyyy"))</f>
        <v>15/10/1988</v>
      </c>
      <c r="N3" s="50">
        <f ca="1">IF(M3="","",DATEDIF(M3,TODAY(),"Y"))</f>
        <v>37</v>
      </c>
      <c r="O3" s="50" t="s">
        <v>988</v>
      </c>
      <c r="P3" s="50" t="s">
        <v>1429</v>
      </c>
      <c r="Q3" s="50" t="s">
        <v>3114</v>
      </c>
      <c r="R3" s="50"/>
      <c r="S3" s="165" t="s">
        <v>3154</v>
      </c>
      <c r="T3" s="81" t="s">
        <v>2143</v>
      </c>
      <c r="U3" s="84">
        <v>46254</v>
      </c>
      <c r="X3" s="54">
        <f>LEN(D3)</f>
        <v>10</v>
      </c>
      <c r="Y3" s="54">
        <f>LEN(E3)</f>
        <v>8</v>
      </c>
      <c r="Z3" s="54" t="str">
        <f>PROPER(J3)</f>
        <v>Mbeere Sub County Hospital</v>
      </c>
    </row>
    <row r="4" spans="1:26" s="54" customFormat="1" ht="15">
      <c r="A4" s="64" t="s">
        <v>10</v>
      </c>
      <c r="B4" s="96" t="s">
        <v>2355</v>
      </c>
      <c r="C4" s="93" t="s">
        <v>1627</v>
      </c>
      <c r="D4" s="81" t="s">
        <v>176</v>
      </c>
      <c r="E4" s="81" t="s">
        <v>2073</v>
      </c>
      <c r="F4" s="157" t="s">
        <v>2645</v>
      </c>
      <c r="G4" s="93" t="s">
        <v>2994</v>
      </c>
      <c r="H4" s="93" t="s">
        <v>166</v>
      </c>
      <c r="I4" s="93" t="s">
        <v>3014</v>
      </c>
      <c r="J4" s="93" t="s">
        <v>3044</v>
      </c>
      <c r="K4" s="62" t="s">
        <v>1005</v>
      </c>
      <c r="L4" s="62" t="s">
        <v>1195</v>
      </c>
      <c r="M4" s="49" t="str">
        <f t="shared" ref="M4:M31" si="1">IF(L4="","",TEXT(DATEVALUE(SUBSTITUTE(SUBSTITUTE(SUBSTITUTE(SUBSTITUTE(SUBSTITUTE(L4,"st",""),"nd",""),"rd",""),"th",""),"TH","")),"dd/mm/yyyy"))</f>
        <v>01/08/1994</v>
      </c>
      <c r="N4" s="50">
        <f ca="1">IF(M4="","",DATEDIF(M4,TODAY(),"Y"))</f>
        <v>31</v>
      </c>
      <c r="O4" s="62" t="s">
        <v>988</v>
      </c>
      <c r="P4" s="62" t="s">
        <v>1196</v>
      </c>
      <c r="Q4" s="62" t="s">
        <v>3119</v>
      </c>
      <c r="R4" s="62" t="s">
        <v>1497</v>
      </c>
      <c r="S4" s="61"/>
      <c r="T4" s="62"/>
      <c r="U4" s="103"/>
      <c r="V4" s="171">
        <v>45930</v>
      </c>
      <c r="X4" s="54">
        <f t="shared" ref="X4:X69" si="2">LEN(D4)</f>
        <v>10</v>
      </c>
      <c r="Y4" s="54">
        <f t="shared" ref="Y4:Y69" si="3">LEN(E4)</f>
        <v>8</v>
      </c>
      <c r="Z4" s="54" t="str">
        <f t="shared" ref="Z4:Z69" si="4">PROPER(J4)</f>
        <v>Akachiu Health Centre</v>
      </c>
    </row>
    <row r="5" spans="1:26" s="54" customFormat="1" ht="16.5">
      <c r="A5" s="64" t="s">
        <v>85</v>
      </c>
      <c r="B5" s="106" t="s">
        <v>2832</v>
      </c>
      <c r="C5" s="106" t="s">
        <v>1626</v>
      </c>
      <c r="D5" s="81" t="s">
        <v>114</v>
      </c>
      <c r="E5" s="81" t="s">
        <v>2135</v>
      </c>
      <c r="F5" s="169" t="s">
        <v>2808</v>
      </c>
      <c r="G5" s="106" t="s">
        <v>2994</v>
      </c>
      <c r="H5" s="106" t="s">
        <v>13</v>
      </c>
      <c r="I5" s="106" t="s">
        <v>3011</v>
      </c>
      <c r="J5" s="106" t="s">
        <v>3133</v>
      </c>
      <c r="K5" s="50" t="s">
        <v>1005</v>
      </c>
      <c r="L5" s="70" t="s">
        <v>1486</v>
      </c>
      <c r="M5" s="69" t="str">
        <f t="shared" si="1"/>
        <v>04/07/1982</v>
      </c>
      <c r="N5" s="50">
        <f ca="1">DATEDIF(M5,TODAY(),"Y")</f>
        <v>44</v>
      </c>
      <c r="O5" s="50" t="s">
        <v>988</v>
      </c>
      <c r="P5" s="50" t="s">
        <v>1239</v>
      </c>
      <c r="Q5" s="50" t="s">
        <v>989</v>
      </c>
      <c r="R5" s="50" t="s">
        <v>1218</v>
      </c>
      <c r="S5" s="101"/>
      <c r="T5" s="50"/>
      <c r="U5" s="104"/>
      <c r="X5" s="54">
        <f t="shared" si="2"/>
        <v>10</v>
      </c>
      <c r="Y5" s="54">
        <f t="shared" si="3"/>
        <v>8</v>
      </c>
      <c r="Z5" s="54" t="str">
        <f t="shared" si="4"/>
        <v>Dallas Dispensaryensary</v>
      </c>
    </row>
    <row r="6" spans="1:26" s="54" customFormat="1" ht="16.5">
      <c r="A6" s="64" t="s">
        <v>57</v>
      </c>
      <c r="B6" s="106" t="s">
        <v>2833</v>
      </c>
      <c r="C6" s="106" t="s">
        <v>1626</v>
      </c>
      <c r="D6" s="81" t="s">
        <v>88</v>
      </c>
      <c r="E6" s="81" t="s">
        <v>2134</v>
      </c>
      <c r="F6" s="169" t="s">
        <v>2805</v>
      </c>
      <c r="G6" s="106" t="s">
        <v>2994</v>
      </c>
      <c r="H6" s="106" t="s">
        <v>13</v>
      </c>
      <c r="I6" s="106" t="s">
        <v>3012</v>
      </c>
      <c r="J6" s="106" t="s">
        <v>3032</v>
      </c>
      <c r="K6" s="50" t="s">
        <v>1005</v>
      </c>
      <c r="L6" s="70" t="s">
        <v>1482</v>
      </c>
      <c r="M6" s="69" t="str">
        <f t="shared" si="1"/>
        <v>09/06/1997</v>
      </c>
      <c r="N6" s="50">
        <f ca="1">DATEDIF(M6,TODAY(),"Y")</f>
        <v>29</v>
      </c>
      <c r="O6" s="50" t="s">
        <v>988</v>
      </c>
      <c r="P6" s="50" t="s">
        <v>1002</v>
      </c>
      <c r="Q6" s="50" t="s">
        <v>1483</v>
      </c>
      <c r="R6" s="50" t="s">
        <v>1484</v>
      </c>
      <c r="S6" s="101"/>
      <c r="T6" s="50"/>
      <c r="U6" s="104"/>
      <c r="X6" s="54">
        <f t="shared" si="2"/>
        <v>10</v>
      </c>
      <c r="Y6" s="54">
        <f t="shared" si="3"/>
        <v>8</v>
      </c>
      <c r="Z6" s="54" t="str">
        <f t="shared" si="4"/>
        <v>Gategi Health Centre</v>
      </c>
    </row>
    <row r="7" spans="1:26" s="54" customFormat="1" ht="16.5">
      <c r="A7" s="64" t="s">
        <v>115</v>
      </c>
      <c r="B7" s="106" t="s">
        <v>2834</v>
      </c>
      <c r="C7" s="106" t="s">
        <v>1626</v>
      </c>
      <c r="D7" s="81" t="s">
        <v>135</v>
      </c>
      <c r="E7" s="81" t="s">
        <v>1995</v>
      </c>
      <c r="F7" s="169" t="s">
        <v>2806</v>
      </c>
      <c r="G7" s="106" t="s">
        <v>2995</v>
      </c>
      <c r="H7" s="106" t="s">
        <v>13</v>
      </c>
      <c r="I7" s="106" t="s">
        <v>3013</v>
      </c>
      <c r="J7" s="106" t="s">
        <v>3033</v>
      </c>
      <c r="K7" s="50" t="s">
        <v>1005</v>
      </c>
      <c r="L7" s="70" t="s">
        <v>1479</v>
      </c>
      <c r="M7" s="69" t="str">
        <f t="shared" si="1"/>
        <v>16/05/1989</v>
      </c>
      <c r="N7" s="50">
        <f ca="1">DATEDIF(M7,TODAY(),"Y")</f>
        <v>37</v>
      </c>
      <c r="O7" s="50" t="s">
        <v>1188</v>
      </c>
      <c r="P7" s="50" t="s">
        <v>996</v>
      </c>
      <c r="Q7" s="50" t="s">
        <v>1478</v>
      </c>
      <c r="R7" s="50"/>
      <c r="S7" s="101" t="s">
        <v>2819</v>
      </c>
      <c r="T7" s="50" t="s">
        <v>2146</v>
      </c>
      <c r="U7" s="104">
        <v>46295</v>
      </c>
      <c r="X7" s="54">
        <f t="shared" si="2"/>
        <v>10</v>
      </c>
      <c r="Y7" s="54">
        <f t="shared" si="3"/>
        <v>8</v>
      </c>
      <c r="Z7" s="54" t="str">
        <f t="shared" si="4"/>
        <v>Ugweri Health Centre</v>
      </c>
    </row>
    <row r="8" spans="1:26" s="54" customFormat="1" ht="16.5">
      <c r="A8" s="64" t="s">
        <v>60</v>
      </c>
      <c r="B8" s="106" t="s">
        <v>2835</v>
      </c>
      <c r="C8" s="106" t="s">
        <v>1626</v>
      </c>
      <c r="D8" s="81" t="s">
        <v>23</v>
      </c>
      <c r="E8" s="81" t="s">
        <v>2125</v>
      </c>
      <c r="F8" s="169" t="s">
        <v>2809</v>
      </c>
      <c r="G8" s="106" t="s">
        <v>2994</v>
      </c>
      <c r="H8" s="106" t="s">
        <v>13</v>
      </c>
      <c r="I8" s="106" t="s">
        <v>3011</v>
      </c>
      <c r="J8" s="106" t="s">
        <v>3034</v>
      </c>
      <c r="K8" s="50" t="s">
        <v>1005</v>
      </c>
      <c r="L8" s="70" t="s">
        <v>1480</v>
      </c>
      <c r="M8" s="69" t="str">
        <f t="shared" si="1"/>
        <v>06/03/1991</v>
      </c>
      <c r="N8" s="50">
        <f ca="1">DATEDIF(M8,TODAY(),"Y")</f>
        <v>35</v>
      </c>
      <c r="O8" s="50" t="s">
        <v>998</v>
      </c>
      <c r="P8" s="50" t="s">
        <v>1937</v>
      </c>
      <c r="Q8" s="50" t="s">
        <v>1068</v>
      </c>
      <c r="R8" s="50" t="s">
        <v>2693</v>
      </c>
      <c r="S8" s="101"/>
      <c r="T8" s="50"/>
      <c r="U8" s="104"/>
      <c r="X8" s="54">
        <f t="shared" si="2"/>
        <v>10</v>
      </c>
      <c r="Y8" s="54">
        <f t="shared" si="3"/>
        <v>8</v>
      </c>
      <c r="Z8" s="54" t="str">
        <f t="shared" si="4"/>
        <v>Embu Level 5 Hospital</v>
      </c>
    </row>
    <row r="9" spans="1:26" s="54" customFormat="1" ht="16.5">
      <c r="A9" s="64" t="s">
        <v>74</v>
      </c>
      <c r="B9" s="106" t="s">
        <v>2836</v>
      </c>
      <c r="C9" s="106" t="s">
        <v>1626</v>
      </c>
      <c r="D9" s="81" t="s">
        <v>103</v>
      </c>
      <c r="E9" s="81" t="s">
        <v>1988</v>
      </c>
      <c r="F9" s="169" t="s">
        <v>2810</v>
      </c>
      <c r="G9" s="106" t="s">
        <v>2992</v>
      </c>
      <c r="H9" s="106" t="s">
        <v>13</v>
      </c>
      <c r="I9" s="106" t="s">
        <v>3013</v>
      </c>
      <c r="J9" s="106" t="s">
        <v>3035</v>
      </c>
      <c r="K9" s="50" t="s">
        <v>1005</v>
      </c>
      <c r="L9" s="70" t="s">
        <v>1481</v>
      </c>
      <c r="M9" s="69" t="str">
        <f t="shared" si="1"/>
        <v>25/01/1992</v>
      </c>
      <c r="N9" s="50">
        <f ca="1">DATEDIF(M9,TODAY(),"Y")</f>
        <v>34</v>
      </c>
      <c r="O9" s="50" t="s">
        <v>998</v>
      </c>
      <c r="P9" s="50" t="s">
        <v>2694</v>
      </c>
      <c r="Q9" s="50" t="s">
        <v>1068</v>
      </c>
      <c r="R9" s="50"/>
      <c r="S9" s="101" t="s">
        <v>3154</v>
      </c>
      <c r="T9" s="50" t="s">
        <v>2142</v>
      </c>
      <c r="U9" s="104">
        <v>46254</v>
      </c>
      <c r="X9" s="54">
        <f t="shared" si="2"/>
        <v>10</v>
      </c>
      <c r="Y9" s="54">
        <f t="shared" si="3"/>
        <v>8</v>
      </c>
      <c r="Z9" s="54" t="str">
        <f t="shared" si="4"/>
        <v>Runyenjes Sub County Hospital</v>
      </c>
    </row>
    <row r="10" spans="1:26" s="54" customFormat="1" ht="15">
      <c r="A10" s="64" t="s">
        <v>19</v>
      </c>
      <c r="B10" s="96" t="s">
        <v>2435</v>
      </c>
      <c r="C10" s="93" t="s">
        <v>1627</v>
      </c>
      <c r="D10" s="81" t="s">
        <v>2018</v>
      </c>
      <c r="E10" s="81">
        <v>32199453</v>
      </c>
      <c r="F10" s="157" t="s">
        <v>2647</v>
      </c>
      <c r="G10" s="97" t="s">
        <v>2996</v>
      </c>
      <c r="H10" s="97" t="s">
        <v>166</v>
      </c>
      <c r="I10" s="97" t="s">
        <v>3016</v>
      </c>
      <c r="J10" s="65" t="s">
        <v>3135</v>
      </c>
      <c r="K10" s="62" t="s">
        <v>1571</v>
      </c>
      <c r="L10" s="62" t="s">
        <v>1572</v>
      </c>
      <c r="M10" s="49" t="str">
        <f t="shared" si="1"/>
        <v>12/05/1993</v>
      </c>
      <c r="N10" s="50">
        <f ca="1">IF(M10="","",DATEDIF(M10,TODAY(),"Y"))</f>
        <v>33</v>
      </c>
      <c r="O10" s="62" t="s">
        <v>988</v>
      </c>
      <c r="P10" s="62" t="s">
        <v>1570</v>
      </c>
      <c r="Q10" s="62" t="s">
        <v>1170</v>
      </c>
      <c r="R10" s="62"/>
      <c r="S10" s="100" t="s">
        <v>2328</v>
      </c>
      <c r="T10" s="83" t="s">
        <v>2036</v>
      </c>
      <c r="U10" s="167">
        <v>46387</v>
      </c>
      <c r="X10" s="54">
        <f t="shared" si="2"/>
        <v>10</v>
      </c>
      <c r="Y10" s="54">
        <f t="shared" si="3"/>
        <v>8</v>
      </c>
      <c r="Z10" s="54" t="str">
        <f t="shared" si="4"/>
        <v>Nthambiro Dispensaryensary</v>
      </c>
    </row>
    <row r="11" spans="1:26" s="54" customFormat="1" ht="15">
      <c r="A11" s="64" t="s">
        <v>10</v>
      </c>
      <c r="B11" s="96" t="s">
        <v>2367</v>
      </c>
      <c r="C11" s="93" t="s">
        <v>1627</v>
      </c>
      <c r="D11" s="81" t="s">
        <v>325</v>
      </c>
      <c r="E11" s="81" t="s">
        <v>2010</v>
      </c>
      <c r="F11" s="157" t="s">
        <v>2648</v>
      </c>
      <c r="G11" s="93" t="s">
        <v>2996</v>
      </c>
      <c r="H11" s="93" t="s">
        <v>166</v>
      </c>
      <c r="I11" s="93" t="s">
        <v>3014</v>
      </c>
      <c r="J11" s="93" t="s">
        <v>3120</v>
      </c>
      <c r="K11" s="62" t="s">
        <v>1005</v>
      </c>
      <c r="L11" s="62" t="s">
        <v>1205</v>
      </c>
      <c r="M11" s="49" t="str">
        <f t="shared" si="1"/>
        <v>01/01/1988</v>
      </c>
      <c r="N11" s="50">
        <f ca="1">IF(M11="","",DATEDIF(M11,TODAY(),"Y"))</f>
        <v>38</v>
      </c>
      <c r="O11" s="62" t="s">
        <v>988</v>
      </c>
      <c r="P11" s="62" t="s">
        <v>996</v>
      </c>
      <c r="Q11" s="62" t="s">
        <v>989</v>
      </c>
      <c r="R11" s="62"/>
      <c r="S11" s="100" t="s">
        <v>2328</v>
      </c>
      <c r="T11" s="83" t="s">
        <v>3300</v>
      </c>
      <c r="U11" s="167">
        <v>46295</v>
      </c>
      <c r="X11" s="54">
        <f t="shared" si="2"/>
        <v>10</v>
      </c>
      <c r="Y11" s="54">
        <f t="shared" si="3"/>
        <v>8</v>
      </c>
      <c r="Z11" s="54" t="str">
        <f t="shared" si="4"/>
        <v>Nyambene Sub County Hospital</v>
      </c>
    </row>
    <row r="12" spans="1:26" s="54" customFormat="1" ht="15">
      <c r="A12" s="64"/>
      <c r="B12" s="96" t="s">
        <v>2437</v>
      </c>
      <c r="C12" s="93" t="s">
        <v>1627</v>
      </c>
      <c r="D12" s="81" t="s">
        <v>2020</v>
      </c>
      <c r="E12" s="81" t="s">
        <v>2021</v>
      </c>
      <c r="F12" s="157" t="s">
        <v>2653</v>
      </c>
      <c r="G12" s="98" t="s">
        <v>2995</v>
      </c>
      <c r="H12" s="98" t="s">
        <v>166</v>
      </c>
      <c r="I12" s="93" t="s">
        <v>3014</v>
      </c>
      <c r="J12" s="93" t="s">
        <v>3044</v>
      </c>
      <c r="K12" s="99" t="s">
        <v>1610</v>
      </c>
      <c r="L12" s="62" t="s">
        <v>1532</v>
      </c>
      <c r="M12" s="49" t="str">
        <f t="shared" si="1"/>
        <v>08/09/1997</v>
      </c>
      <c r="N12" s="50">
        <f ca="1">IF(M12="","",DATEDIF(M12,TODAY(),"Y"))</f>
        <v>28</v>
      </c>
      <c r="O12" s="62" t="s">
        <v>988</v>
      </c>
      <c r="P12" s="62" t="s">
        <v>996</v>
      </c>
      <c r="Q12" s="62" t="s">
        <v>1000</v>
      </c>
      <c r="R12" s="62"/>
      <c r="S12" s="100" t="s">
        <v>2328</v>
      </c>
      <c r="T12" s="83" t="s">
        <v>2570</v>
      </c>
      <c r="U12" s="167">
        <v>46022</v>
      </c>
      <c r="X12" s="54">
        <f t="shared" si="2"/>
        <v>10</v>
      </c>
      <c r="Y12" s="54">
        <f t="shared" si="3"/>
        <v>8</v>
      </c>
      <c r="Z12" s="54" t="str">
        <f t="shared" si="4"/>
        <v>Akachiu Health Centre</v>
      </c>
    </row>
    <row r="13" spans="1:26" s="54" customFormat="1" ht="16.5">
      <c r="A13" s="64"/>
      <c r="B13" s="106" t="s">
        <v>2840</v>
      </c>
      <c r="C13" s="106" t="s">
        <v>1626</v>
      </c>
      <c r="D13" s="81" t="s">
        <v>1999</v>
      </c>
      <c r="E13" s="81">
        <v>36579981</v>
      </c>
      <c r="F13" s="169" t="s">
        <v>2737</v>
      </c>
      <c r="G13" s="106" t="s">
        <v>2996</v>
      </c>
      <c r="H13" s="106" t="s">
        <v>13</v>
      </c>
      <c r="I13" s="106" t="s">
        <v>3010</v>
      </c>
      <c r="J13" s="106" t="s">
        <v>3030</v>
      </c>
      <c r="K13" s="50" t="s">
        <v>1520</v>
      </c>
      <c r="L13" s="70" t="s">
        <v>1526</v>
      </c>
      <c r="M13" s="69" t="str">
        <f t="shared" si="1"/>
        <v>20/06/1998</v>
      </c>
      <c r="N13" s="50">
        <f ca="1">DATEDIF(M13,TODAY(),"Y")</f>
        <v>28</v>
      </c>
      <c r="O13" s="50" t="s">
        <v>998</v>
      </c>
      <c r="P13" s="50" t="s">
        <v>1524</v>
      </c>
      <c r="Q13" s="50" t="s">
        <v>1525</v>
      </c>
      <c r="R13" s="50"/>
      <c r="S13" s="101" t="s">
        <v>2819</v>
      </c>
      <c r="T13" s="50" t="s">
        <v>2153</v>
      </c>
      <c r="U13" s="167">
        <v>46326</v>
      </c>
      <c r="X13" s="54">
        <f t="shared" si="2"/>
        <v>10</v>
      </c>
      <c r="Y13" s="54">
        <f t="shared" si="3"/>
        <v>8</v>
      </c>
      <c r="Z13" s="54" t="str">
        <f t="shared" si="4"/>
        <v>Mbeere Sub County Hospital</v>
      </c>
    </row>
    <row r="14" spans="1:26" s="54" customFormat="1" ht="15">
      <c r="A14" s="107" t="s">
        <v>77</v>
      </c>
      <c r="B14" s="108" t="s">
        <v>2841</v>
      </c>
      <c r="C14" s="108" t="s">
        <v>1626</v>
      </c>
      <c r="D14" s="81" t="s">
        <v>106</v>
      </c>
      <c r="E14" s="81">
        <v>34285168</v>
      </c>
      <c r="F14" s="170" t="s">
        <v>2734</v>
      </c>
      <c r="G14" s="108" t="s">
        <v>2992</v>
      </c>
      <c r="H14" s="108" t="s">
        <v>13</v>
      </c>
      <c r="I14" s="108" t="s">
        <v>3012</v>
      </c>
      <c r="J14" s="108" t="s">
        <v>3037</v>
      </c>
      <c r="K14" s="71" t="s">
        <v>1005</v>
      </c>
      <c r="L14" s="72" t="s">
        <v>1477</v>
      </c>
      <c r="M14" s="163" t="str">
        <f t="shared" si="1"/>
        <v>17/09/1997</v>
      </c>
      <c r="N14" s="71">
        <f ca="1">DATEDIF(M14,TODAY(),"Y")</f>
        <v>28</v>
      </c>
      <c r="O14" s="71" t="s">
        <v>988</v>
      </c>
      <c r="P14" s="71" t="s">
        <v>1429</v>
      </c>
      <c r="Q14" s="71" t="s">
        <v>1057</v>
      </c>
      <c r="R14" s="71"/>
      <c r="S14" s="102"/>
      <c r="T14" s="71"/>
      <c r="U14" s="104"/>
      <c r="V14" s="171">
        <v>45565</v>
      </c>
      <c r="X14" s="54">
        <f t="shared" si="2"/>
        <v>10</v>
      </c>
      <c r="Y14" s="54">
        <f t="shared" si="3"/>
        <v>8</v>
      </c>
      <c r="Z14" s="54" t="str">
        <f t="shared" si="4"/>
        <v>Kiritiri Health Centre</v>
      </c>
    </row>
    <row r="15" spans="1:26" s="54" customFormat="1" ht="16.5">
      <c r="A15" s="64" t="s">
        <v>101</v>
      </c>
      <c r="B15" s="106" t="s">
        <v>2842</v>
      </c>
      <c r="C15" s="106" t="s">
        <v>1626</v>
      </c>
      <c r="D15" s="81" t="s">
        <v>28</v>
      </c>
      <c r="E15" s="81" t="s">
        <v>2126</v>
      </c>
      <c r="F15" s="169" t="s">
        <v>2807</v>
      </c>
      <c r="G15" s="106" t="s">
        <v>2994</v>
      </c>
      <c r="H15" s="106" t="s">
        <v>13</v>
      </c>
      <c r="I15" s="106" t="s">
        <v>3013</v>
      </c>
      <c r="J15" s="106" t="s">
        <v>3035</v>
      </c>
      <c r="K15" s="50" t="s">
        <v>1005</v>
      </c>
      <c r="L15" s="70" t="s">
        <v>1472</v>
      </c>
      <c r="M15" s="69" t="str">
        <f t="shared" si="1"/>
        <v>30/04/1976</v>
      </c>
      <c r="N15" s="50">
        <f ca="1">DATEDIF(M15,TODAY(),"Y")</f>
        <v>50</v>
      </c>
      <c r="O15" s="50" t="s">
        <v>1201</v>
      </c>
      <c r="P15" s="50" t="s">
        <v>1493</v>
      </c>
      <c r="Q15" s="50" t="s">
        <v>1494</v>
      </c>
      <c r="R15" s="50" t="s">
        <v>1495</v>
      </c>
      <c r="S15" s="101"/>
      <c r="T15" s="50"/>
      <c r="U15" s="104"/>
      <c r="X15" s="54">
        <f t="shared" si="2"/>
        <v>10</v>
      </c>
      <c r="Y15" s="54">
        <f t="shared" si="3"/>
        <v>8</v>
      </c>
      <c r="Z15" s="54" t="str">
        <f t="shared" si="4"/>
        <v>Runyenjes Sub County Hospital</v>
      </c>
    </row>
    <row r="16" spans="1:26" s="54" customFormat="1" ht="15">
      <c r="A16" s="64"/>
      <c r="B16" s="96" t="s">
        <v>2438</v>
      </c>
      <c r="C16" s="93" t="s">
        <v>1627</v>
      </c>
      <c r="D16" s="179" t="s">
        <v>2017</v>
      </c>
      <c r="E16" s="156">
        <v>31877804</v>
      </c>
      <c r="F16" s="180" t="s">
        <v>2658</v>
      </c>
      <c r="G16" s="93" t="s">
        <v>2996</v>
      </c>
      <c r="H16" s="93" t="s">
        <v>166</v>
      </c>
      <c r="I16" s="93" t="s">
        <v>3017</v>
      </c>
      <c r="J16" s="93" t="s">
        <v>3123</v>
      </c>
      <c r="K16" s="62" t="s">
        <v>1517</v>
      </c>
      <c r="L16" s="62" t="s">
        <v>1518</v>
      </c>
      <c r="M16" s="49" t="str">
        <f t="shared" si="1"/>
        <v>12/02/1995</v>
      </c>
      <c r="N16" s="50">
        <f ca="1">IF(M16="","",DATEDIF(M16,TODAY(),"Y"))</f>
        <v>31</v>
      </c>
      <c r="O16" s="62" t="s">
        <v>988</v>
      </c>
      <c r="P16" s="62" t="s">
        <v>996</v>
      </c>
      <c r="Q16" s="62" t="s">
        <v>1057</v>
      </c>
      <c r="R16" s="62"/>
      <c r="S16" s="100" t="s">
        <v>2328</v>
      </c>
      <c r="T16" s="83" t="s">
        <v>2034</v>
      </c>
      <c r="U16" s="103"/>
      <c r="X16" s="54">
        <f t="shared" si="2"/>
        <v>10</v>
      </c>
      <c r="Y16" s="54">
        <f t="shared" si="3"/>
        <v>8</v>
      </c>
      <c r="Z16" s="54" t="str">
        <f t="shared" si="4"/>
        <v>Kanyakine Sub County Hospital</v>
      </c>
    </row>
    <row r="17" spans="1:26" s="54" customFormat="1" ht="16.5">
      <c r="A17" s="64" t="s">
        <v>31</v>
      </c>
      <c r="B17" s="106" t="s">
        <v>2844</v>
      </c>
      <c r="C17" s="106" t="s">
        <v>1626</v>
      </c>
      <c r="D17" s="81" t="s">
        <v>2137</v>
      </c>
      <c r="E17" s="81">
        <v>22024604</v>
      </c>
      <c r="F17" s="169" t="s">
        <v>2814</v>
      </c>
      <c r="G17" s="106" t="s">
        <v>2994</v>
      </c>
      <c r="H17" s="106" t="s">
        <v>13</v>
      </c>
      <c r="I17" s="106" t="s">
        <v>3011</v>
      </c>
      <c r="J17" s="106" t="s">
        <v>3034</v>
      </c>
      <c r="K17" s="50" t="s">
        <v>1468</v>
      </c>
      <c r="L17" s="70" t="s">
        <v>1469</v>
      </c>
      <c r="M17" s="69" t="str">
        <f t="shared" si="1"/>
        <v>01/01/1980</v>
      </c>
      <c r="N17" s="50">
        <f ca="1">DATEDIF(M17,TODAY(),"Y")</f>
        <v>46</v>
      </c>
      <c r="O17" s="50" t="s">
        <v>988</v>
      </c>
      <c r="P17" s="50" t="s">
        <v>1167</v>
      </c>
      <c r="Q17" s="50" t="s">
        <v>1064</v>
      </c>
      <c r="R17" s="50"/>
      <c r="S17" s="81"/>
      <c r="T17" s="90"/>
      <c r="U17" s="84"/>
      <c r="X17" s="54">
        <f t="shared" si="2"/>
        <v>10</v>
      </c>
      <c r="Y17" s="54">
        <f t="shared" si="3"/>
        <v>8</v>
      </c>
      <c r="Z17" s="54" t="str">
        <f t="shared" si="4"/>
        <v>Embu Level 5 Hospital</v>
      </c>
    </row>
    <row r="18" spans="1:26" s="54" customFormat="1" ht="15">
      <c r="A18" s="64"/>
      <c r="B18" s="96" t="s">
        <v>2369</v>
      </c>
      <c r="C18" s="93" t="s">
        <v>1627</v>
      </c>
      <c r="D18" s="81" t="s">
        <v>341</v>
      </c>
      <c r="E18" s="81" t="s">
        <v>2012</v>
      </c>
      <c r="F18" s="157" t="s">
        <v>2659</v>
      </c>
      <c r="G18" s="93" t="s">
        <v>2996</v>
      </c>
      <c r="H18" s="93" t="s">
        <v>166</v>
      </c>
      <c r="I18" s="93" t="s">
        <v>3017</v>
      </c>
      <c r="J18" s="93" t="s">
        <v>3094</v>
      </c>
      <c r="K18" s="62" t="s">
        <v>1005</v>
      </c>
      <c r="L18" s="62" t="s">
        <v>1224</v>
      </c>
      <c r="M18" s="49" t="str">
        <f t="shared" si="1"/>
        <v>22/12/1987</v>
      </c>
      <c r="N18" s="50">
        <f ca="1">IF(M18="","",DATEDIF(M18,TODAY(),"Y"))</f>
        <v>38</v>
      </c>
      <c r="O18" s="62" t="s">
        <v>988</v>
      </c>
      <c r="P18" s="62" t="s">
        <v>996</v>
      </c>
      <c r="Q18" s="62" t="s">
        <v>989</v>
      </c>
      <c r="R18" s="62"/>
      <c r="S18" s="100" t="s">
        <v>2328</v>
      </c>
      <c r="T18" s="83" t="s">
        <v>2028</v>
      </c>
      <c r="U18" s="303">
        <v>46326</v>
      </c>
      <c r="V18" s="171">
        <v>45565</v>
      </c>
      <c r="X18" s="54">
        <f t="shared" si="2"/>
        <v>10</v>
      </c>
      <c r="Y18" s="54">
        <f t="shared" si="3"/>
        <v>8</v>
      </c>
      <c r="Z18" s="54" t="str">
        <f t="shared" si="4"/>
        <v>Mitunguu Health Centre</v>
      </c>
    </row>
    <row r="19" spans="1:26" s="54" customFormat="1" ht="17.5" customHeight="1">
      <c r="A19" s="64" t="s">
        <v>93</v>
      </c>
      <c r="B19" s="106" t="s">
        <v>2846</v>
      </c>
      <c r="C19" s="106" t="s">
        <v>1626</v>
      </c>
      <c r="D19" s="81" t="s">
        <v>119</v>
      </c>
      <c r="E19" s="81" t="s">
        <v>2136</v>
      </c>
      <c r="F19" s="169" t="s">
        <v>2815</v>
      </c>
      <c r="G19" s="106" t="s">
        <v>2994</v>
      </c>
      <c r="H19" s="106" t="s">
        <v>13</v>
      </c>
      <c r="I19" s="106" t="s">
        <v>3010</v>
      </c>
      <c r="J19" s="106" t="s">
        <v>3036</v>
      </c>
      <c r="K19" s="50" t="s">
        <v>1005</v>
      </c>
      <c r="L19" s="70" t="s">
        <v>1459</v>
      </c>
      <c r="M19" s="69" t="str">
        <f t="shared" si="1"/>
        <v>02/08/1990</v>
      </c>
      <c r="N19" s="50">
        <f ca="1">DATEDIF(M19,TODAY(),"Y")</f>
        <v>35</v>
      </c>
      <c r="O19" s="50" t="s">
        <v>1188</v>
      </c>
      <c r="P19" s="50" t="s">
        <v>1282</v>
      </c>
      <c r="Q19" s="50" t="s">
        <v>3115</v>
      </c>
      <c r="R19" s="50" t="s">
        <v>2697</v>
      </c>
      <c r="S19" s="101"/>
      <c r="T19" s="50"/>
      <c r="U19" s="104"/>
      <c r="X19" s="54">
        <f t="shared" si="2"/>
        <v>10</v>
      </c>
      <c r="Y19" s="54">
        <f t="shared" si="3"/>
        <v>8</v>
      </c>
      <c r="Z19" s="54" t="str">
        <f t="shared" si="4"/>
        <v>Kiambere Dam Health Centre</v>
      </c>
    </row>
    <row r="20" spans="1:26" s="54" customFormat="1" ht="15">
      <c r="A20" s="107" t="s">
        <v>147</v>
      </c>
      <c r="B20" s="108" t="s">
        <v>2847</v>
      </c>
      <c r="C20" s="108" t="s">
        <v>1626</v>
      </c>
      <c r="D20" s="170" t="s">
        <v>37</v>
      </c>
      <c r="E20" s="108">
        <v>22000751</v>
      </c>
      <c r="F20" s="170" t="s">
        <v>2732</v>
      </c>
      <c r="G20" s="108" t="s">
        <v>2994</v>
      </c>
      <c r="H20" s="108" t="s">
        <v>13</v>
      </c>
      <c r="I20" s="108" t="s">
        <v>3013</v>
      </c>
      <c r="J20" s="108" t="s">
        <v>3035</v>
      </c>
      <c r="K20" s="71" t="s">
        <v>1005</v>
      </c>
      <c r="L20" s="72" t="s">
        <v>1460</v>
      </c>
      <c r="M20" s="54" t="str">
        <f t="shared" si="1"/>
        <v>02/07/1978</v>
      </c>
      <c r="N20" s="71">
        <f ca="1">DATEDIF(M20,TODAY(),"Y")</f>
        <v>48</v>
      </c>
      <c r="O20" s="71" t="s">
        <v>1414</v>
      </c>
      <c r="P20" s="71" t="s">
        <v>1461</v>
      </c>
      <c r="Q20" s="71"/>
      <c r="R20" s="71"/>
      <c r="S20" s="71"/>
      <c r="T20" s="71"/>
      <c r="U20" s="84"/>
      <c r="V20" s="171">
        <v>45565</v>
      </c>
      <c r="X20" s="54">
        <f t="shared" si="2"/>
        <v>10</v>
      </c>
      <c r="Y20" s="54">
        <f t="shared" si="3"/>
        <v>8</v>
      </c>
      <c r="Z20" s="54" t="str">
        <f t="shared" si="4"/>
        <v>Runyenjes Sub County Hospital</v>
      </c>
    </row>
    <row r="21" spans="1:26" s="54" customFormat="1" ht="30">
      <c r="A21" s="64"/>
      <c r="B21" s="96" t="s">
        <v>2394</v>
      </c>
      <c r="C21" s="93" t="s">
        <v>1627</v>
      </c>
      <c r="D21" s="81" t="s">
        <v>394</v>
      </c>
      <c r="E21" s="81">
        <v>33031183</v>
      </c>
      <c r="F21" s="157" t="s">
        <v>2660</v>
      </c>
      <c r="G21" s="93" t="s">
        <v>2992</v>
      </c>
      <c r="H21" s="93" t="s">
        <v>166</v>
      </c>
      <c r="I21" s="93" t="s">
        <v>3021</v>
      </c>
      <c r="J21" s="93" t="s">
        <v>3124</v>
      </c>
      <c r="K21" s="62" t="s">
        <v>1005</v>
      </c>
      <c r="L21" s="62" t="s">
        <v>1237</v>
      </c>
      <c r="M21" s="49" t="str">
        <f t="shared" si="1"/>
        <v>02/09/1993</v>
      </c>
      <c r="N21" s="50">
        <f ca="1">IF(M21="","",DATEDIF(M21,TODAY(),"Y"))</f>
        <v>32</v>
      </c>
      <c r="O21" s="62" t="s">
        <v>988</v>
      </c>
      <c r="P21" s="62" t="s">
        <v>983</v>
      </c>
      <c r="Q21" s="62" t="s">
        <v>989</v>
      </c>
      <c r="R21" s="62"/>
      <c r="S21" s="81" t="s">
        <v>3154</v>
      </c>
      <c r="T21" s="91" t="s">
        <v>3157</v>
      </c>
      <c r="U21" s="84">
        <v>46233</v>
      </c>
      <c r="X21" s="54">
        <f t="shared" si="2"/>
        <v>10</v>
      </c>
      <c r="Y21" s="54">
        <f t="shared" si="3"/>
        <v>8</v>
      </c>
      <c r="Z21" s="54" t="str">
        <f t="shared" si="4"/>
        <v>Githongo Sub County Hospital</v>
      </c>
    </row>
    <row r="22" spans="1:26" s="54" customFormat="1" ht="16.5">
      <c r="A22" s="64" t="s">
        <v>150</v>
      </c>
      <c r="B22" s="106" t="s">
        <v>2849</v>
      </c>
      <c r="C22" s="106" t="s">
        <v>1626</v>
      </c>
      <c r="D22" s="81" t="s">
        <v>41</v>
      </c>
      <c r="E22" s="81" t="s">
        <v>2128</v>
      </c>
      <c r="F22" s="169" t="s">
        <v>2698</v>
      </c>
      <c r="G22" s="106" t="s">
        <v>2994</v>
      </c>
      <c r="H22" s="106" t="s">
        <v>13</v>
      </c>
      <c r="I22" s="106" t="s">
        <v>3010</v>
      </c>
      <c r="J22" s="106" t="s">
        <v>3030</v>
      </c>
      <c r="K22" s="50" t="s">
        <v>1005</v>
      </c>
      <c r="L22" s="70" t="s">
        <v>1463</v>
      </c>
      <c r="M22" s="69" t="str">
        <f t="shared" si="1"/>
        <v>19/11/1995</v>
      </c>
      <c r="N22" s="50">
        <f ca="1">DATEDIF(M22,TODAY(),"Y")</f>
        <v>30</v>
      </c>
      <c r="O22" s="50" t="s">
        <v>1414</v>
      </c>
      <c r="P22" s="50" t="s">
        <v>1464</v>
      </c>
      <c r="Q22" s="50" t="s">
        <v>1013</v>
      </c>
      <c r="R22" s="50" t="s">
        <v>1421</v>
      </c>
      <c r="S22" s="101"/>
      <c r="T22" s="50"/>
      <c r="U22" s="104"/>
      <c r="X22" s="54">
        <f t="shared" si="2"/>
        <v>10</v>
      </c>
      <c r="Y22" s="54">
        <f t="shared" si="3"/>
        <v>8</v>
      </c>
      <c r="Z22" s="54" t="str">
        <f t="shared" si="4"/>
        <v>Mbeere Sub County Hospital</v>
      </c>
    </row>
    <row r="23" spans="1:26" s="54" customFormat="1" ht="16.5">
      <c r="A23" s="64" t="s">
        <v>154</v>
      </c>
      <c r="B23" s="106" t="s">
        <v>3339</v>
      </c>
      <c r="C23" s="106" t="s">
        <v>1626</v>
      </c>
      <c r="D23" s="81" t="s">
        <v>45</v>
      </c>
      <c r="E23" s="81" t="s">
        <v>2129</v>
      </c>
      <c r="F23" s="169" t="s">
        <v>2700</v>
      </c>
      <c r="G23" s="106" t="s">
        <v>2994</v>
      </c>
      <c r="H23" s="106" t="s">
        <v>13</v>
      </c>
      <c r="I23" s="106" t="s">
        <v>3010</v>
      </c>
      <c r="J23" s="106" t="s">
        <v>3031</v>
      </c>
      <c r="K23" s="50" t="s">
        <v>1005</v>
      </c>
      <c r="L23" s="70" t="s">
        <v>1465</v>
      </c>
      <c r="M23" s="69" t="str">
        <f t="shared" si="1"/>
        <v>22/03/1978</v>
      </c>
      <c r="N23" s="50">
        <f ca="1">DATEDIF(M23,TODAY(),"Y")</f>
        <v>48</v>
      </c>
      <c r="O23" s="50" t="s">
        <v>1188</v>
      </c>
      <c r="P23" s="50" t="s">
        <v>1002</v>
      </c>
      <c r="Q23" s="50" t="s">
        <v>1382</v>
      </c>
      <c r="R23" s="50" t="s">
        <v>1421</v>
      </c>
      <c r="S23" s="101"/>
      <c r="T23" s="50"/>
      <c r="U23" s="104"/>
      <c r="X23" s="54">
        <f t="shared" si="2"/>
        <v>10</v>
      </c>
      <c r="Y23" s="54">
        <f t="shared" si="3"/>
        <v>8</v>
      </c>
      <c r="Z23" s="54" t="str">
        <f t="shared" si="4"/>
        <v>Ishiara Level 4 Hospital</v>
      </c>
    </row>
    <row r="24" spans="1:26" s="54" customFormat="1" ht="16.5">
      <c r="A24" s="64" t="s">
        <v>104</v>
      </c>
      <c r="B24" s="106" t="s">
        <v>2850</v>
      </c>
      <c r="C24" s="106" t="s">
        <v>1626</v>
      </c>
      <c r="D24" s="81" t="s">
        <v>125</v>
      </c>
      <c r="E24" s="81" t="s">
        <v>1991</v>
      </c>
      <c r="F24" s="169" t="s">
        <v>2701</v>
      </c>
      <c r="G24" s="106" t="s">
        <v>2995</v>
      </c>
      <c r="H24" s="106" t="s">
        <v>13</v>
      </c>
      <c r="I24" s="106" t="s">
        <v>3012</v>
      </c>
      <c r="J24" s="106" t="s">
        <v>3134</v>
      </c>
      <c r="K24" s="50" t="s">
        <v>1005</v>
      </c>
      <c r="L24" s="70" t="s">
        <v>1466</v>
      </c>
      <c r="M24" s="69" t="str">
        <f t="shared" si="1"/>
        <v>18/03/1996</v>
      </c>
      <c r="N24" s="50">
        <f ca="1">DATEDIF(M24,TODAY(),"Y")</f>
        <v>30</v>
      </c>
      <c r="O24" s="50" t="s">
        <v>988</v>
      </c>
      <c r="P24" s="50" t="s">
        <v>1435</v>
      </c>
      <c r="Q24" s="50" t="s">
        <v>1170</v>
      </c>
      <c r="R24" s="50"/>
      <c r="S24" s="81" t="s">
        <v>2819</v>
      </c>
      <c r="T24" s="90" t="s">
        <v>2144</v>
      </c>
      <c r="U24" s="84">
        <v>46265</v>
      </c>
      <c r="X24" s="54">
        <f t="shared" si="2"/>
        <v>10</v>
      </c>
      <c r="Y24" s="54">
        <f t="shared" si="3"/>
        <v>8</v>
      </c>
      <c r="Z24" s="54" t="str">
        <f t="shared" si="4"/>
        <v>Kiamuringa Dispensaryensary</v>
      </c>
    </row>
    <row r="25" spans="1:26" s="54" customFormat="1" ht="16.5">
      <c r="A25" s="64" t="s">
        <v>161</v>
      </c>
      <c r="B25" s="106" t="s">
        <v>2851</v>
      </c>
      <c r="C25" s="106" t="s">
        <v>1626</v>
      </c>
      <c r="D25" s="81" t="s">
        <v>53</v>
      </c>
      <c r="E25" s="81" t="s">
        <v>2130</v>
      </c>
      <c r="F25" s="169" t="s">
        <v>2702</v>
      </c>
      <c r="G25" s="106" t="s">
        <v>2994</v>
      </c>
      <c r="H25" s="106" t="s">
        <v>13</v>
      </c>
      <c r="I25" s="106" t="s">
        <v>3011</v>
      </c>
      <c r="J25" s="106" t="s">
        <v>3039</v>
      </c>
      <c r="K25" s="50" t="s">
        <v>1005</v>
      </c>
      <c r="L25" s="70" t="s">
        <v>1467</v>
      </c>
      <c r="M25" s="69" t="str">
        <f t="shared" si="1"/>
        <v>14/01/1965</v>
      </c>
      <c r="N25" s="50">
        <f ca="1">DATEDIF(M25,TODAY(),"Y")</f>
        <v>61</v>
      </c>
      <c r="O25" s="50" t="s">
        <v>988</v>
      </c>
      <c r="P25" s="50" t="s">
        <v>1282</v>
      </c>
      <c r="Q25" s="50" t="s">
        <v>3115</v>
      </c>
      <c r="R25" s="50" t="s">
        <v>1421</v>
      </c>
      <c r="S25" s="101"/>
      <c r="T25" s="50"/>
      <c r="U25" s="103"/>
      <c r="X25" s="54">
        <f t="shared" si="2"/>
        <v>10</v>
      </c>
      <c r="Y25" s="208">
        <f t="shared" si="3"/>
        <v>7</v>
      </c>
      <c r="Z25" s="54" t="str">
        <f t="shared" si="4"/>
        <v>Nembure Health Center</v>
      </c>
    </row>
    <row r="26" spans="1:26" s="54" customFormat="1" ht="15">
      <c r="A26" s="64"/>
      <c r="B26" s="96" t="s">
        <v>2413</v>
      </c>
      <c r="C26" s="93" t="s">
        <v>1627</v>
      </c>
      <c r="D26" s="81" t="s">
        <v>193</v>
      </c>
      <c r="E26" s="81" t="s">
        <v>2100</v>
      </c>
      <c r="F26" s="157" t="s">
        <v>2573</v>
      </c>
      <c r="G26" s="93" t="s">
        <v>2994</v>
      </c>
      <c r="H26" s="93" t="s">
        <v>166</v>
      </c>
      <c r="I26" s="93" t="s">
        <v>3014</v>
      </c>
      <c r="J26" s="93" t="s">
        <v>3125</v>
      </c>
      <c r="K26" s="62" t="s">
        <v>1005</v>
      </c>
      <c r="L26" s="62" t="s">
        <v>1235</v>
      </c>
      <c r="M26" s="49" t="str">
        <f t="shared" si="1"/>
        <v>04/06/1992</v>
      </c>
      <c r="N26" s="50">
        <f ca="1">IF(M26="","",DATEDIF(M26,TODAY(),"Y"))</f>
        <v>34</v>
      </c>
      <c r="O26" s="62" t="s">
        <v>988</v>
      </c>
      <c r="P26" s="62" t="s">
        <v>1184</v>
      </c>
      <c r="Q26" s="62" t="s">
        <v>1236</v>
      </c>
      <c r="R26" s="62" t="s">
        <v>1497</v>
      </c>
      <c r="S26" s="62"/>
      <c r="T26" s="62"/>
      <c r="U26" s="111"/>
      <c r="X26" s="54">
        <f t="shared" si="2"/>
        <v>10</v>
      </c>
      <c r="Y26" s="54">
        <f t="shared" si="3"/>
        <v>8</v>
      </c>
      <c r="Z26" s="54" t="str">
        <f t="shared" si="4"/>
        <v xml:space="preserve">Nyambene Sub County Hospital </v>
      </c>
    </row>
    <row r="27" spans="1:26" s="54" customFormat="1" ht="15">
      <c r="A27" s="107" t="s">
        <v>157</v>
      </c>
      <c r="B27" s="108" t="s">
        <v>2853</v>
      </c>
      <c r="C27" s="108" t="s">
        <v>1626</v>
      </c>
      <c r="D27" s="170" t="s">
        <v>49</v>
      </c>
      <c r="E27" s="108">
        <v>13813244</v>
      </c>
      <c r="F27" s="170" t="s">
        <v>2717</v>
      </c>
      <c r="G27" s="108" t="s">
        <v>2994</v>
      </c>
      <c r="H27" s="108" t="s">
        <v>13</v>
      </c>
      <c r="I27" s="108" t="s">
        <v>3011</v>
      </c>
      <c r="J27" s="108" t="s">
        <v>3034</v>
      </c>
      <c r="K27" s="71" t="s">
        <v>1005</v>
      </c>
      <c r="L27" s="72" t="s">
        <v>1455</v>
      </c>
      <c r="M27" s="54" t="str">
        <f t="shared" si="1"/>
        <v>17/08/1975</v>
      </c>
      <c r="N27" s="71">
        <f ca="1">DATEDIF(M27,TODAY(),"Y")</f>
        <v>50</v>
      </c>
      <c r="O27" s="71" t="s">
        <v>1188</v>
      </c>
      <c r="P27" s="71" t="s">
        <v>1167</v>
      </c>
      <c r="Q27" s="71" t="s">
        <v>1456</v>
      </c>
      <c r="R27" s="71"/>
      <c r="S27" s="71"/>
      <c r="T27" s="71"/>
      <c r="U27" s="84"/>
      <c r="V27" s="171">
        <v>45565</v>
      </c>
      <c r="X27" s="54">
        <f t="shared" si="2"/>
        <v>10</v>
      </c>
      <c r="Y27" s="54">
        <f t="shared" si="3"/>
        <v>8</v>
      </c>
      <c r="Z27" s="54" t="str">
        <f t="shared" si="4"/>
        <v>Embu Level 5 Hospital</v>
      </c>
    </row>
    <row r="28" spans="1:26" s="54" customFormat="1" ht="15">
      <c r="A28" s="64"/>
      <c r="B28" s="96" t="s">
        <v>2383</v>
      </c>
      <c r="C28" s="93" t="s">
        <v>1627</v>
      </c>
      <c r="D28" s="81" t="s">
        <v>370</v>
      </c>
      <c r="E28" s="81" t="s">
        <v>2046</v>
      </c>
      <c r="F28" s="157" t="s">
        <v>2575</v>
      </c>
      <c r="G28" s="93" t="s">
        <v>2992</v>
      </c>
      <c r="H28" s="93" t="s">
        <v>166</v>
      </c>
      <c r="I28" s="93" t="s">
        <v>3022</v>
      </c>
      <c r="J28" s="93" t="s">
        <v>3126</v>
      </c>
      <c r="K28" s="62" t="s">
        <v>1005</v>
      </c>
      <c r="L28" s="62" t="s">
        <v>1246</v>
      </c>
      <c r="M28" s="49" t="str">
        <f t="shared" si="1"/>
        <v>10/12/1986</v>
      </c>
      <c r="N28" s="50">
        <f ca="1">IF(M28="","",DATEDIF(M28,TODAY(),"Y"))</f>
        <v>39</v>
      </c>
      <c r="O28" s="62" t="s">
        <v>988</v>
      </c>
      <c r="P28" s="62" t="s">
        <v>983</v>
      </c>
      <c r="Q28" s="62" t="s">
        <v>989</v>
      </c>
      <c r="R28" s="62"/>
      <c r="S28" s="81" t="s">
        <v>3160</v>
      </c>
      <c r="T28" s="81" t="s">
        <v>2040</v>
      </c>
      <c r="U28" s="84">
        <v>46326</v>
      </c>
      <c r="X28" s="54">
        <f t="shared" si="2"/>
        <v>10</v>
      </c>
      <c r="Y28" s="54">
        <f t="shared" si="3"/>
        <v>8</v>
      </c>
      <c r="Z28" s="54" t="str">
        <f t="shared" si="4"/>
        <v>Mutuati Sub County Hospital</v>
      </c>
    </row>
    <row r="29" spans="1:26" s="54" customFormat="1" ht="16.5">
      <c r="A29" s="64" t="s">
        <v>19</v>
      </c>
      <c r="B29" s="106" t="s">
        <v>2855</v>
      </c>
      <c r="C29" s="106" t="s">
        <v>1626</v>
      </c>
      <c r="D29" s="81" t="s">
        <v>56</v>
      </c>
      <c r="E29" s="81" t="s">
        <v>2131</v>
      </c>
      <c r="F29" s="169" t="s">
        <v>2704</v>
      </c>
      <c r="G29" s="106" t="s">
        <v>2994</v>
      </c>
      <c r="H29" s="106" t="s">
        <v>13</v>
      </c>
      <c r="I29" s="106" t="s">
        <v>3011</v>
      </c>
      <c r="J29" s="106" t="s">
        <v>3040</v>
      </c>
      <c r="K29" s="50" t="s">
        <v>1005</v>
      </c>
      <c r="L29" s="70" t="s">
        <v>1454</v>
      </c>
      <c r="M29" s="69" t="str">
        <f t="shared" si="1"/>
        <v>01/06/1986</v>
      </c>
      <c r="N29" s="50">
        <f ca="1">DATEDIF(M29,TODAY(),"Y")</f>
        <v>40</v>
      </c>
      <c r="O29" s="50" t="s">
        <v>998</v>
      </c>
      <c r="P29" s="50" t="s">
        <v>1937</v>
      </c>
      <c r="Q29" s="50" t="s">
        <v>1068</v>
      </c>
      <c r="R29" s="50" t="s">
        <v>1184</v>
      </c>
      <c r="S29" s="50"/>
      <c r="T29" s="50"/>
      <c r="U29" s="84"/>
      <c r="X29" s="54">
        <f t="shared" si="2"/>
        <v>10</v>
      </c>
      <c r="Y29" s="54">
        <f t="shared" si="3"/>
        <v>8</v>
      </c>
      <c r="Z29" s="54" t="str">
        <f t="shared" si="4"/>
        <v>Kibugu Health Centre</v>
      </c>
    </row>
    <row r="30" spans="1:26" s="54" customFormat="1" ht="16.5">
      <c r="A30" s="64" t="s">
        <v>120</v>
      </c>
      <c r="B30" s="106" t="s">
        <v>2856</v>
      </c>
      <c r="C30" s="106" t="s">
        <v>1626</v>
      </c>
      <c r="D30" s="81" t="s">
        <v>142</v>
      </c>
      <c r="E30" s="81" t="s">
        <v>1996</v>
      </c>
      <c r="F30" s="169" t="s">
        <v>2706</v>
      </c>
      <c r="G30" s="106" t="s">
        <v>2998</v>
      </c>
      <c r="H30" s="106" t="s">
        <v>13</v>
      </c>
      <c r="I30" s="106" t="s">
        <v>3013</v>
      </c>
      <c r="J30" s="106" t="s">
        <v>3038</v>
      </c>
      <c r="K30" s="50" t="s">
        <v>1386</v>
      </c>
      <c r="L30" s="70" t="s">
        <v>1452</v>
      </c>
      <c r="M30" s="69" t="str">
        <f t="shared" si="1"/>
        <v>07/10/1992</v>
      </c>
      <c r="N30" s="50">
        <f ca="1">DATEDIF(M30,TODAY(),"Y")</f>
        <v>33</v>
      </c>
      <c r="O30" s="50" t="s">
        <v>988</v>
      </c>
      <c r="P30" s="50" t="s">
        <v>2121</v>
      </c>
      <c r="Q30" s="50" t="s">
        <v>3116</v>
      </c>
      <c r="R30" s="50"/>
      <c r="S30" s="81" t="s">
        <v>2329</v>
      </c>
      <c r="T30" s="83">
        <v>477920</v>
      </c>
      <c r="U30" s="84">
        <v>46081</v>
      </c>
      <c r="X30" s="54">
        <f t="shared" si="2"/>
        <v>10</v>
      </c>
      <c r="Y30" s="54">
        <f t="shared" si="3"/>
        <v>8</v>
      </c>
      <c r="Z30" s="54" t="str">
        <f t="shared" si="4"/>
        <v>Karurumo Health  Centre</v>
      </c>
    </row>
    <row r="31" spans="1:26" s="54" customFormat="1" ht="16.5">
      <c r="A31" s="64" t="s">
        <v>26</v>
      </c>
      <c r="B31" s="106" t="s">
        <v>2857</v>
      </c>
      <c r="C31" s="106" t="s">
        <v>1626</v>
      </c>
      <c r="D31" s="81" t="s">
        <v>59</v>
      </c>
      <c r="E31" s="81">
        <v>24012585</v>
      </c>
      <c r="F31" s="169" t="s">
        <v>2707</v>
      </c>
      <c r="G31" s="106" t="s">
        <v>2994</v>
      </c>
      <c r="H31" s="106" t="s">
        <v>13</v>
      </c>
      <c r="I31" s="106" t="s">
        <v>3011</v>
      </c>
      <c r="J31" s="106" t="s">
        <v>3034</v>
      </c>
      <c r="K31" s="50" t="s">
        <v>1005</v>
      </c>
      <c r="L31" s="70" t="s">
        <v>1450</v>
      </c>
      <c r="M31" s="69" t="str">
        <f t="shared" si="1"/>
        <v>28/12/1983</v>
      </c>
      <c r="N31" s="50">
        <f ca="1">DATEDIF(M31,TODAY(),"Y")</f>
        <v>42</v>
      </c>
      <c r="O31" s="50" t="s">
        <v>988</v>
      </c>
      <c r="P31" s="50" t="s">
        <v>1437</v>
      </c>
      <c r="Q31" s="50" t="s">
        <v>1382</v>
      </c>
      <c r="R31" s="50" t="s">
        <v>1451</v>
      </c>
      <c r="S31" s="101"/>
      <c r="T31" s="50"/>
      <c r="U31" s="103"/>
      <c r="X31" s="54">
        <f t="shared" si="2"/>
        <v>10</v>
      </c>
      <c r="Y31" s="54">
        <f t="shared" si="3"/>
        <v>8</v>
      </c>
      <c r="Z31" s="54" t="str">
        <f t="shared" si="4"/>
        <v>Embu Level 5 Hospital</v>
      </c>
    </row>
    <row r="32" spans="1:26" s="54" customFormat="1" ht="15">
      <c r="A32" s="64"/>
      <c r="B32" s="96" t="s">
        <v>2417</v>
      </c>
      <c r="C32" s="93" t="s">
        <v>1627</v>
      </c>
      <c r="D32" s="81" t="s">
        <v>2015</v>
      </c>
      <c r="E32" s="81">
        <v>30921808</v>
      </c>
      <c r="F32" s="157" t="s">
        <v>2599</v>
      </c>
      <c r="G32" s="93" t="s">
        <v>2996</v>
      </c>
      <c r="H32" s="93" t="s">
        <v>166</v>
      </c>
      <c r="I32" s="93" t="s">
        <v>3015</v>
      </c>
      <c r="J32" s="93" t="s">
        <v>3142</v>
      </c>
      <c r="K32" s="62" t="s">
        <v>1295</v>
      </c>
      <c r="L32" s="62" t="s">
        <v>1566</v>
      </c>
      <c r="M32" s="94">
        <v>34328</v>
      </c>
      <c r="N32" s="50">
        <f ca="1">IF(M32="","",DATEDIF(M32,TODAY(),"Y"))</f>
        <v>32</v>
      </c>
      <c r="O32" s="62" t="s">
        <v>988</v>
      </c>
      <c r="P32" s="62" t="s">
        <v>996</v>
      </c>
      <c r="Q32" s="62" t="s">
        <v>1170</v>
      </c>
      <c r="R32" s="62"/>
      <c r="S32" s="100" t="s">
        <v>2328</v>
      </c>
      <c r="T32" s="83" t="s">
        <v>2031</v>
      </c>
      <c r="U32" s="167">
        <v>46295</v>
      </c>
      <c r="X32" s="54">
        <f t="shared" si="2"/>
        <v>10</v>
      </c>
      <c r="Y32" s="54">
        <f t="shared" si="3"/>
        <v>8</v>
      </c>
      <c r="Z32" s="54" t="str">
        <f t="shared" si="4"/>
        <v>Meru Teaching And Referral Hospital</v>
      </c>
    </row>
    <row r="33" spans="1:26" s="54" customFormat="1" ht="15">
      <c r="A33" s="107"/>
      <c r="B33" s="224" t="s">
        <v>2425</v>
      </c>
      <c r="C33" s="154" t="s">
        <v>1627</v>
      </c>
      <c r="D33" s="113" t="s">
        <v>506</v>
      </c>
      <c r="E33" s="113">
        <v>32852183</v>
      </c>
      <c r="F33" s="223" t="s">
        <v>2598</v>
      </c>
      <c r="G33" s="154" t="s">
        <v>3001</v>
      </c>
      <c r="H33" s="154" t="s">
        <v>166</v>
      </c>
      <c r="I33" s="154" t="s">
        <v>3015</v>
      </c>
      <c r="J33" s="154" t="s">
        <v>3051</v>
      </c>
      <c r="K33" s="66" t="s">
        <v>1292</v>
      </c>
      <c r="L33" s="66" t="s">
        <v>1293</v>
      </c>
      <c r="M33" s="73" t="str">
        <f t="shared" ref="M33:M64" si="5">IF(L33="","",TEXT(DATEVALUE(SUBSTITUTE(SUBSTITUTE(SUBSTITUTE(SUBSTITUTE(SUBSTITUTE(L33,"st",""),"nd",""),"rd",""),"th",""),"TH","")),"dd/mm/yyyy"))</f>
        <v>02/06/1991</v>
      </c>
      <c r="N33" s="71">
        <f ca="1">IF(M33="","",DATEDIF(M33,TODAY(),"Y"))</f>
        <v>35</v>
      </c>
      <c r="O33" s="66" t="s">
        <v>988</v>
      </c>
      <c r="P33" s="66" t="s">
        <v>1167</v>
      </c>
      <c r="Q33" s="66" t="s">
        <v>1294</v>
      </c>
      <c r="R33" s="66"/>
      <c r="S33" s="339"/>
      <c r="T33" s="66"/>
      <c r="U33" s="191"/>
      <c r="V33" s="171">
        <v>46022</v>
      </c>
      <c r="X33" s="54">
        <f t="shared" si="2"/>
        <v>10</v>
      </c>
      <c r="Y33" s="54">
        <f t="shared" si="3"/>
        <v>8</v>
      </c>
      <c r="Z33" s="54" t="str">
        <f t="shared" si="4"/>
        <v>Kinoru Health Centre</v>
      </c>
    </row>
    <row r="34" spans="1:26" s="54" customFormat="1" ht="15">
      <c r="A34" s="64"/>
      <c r="B34" s="96" t="s">
        <v>3334</v>
      </c>
      <c r="C34" s="93" t="s">
        <v>1627</v>
      </c>
      <c r="D34" s="81" t="s">
        <v>345</v>
      </c>
      <c r="E34" s="81" t="s">
        <v>2013</v>
      </c>
      <c r="F34" s="157" t="s">
        <v>2613</v>
      </c>
      <c r="G34" s="93" t="s">
        <v>2996</v>
      </c>
      <c r="H34" s="93" t="s">
        <v>166</v>
      </c>
      <c r="I34" s="93" t="s">
        <v>3016</v>
      </c>
      <c r="J34" s="93" t="s">
        <v>3050</v>
      </c>
      <c r="K34" s="62" t="s">
        <v>1005</v>
      </c>
      <c r="L34" s="62" t="s">
        <v>1317</v>
      </c>
      <c r="M34" s="49" t="str">
        <f t="shared" si="5"/>
        <v>08/12/1992</v>
      </c>
      <c r="N34" s="50">
        <f ca="1">IF(M34="","",DATEDIF(M34,TODAY(),"Y"))</f>
        <v>33</v>
      </c>
      <c r="O34" s="62" t="s">
        <v>988</v>
      </c>
      <c r="P34" s="62" t="s">
        <v>996</v>
      </c>
      <c r="Q34" s="62" t="s">
        <v>1013</v>
      </c>
      <c r="R34" s="62"/>
      <c r="S34" s="81" t="s">
        <v>2328</v>
      </c>
      <c r="T34" s="83" t="s">
        <v>2614</v>
      </c>
      <c r="U34" s="112">
        <v>46203</v>
      </c>
      <c r="V34" s="171">
        <v>45930</v>
      </c>
      <c r="X34" s="54">
        <f t="shared" si="2"/>
        <v>10</v>
      </c>
      <c r="Y34" s="54">
        <f t="shared" si="3"/>
        <v>8</v>
      </c>
      <c r="Z34" s="54" t="str">
        <f t="shared" si="4"/>
        <v>Kina Dispensary</v>
      </c>
    </row>
    <row r="35" spans="1:26" s="54" customFormat="1" ht="16.5">
      <c r="A35" s="107"/>
      <c r="B35" s="108" t="s">
        <v>2861</v>
      </c>
      <c r="C35" s="108" t="s">
        <v>1626</v>
      </c>
      <c r="D35" s="170" t="s">
        <v>2728</v>
      </c>
      <c r="E35" s="108">
        <v>27970664</v>
      </c>
      <c r="F35" s="172" t="s">
        <v>2729</v>
      </c>
      <c r="G35" s="106" t="s">
        <v>2996</v>
      </c>
      <c r="H35" s="108" t="s">
        <v>13</v>
      </c>
      <c r="I35" s="106" t="s">
        <v>3010</v>
      </c>
      <c r="J35" s="108" t="s">
        <v>3031</v>
      </c>
      <c r="K35" s="71" t="s">
        <v>1005</v>
      </c>
      <c r="L35" s="72" t="s">
        <v>2730</v>
      </c>
      <c r="M35" s="54" t="str">
        <f t="shared" si="5"/>
        <v>16/01/1991</v>
      </c>
      <c r="N35" s="71">
        <f ca="1">DATEDIF(M35,TODAY(),"Y")</f>
        <v>35</v>
      </c>
      <c r="O35" s="71" t="s">
        <v>988</v>
      </c>
      <c r="P35" s="71" t="s">
        <v>996</v>
      </c>
      <c r="Q35" s="71" t="s">
        <v>1125</v>
      </c>
      <c r="R35" s="71"/>
      <c r="S35" s="102"/>
      <c r="T35" s="71"/>
      <c r="U35" s="112"/>
      <c r="V35" s="171">
        <v>45351</v>
      </c>
      <c r="W35" s="54" t="s">
        <v>3117</v>
      </c>
      <c r="X35" s="54">
        <f t="shared" si="2"/>
        <v>10</v>
      </c>
      <c r="Y35" s="54">
        <f t="shared" si="3"/>
        <v>8</v>
      </c>
      <c r="Z35" s="54" t="str">
        <f t="shared" si="4"/>
        <v>Ishiara Level 4 Hospital</v>
      </c>
    </row>
    <row r="36" spans="1:26" s="54" customFormat="1" ht="16.5">
      <c r="A36" s="107" t="s">
        <v>34</v>
      </c>
      <c r="B36" s="108" t="s">
        <v>2862</v>
      </c>
      <c r="C36" s="108" t="s">
        <v>1626</v>
      </c>
      <c r="D36" s="170" t="s">
        <v>66</v>
      </c>
      <c r="E36" s="108">
        <v>2034558</v>
      </c>
      <c r="F36" s="172" t="s">
        <v>2719</v>
      </c>
      <c r="G36" s="108" t="s">
        <v>2994</v>
      </c>
      <c r="H36" s="108" t="s">
        <v>13</v>
      </c>
      <c r="I36" s="108" t="s">
        <v>3013</v>
      </c>
      <c r="J36" s="108" t="s">
        <v>3041</v>
      </c>
      <c r="K36" s="71" t="s">
        <v>1005</v>
      </c>
      <c r="L36" s="72" t="s">
        <v>1442</v>
      </c>
      <c r="M36" s="54" t="str">
        <f t="shared" si="5"/>
        <v>25/12/1974</v>
      </c>
      <c r="N36" s="71">
        <f ca="1">DATEDIF(M36,TODAY(),"Y")</f>
        <v>51</v>
      </c>
      <c r="O36" s="71" t="s">
        <v>988</v>
      </c>
      <c r="P36" s="71" t="s">
        <v>1437</v>
      </c>
      <c r="Q36" s="71" t="s">
        <v>1382</v>
      </c>
      <c r="R36" s="71"/>
      <c r="S36" s="102"/>
      <c r="T36" s="71"/>
      <c r="U36" s="103"/>
      <c r="V36" s="171">
        <v>45930</v>
      </c>
      <c r="X36" s="54">
        <f t="shared" si="2"/>
        <v>10</v>
      </c>
      <c r="Y36" s="208">
        <f t="shared" si="3"/>
        <v>7</v>
      </c>
      <c r="Z36" s="54" t="str">
        <f t="shared" si="4"/>
        <v>Acef Ena Health Centre</v>
      </c>
    </row>
    <row r="37" spans="1:26" s="54" customFormat="1" ht="16.5">
      <c r="A37" s="64"/>
      <c r="B37" s="106" t="s">
        <v>2863</v>
      </c>
      <c r="C37" s="106" t="s">
        <v>1626</v>
      </c>
      <c r="D37" s="81" t="s">
        <v>2001</v>
      </c>
      <c r="E37" s="81">
        <v>34770259</v>
      </c>
      <c r="F37" s="169" t="s">
        <v>2739</v>
      </c>
      <c r="G37" s="106" t="s">
        <v>2995</v>
      </c>
      <c r="H37" s="106" t="s">
        <v>13</v>
      </c>
      <c r="I37" s="106" t="s">
        <v>3013</v>
      </c>
      <c r="J37" s="106" t="s">
        <v>3042</v>
      </c>
      <c r="K37" s="50" t="s">
        <v>1520</v>
      </c>
      <c r="L37" s="70" t="s">
        <v>1521</v>
      </c>
      <c r="M37" s="69" t="str">
        <f t="shared" si="5"/>
        <v>10/08/1997</v>
      </c>
      <c r="N37" s="50">
        <f ca="1">DATEDIF(M37,TODAY(),"Y")</f>
        <v>28</v>
      </c>
      <c r="O37" s="50" t="s">
        <v>998</v>
      </c>
      <c r="P37" s="50" t="s">
        <v>1522</v>
      </c>
      <c r="Q37" s="50" t="s">
        <v>1523</v>
      </c>
      <c r="R37" s="50"/>
      <c r="S37" s="100" t="s">
        <v>2819</v>
      </c>
      <c r="T37" s="90" t="s">
        <v>2153</v>
      </c>
      <c r="U37" s="167">
        <v>46295</v>
      </c>
      <c r="X37" s="54">
        <f t="shared" si="2"/>
        <v>10</v>
      </c>
      <c r="Y37" s="54">
        <f t="shared" si="3"/>
        <v>8</v>
      </c>
      <c r="Z37" s="54" t="str">
        <f t="shared" si="4"/>
        <v>Kanja Health Center</v>
      </c>
    </row>
    <row r="38" spans="1:26" s="54" customFormat="1" ht="16.5">
      <c r="A38" s="107" t="s">
        <v>143</v>
      </c>
      <c r="B38" s="108" t="s">
        <v>2864</v>
      </c>
      <c r="C38" s="108" t="s">
        <v>1626</v>
      </c>
      <c r="D38" s="170" t="s">
        <v>2720</v>
      </c>
      <c r="E38" s="108">
        <v>37079350</v>
      </c>
      <c r="F38" s="172" t="s">
        <v>2721</v>
      </c>
      <c r="G38" s="108" t="s">
        <v>2992</v>
      </c>
      <c r="H38" s="108" t="s">
        <v>13</v>
      </c>
      <c r="I38" s="108" t="s">
        <v>3011</v>
      </c>
      <c r="J38" s="108" t="s">
        <v>3039</v>
      </c>
      <c r="K38" s="71" t="s">
        <v>1439</v>
      </c>
      <c r="L38" s="72" t="s">
        <v>1440</v>
      </c>
      <c r="M38" s="54" t="str">
        <f t="shared" si="5"/>
        <v>15/12/1999</v>
      </c>
      <c r="N38" s="71">
        <f ca="1">DATEDIF(M38,TODAY(),"Y")</f>
        <v>26</v>
      </c>
      <c r="O38" s="71" t="s">
        <v>998</v>
      </c>
      <c r="P38" s="71" t="s">
        <v>1441</v>
      </c>
      <c r="Q38" s="71" t="s">
        <v>1068</v>
      </c>
      <c r="R38" s="71"/>
      <c r="S38" s="102"/>
      <c r="T38" s="71"/>
      <c r="U38" s="103"/>
      <c r="V38" s="171">
        <v>45565</v>
      </c>
      <c r="X38" s="54">
        <f t="shared" si="2"/>
        <v>10</v>
      </c>
      <c r="Y38" s="54">
        <f t="shared" si="3"/>
        <v>8</v>
      </c>
      <c r="Z38" s="54" t="str">
        <f t="shared" si="4"/>
        <v>Nembure Health Center</v>
      </c>
    </row>
    <row r="39" spans="1:26" s="54" customFormat="1" ht="15">
      <c r="A39" s="107"/>
      <c r="B39" s="224" t="s">
        <v>2414</v>
      </c>
      <c r="C39" s="154" t="s">
        <v>1627</v>
      </c>
      <c r="D39" s="113" t="s">
        <v>470</v>
      </c>
      <c r="E39" s="113" t="s">
        <v>2099</v>
      </c>
      <c r="F39" s="223" t="s">
        <v>2607</v>
      </c>
      <c r="G39" s="154" t="s">
        <v>3001</v>
      </c>
      <c r="H39" s="154" t="s">
        <v>166</v>
      </c>
      <c r="I39" s="154" t="s">
        <v>3016</v>
      </c>
      <c r="J39" s="154" t="s">
        <v>3143</v>
      </c>
      <c r="K39" s="66" t="s">
        <v>1005</v>
      </c>
      <c r="L39" s="66" t="s">
        <v>1307</v>
      </c>
      <c r="M39" s="73" t="str">
        <f t="shared" si="5"/>
        <v>26/06/1978</v>
      </c>
      <c r="N39" s="71">
        <f ca="1">IF(M39="","",DATEDIF(M39,TODAY(),"Y"))</f>
        <v>48</v>
      </c>
      <c r="O39" s="66" t="s">
        <v>988</v>
      </c>
      <c r="P39" s="66" t="s">
        <v>1308</v>
      </c>
      <c r="Q39" s="66" t="s">
        <v>2155</v>
      </c>
      <c r="R39" s="66" t="s">
        <v>1309</v>
      </c>
      <c r="S39" s="66"/>
      <c r="T39" s="66"/>
      <c r="U39" s="191"/>
      <c r="X39" s="54">
        <f t="shared" si="2"/>
        <v>10</v>
      </c>
      <c r="Y39" s="54">
        <f t="shared" si="3"/>
        <v>8</v>
      </c>
      <c r="Z39" s="54" t="str">
        <f t="shared" si="4"/>
        <v>Kangeta Sub-County Hospital</v>
      </c>
    </row>
    <row r="40" spans="1:26" s="54" customFormat="1" ht="16.5">
      <c r="A40" s="64" t="s">
        <v>38</v>
      </c>
      <c r="B40" s="106" t="s">
        <v>2866</v>
      </c>
      <c r="C40" s="106" t="s">
        <v>1626</v>
      </c>
      <c r="D40" s="81" t="s">
        <v>70</v>
      </c>
      <c r="E40" s="81" t="s">
        <v>2132</v>
      </c>
      <c r="F40" s="169" t="s">
        <v>2712</v>
      </c>
      <c r="G40" s="106" t="s">
        <v>2994</v>
      </c>
      <c r="H40" s="106" t="s">
        <v>13</v>
      </c>
      <c r="I40" s="106" t="s">
        <v>3012</v>
      </c>
      <c r="J40" s="106" t="s">
        <v>3037</v>
      </c>
      <c r="K40" s="50" t="s">
        <v>1005</v>
      </c>
      <c r="L40" s="70" t="s">
        <v>1418</v>
      </c>
      <c r="M40" s="69" t="str">
        <f t="shared" si="5"/>
        <v>07/12/1988</v>
      </c>
      <c r="N40" s="50">
        <f ca="1">DATEDIF(M40,TODAY(),"Y")</f>
        <v>37</v>
      </c>
      <c r="O40" s="50" t="s">
        <v>1010</v>
      </c>
      <c r="P40" s="50" t="s">
        <v>1419</v>
      </c>
      <c r="Q40" s="50" t="s">
        <v>1420</v>
      </c>
      <c r="R40" s="50" t="s">
        <v>1421</v>
      </c>
      <c r="S40" s="101"/>
      <c r="T40" s="50"/>
      <c r="U40" s="103"/>
      <c r="X40" s="54">
        <f t="shared" si="2"/>
        <v>10</v>
      </c>
      <c r="Y40" s="54">
        <f t="shared" si="3"/>
        <v>8</v>
      </c>
      <c r="Z40" s="54" t="str">
        <f t="shared" si="4"/>
        <v>Kiritiri Health Centre</v>
      </c>
    </row>
    <row r="41" spans="1:26" s="54" customFormat="1" ht="16.5">
      <c r="A41" s="107" t="s">
        <v>129</v>
      </c>
      <c r="B41" s="108" t="s">
        <v>2867</v>
      </c>
      <c r="C41" s="108" t="s">
        <v>1626</v>
      </c>
      <c r="D41" s="170" t="s">
        <v>2722</v>
      </c>
      <c r="E41" s="108">
        <v>34572141</v>
      </c>
      <c r="F41" s="172" t="s">
        <v>2723</v>
      </c>
      <c r="G41" s="108" t="s">
        <v>2994</v>
      </c>
      <c r="H41" s="108" t="s">
        <v>13</v>
      </c>
      <c r="I41" s="108" t="s">
        <v>3011</v>
      </c>
      <c r="J41" s="108" t="s">
        <v>3034</v>
      </c>
      <c r="K41" s="71" t="s">
        <v>1063</v>
      </c>
      <c r="L41" s="72" t="s">
        <v>1422</v>
      </c>
      <c r="M41" s="54" t="str">
        <f t="shared" si="5"/>
        <v>03/10/1997</v>
      </c>
      <c r="N41" s="71">
        <f ca="1">DATEDIF(M41,TODAY(),"Y")</f>
        <v>28</v>
      </c>
      <c r="O41" s="71" t="s">
        <v>988</v>
      </c>
      <c r="P41" s="71" t="s">
        <v>1423</v>
      </c>
      <c r="Q41" s="71" t="s">
        <v>1399</v>
      </c>
      <c r="R41" s="71"/>
      <c r="S41" s="102"/>
      <c r="T41" s="71"/>
      <c r="U41" s="103"/>
      <c r="X41" s="54">
        <f t="shared" si="2"/>
        <v>10</v>
      </c>
      <c r="Y41" s="54">
        <f t="shared" si="3"/>
        <v>8</v>
      </c>
      <c r="Z41" s="54" t="str">
        <f t="shared" si="4"/>
        <v>Embu Level 5 Hospital</v>
      </c>
    </row>
    <row r="42" spans="1:26" s="54" customFormat="1" ht="15">
      <c r="A42" s="64"/>
      <c r="B42" s="96" t="s">
        <v>2415</v>
      </c>
      <c r="C42" s="93" t="s">
        <v>1627</v>
      </c>
      <c r="D42" s="117" t="s">
        <v>474</v>
      </c>
      <c r="E42" s="117" t="s">
        <v>2335</v>
      </c>
      <c r="F42" s="180" t="s">
        <v>2618</v>
      </c>
      <c r="G42" s="93" t="s">
        <v>2996</v>
      </c>
      <c r="H42" s="93" t="s">
        <v>166</v>
      </c>
      <c r="I42" s="93" t="s">
        <v>3022</v>
      </c>
      <c r="J42" s="93" t="s">
        <v>3095</v>
      </c>
      <c r="K42" s="62" t="s">
        <v>1323</v>
      </c>
      <c r="L42" s="62" t="s">
        <v>2619</v>
      </c>
      <c r="M42" s="49" t="str">
        <f t="shared" si="5"/>
        <v>27/06/1996</v>
      </c>
      <c r="N42" s="50">
        <f ca="1">IF(M42="","",DATEDIF(M42,TODAY(),"Y"))</f>
        <v>30</v>
      </c>
      <c r="O42" s="62" t="s">
        <v>1188</v>
      </c>
      <c r="P42" s="62" t="s">
        <v>996</v>
      </c>
      <c r="Q42" s="62" t="s">
        <v>1057</v>
      </c>
      <c r="R42" s="62"/>
      <c r="S42" s="83" t="s">
        <v>2328</v>
      </c>
      <c r="T42" s="83" t="s">
        <v>2030</v>
      </c>
      <c r="U42" s="84">
        <v>46326</v>
      </c>
      <c r="X42" s="54">
        <f t="shared" si="2"/>
        <v>10</v>
      </c>
      <c r="Y42" s="54">
        <f t="shared" si="3"/>
        <v>8</v>
      </c>
      <c r="Z42" s="54" t="str">
        <f t="shared" si="4"/>
        <v>Theera Health Centre</v>
      </c>
    </row>
    <row r="43" spans="1:26" s="54" customFormat="1" ht="15">
      <c r="A43" s="107"/>
      <c r="B43" s="224" t="s">
        <v>2610</v>
      </c>
      <c r="C43" s="154" t="s">
        <v>1627</v>
      </c>
      <c r="D43" s="113" t="s">
        <v>2086</v>
      </c>
      <c r="E43" s="113" t="s">
        <v>2087</v>
      </c>
      <c r="F43" s="223" t="s">
        <v>2611</v>
      </c>
      <c r="G43" s="154" t="s">
        <v>3001</v>
      </c>
      <c r="H43" s="154" t="s">
        <v>166</v>
      </c>
      <c r="I43" s="154" t="s">
        <v>3014</v>
      </c>
      <c r="J43" s="154" t="s">
        <v>3044</v>
      </c>
      <c r="K43" s="66" t="s">
        <v>1548</v>
      </c>
      <c r="L43" s="66" t="s">
        <v>1547</v>
      </c>
      <c r="M43" s="73" t="str">
        <f t="shared" si="5"/>
        <v>07/05/1983</v>
      </c>
      <c r="N43" s="71">
        <f ca="1">IF(M43="","",DATEDIF(M43,TODAY(),"Y"))</f>
        <v>43</v>
      </c>
      <c r="O43" s="66" t="s">
        <v>988</v>
      </c>
      <c r="P43" s="66" t="s">
        <v>1239</v>
      </c>
      <c r="Q43" s="68" t="s">
        <v>1546</v>
      </c>
      <c r="R43" s="66"/>
      <c r="S43" s="66"/>
      <c r="T43" s="66"/>
      <c r="U43" s="191"/>
      <c r="V43" s="171">
        <v>46022</v>
      </c>
    </row>
    <row r="44" spans="1:26" s="54" customFormat="1" ht="15">
      <c r="A44" s="107" t="s">
        <v>42</v>
      </c>
      <c r="B44" s="108" t="s">
        <v>2869</v>
      </c>
      <c r="C44" s="108" t="s">
        <v>1626</v>
      </c>
      <c r="D44" s="170" t="s">
        <v>73</v>
      </c>
      <c r="E44" s="108">
        <v>12881859</v>
      </c>
      <c r="F44" s="108" t="s">
        <v>2725</v>
      </c>
      <c r="G44" s="108" t="s">
        <v>2994</v>
      </c>
      <c r="H44" s="108" t="s">
        <v>13</v>
      </c>
      <c r="I44" s="108" t="s">
        <v>3012</v>
      </c>
      <c r="J44" s="108" t="s">
        <v>3037</v>
      </c>
      <c r="K44" s="71" t="s">
        <v>1005</v>
      </c>
      <c r="L44" s="72" t="s">
        <v>1425</v>
      </c>
      <c r="M44" s="54" t="str">
        <f t="shared" si="5"/>
        <v>08/08/1975</v>
      </c>
      <c r="N44" s="71">
        <f ca="1">DATEDIF(M44,TODAY(),"Y")</f>
        <v>50</v>
      </c>
      <c r="O44" s="71" t="s">
        <v>988</v>
      </c>
      <c r="P44" s="71" t="s">
        <v>1426</v>
      </c>
      <c r="Q44" s="71" t="s">
        <v>3118</v>
      </c>
      <c r="R44" s="71"/>
      <c r="S44" s="71"/>
      <c r="T44" s="71"/>
      <c r="U44" s="111"/>
      <c r="X44" s="54">
        <f t="shared" si="2"/>
        <v>10</v>
      </c>
      <c r="Y44" s="54">
        <f t="shared" si="3"/>
        <v>8</v>
      </c>
      <c r="Z44" s="54" t="str">
        <f t="shared" si="4"/>
        <v>Kiritiri Health Centre</v>
      </c>
    </row>
    <row r="45" spans="1:26" s="54" customFormat="1" ht="17" customHeight="1">
      <c r="A45" s="64" t="s">
        <v>81</v>
      </c>
      <c r="B45" s="106" t="s">
        <v>2870</v>
      </c>
      <c r="C45" s="106" t="s">
        <v>1626</v>
      </c>
      <c r="D45" s="81" t="s">
        <v>110</v>
      </c>
      <c r="E45" s="81" t="s">
        <v>1989</v>
      </c>
      <c r="F45" s="169" t="s">
        <v>2713</v>
      </c>
      <c r="G45" s="106" t="s">
        <v>2992</v>
      </c>
      <c r="H45" s="106" t="s">
        <v>13</v>
      </c>
      <c r="I45" s="106" t="s">
        <v>3011</v>
      </c>
      <c r="J45" s="106" t="s">
        <v>3034</v>
      </c>
      <c r="K45" s="50" t="s">
        <v>1005</v>
      </c>
      <c r="L45" s="70" t="s">
        <v>1428</v>
      </c>
      <c r="M45" s="69" t="str">
        <f t="shared" si="5"/>
        <v>22/07/1989</v>
      </c>
      <c r="N45" s="50">
        <f ca="1">DATEDIF(M45,TODAY(),"Y")</f>
        <v>37</v>
      </c>
      <c r="O45" s="50" t="s">
        <v>998</v>
      </c>
      <c r="P45" s="50" t="s">
        <v>2140</v>
      </c>
      <c r="Q45" s="50" t="s">
        <v>989</v>
      </c>
      <c r="R45" s="50" t="s">
        <v>2714</v>
      </c>
      <c r="S45" s="83" t="s">
        <v>3154</v>
      </c>
      <c r="T45" s="81" t="s">
        <v>2141</v>
      </c>
      <c r="U45" s="111">
        <v>46233</v>
      </c>
      <c r="X45" s="54">
        <f t="shared" si="2"/>
        <v>10</v>
      </c>
      <c r="Y45" s="54">
        <f t="shared" si="3"/>
        <v>8</v>
      </c>
      <c r="Z45" s="54" t="str">
        <f t="shared" si="4"/>
        <v>Embu Level 5 Hospital</v>
      </c>
    </row>
    <row r="46" spans="1:26" s="54" customFormat="1" ht="15">
      <c r="A46" s="107" t="s">
        <v>67</v>
      </c>
      <c r="B46" s="108" t="s">
        <v>2871</v>
      </c>
      <c r="C46" s="108" t="s">
        <v>1626</v>
      </c>
      <c r="D46" s="170" t="s">
        <v>96</v>
      </c>
      <c r="E46" s="108">
        <v>28685444</v>
      </c>
      <c r="F46" s="108" t="s">
        <v>2726</v>
      </c>
      <c r="G46" s="108" t="s">
        <v>2994</v>
      </c>
      <c r="H46" s="108" t="s">
        <v>13</v>
      </c>
      <c r="I46" s="108" t="s">
        <v>3013</v>
      </c>
      <c r="J46" s="108" t="s">
        <v>3038</v>
      </c>
      <c r="K46" s="71" t="s">
        <v>1005</v>
      </c>
      <c r="L46" s="72" t="s">
        <v>1430</v>
      </c>
      <c r="M46" s="54" t="str">
        <f t="shared" si="5"/>
        <v>27/09/1990</v>
      </c>
      <c r="N46" s="71">
        <f ca="1">DATEDIF(M46,TODAY(),"Y")</f>
        <v>35</v>
      </c>
      <c r="O46" s="71" t="s">
        <v>988</v>
      </c>
      <c r="P46" s="71" t="s">
        <v>1002</v>
      </c>
      <c r="Q46" s="71"/>
      <c r="R46" s="71"/>
      <c r="S46" s="71"/>
      <c r="T46" s="71"/>
      <c r="U46" s="111"/>
      <c r="X46" s="54">
        <f t="shared" si="2"/>
        <v>10</v>
      </c>
      <c r="Y46" s="54">
        <f t="shared" si="3"/>
        <v>8</v>
      </c>
      <c r="Z46" s="54" t="str">
        <f t="shared" si="4"/>
        <v>Karurumo Health  Centre</v>
      </c>
    </row>
    <row r="47" spans="1:26" s="54" customFormat="1" ht="16.5">
      <c r="A47" s="64" t="s">
        <v>46</v>
      </c>
      <c r="B47" s="106" t="s">
        <v>2872</v>
      </c>
      <c r="C47" s="106" t="s">
        <v>1626</v>
      </c>
      <c r="D47" s="81" t="s">
        <v>76</v>
      </c>
      <c r="E47" s="81" t="s">
        <v>2133</v>
      </c>
      <c r="F47" s="169" t="s">
        <v>2715</v>
      </c>
      <c r="G47" s="106" t="s">
        <v>2994</v>
      </c>
      <c r="H47" s="106" t="s">
        <v>13</v>
      </c>
      <c r="I47" s="106" t="s">
        <v>3013</v>
      </c>
      <c r="J47" s="106" t="s">
        <v>1897</v>
      </c>
      <c r="K47" s="50" t="s">
        <v>1005</v>
      </c>
      <c r="L47" s="70" t="s">
        <v>1431</v>
      </c>
      <c r="M47" s="69" t="str">
        <f t="shared" si="5"/>
        <v>13/07/1970</v>
      </c>
      <c r="N47" s="50">
        <f ca="1">DATEDIF(M47,TODAY(),"Y")</f>
        <v>56</v>
      </c>
      <c r="O47" s="50" t="s">
        <v>988</v>
      </c>
      <c r="P47" s="50" t="s">
        <v>1167</v>
      </c>
      <c r="Q47" s="50" t="s">
        <v>1064</v>
      </c>
      <c r="R47" s="50"/>
      <c r="S47" s="50"/>
      <c r="T47" s="50"/>
      <c r="U47" s="111"/>
      <c r="X47" s="54">
        <f t="shared" si="2"/>
        <v>10</v>
      </c>
      <c r="Y47" s="54">
        <f t="shared" si="3"/>
        <v>8</v>
      </c>
      <c r="Z47" s="54" t="str">
        <f t="shared" si="4"/>
        <v>Kianjokoma Health Centre</v>
      </c>
    </row>
    <row r="48" spans="1:26" s="54" customFormat="1" ht="16.5">
      <c r="A48" s="64" t="s">
        <v>10</v>
      </c>
      <c r="B48" s="106" t="s">
        <v>2873</v>
      </c>
      <c r="C48" s="106" t="s">
        <v>1626</v>
      </c>
      <c r="D48" s="81" t="s">
        <v>15</v>
      </c>
      <c r="E48" s="81" t="s">
        <v>1987</v>
      </c>
      <c r="F48" s="169" t="s">
        <v>2716</v>
      </c>
      <c r="G48" s="106" t="s">
        <v>3000</v>
      </c>
      <c r="H48" s="106" t="s">
        <v>13</v>
      </c>
      <c r="I48" s="106" t="s">
        <v>3011</v>
      </c>
      <c r="J48" s="106" t="s">
        <v>3034</v>
      </c>
      <c r="K48" s="50" t="s">
        <v>1005</v>
      </c>
      <c r="L48" s="70" t="s">
        <v>1433</v>
      </c>
      <c r="M48" s="69" t="str">
        <f t="shared" si="5"/>
        <v>10/04/1992</v>
      </c>
      <c r="N48" s="50">
        <f ca="1">DATEDIF(M48,TODAY(),"Y")</f>
        <v>34</v>
      </c>
      <c r="O48" s="50" t="s">
        <v>988</v>
      </c>
      <c r="P48" s="50" t="s">
        <v>1378</v>
      </c>
      <c r="Q48" s="50" t="s">
        <v>989</v>
      </c>
      <c r="R48" s="50"/>
      <c r="S48" s="50" t="s">
        <v>3156</v>
      </c>
      <c r="T48" s="50" t="s">
        <v>2004</v>
      </c>
      <c r="U48" s="111">
        <v>46387</v>
      </c>
      <c r="X48" s="54">
        <f t="shared" si="2"/>
        <v>10</v>
      </c>
      <c r="Y48" s="54">
        <f t="shared" si="3"/>
        <v>8</v>
      </c>
      <c r="Z48" s="54" t="str">
        <f t="shared" si="4"/>
        <v>Embu Level 5 Hospital</v>
      </c>
    </row>
    <row r="49" spans="1:27" s="54" customFormat="1" ht="15">
      <c r="A49" s="64"/>
      <c r="B49" s="96" t="s">
        <v>2876</v>
      </c>
      <c r="C49" s="93" t="s">
        <v>1627</v>
      </c>
      <c r="D49" s="150" t="s">
        <v>243</v>
      </c>
      <c r="E49" s="150" t="s">
        <v>2079</v>
      </c>
      <c r="F49" s="157" t="s">
        <v>2616</v>
      </c>
      <c r="G49" s="93" t="s">
        <v>2994</v>
      </c>
      <c r="H49" s="93" t="s">
        <v>166</v>
      </c>
      <c r="I49" s="93" t="s">
        <v>3015</v>
      </c>
      <c r="J49" s="93" t="s">
        <v>3142</v>
      </c>
      <c r="K49" s="62" t="s">
        <v>1005</v>
      </c>
      <c r="L49" s="62" t="s">
        <v>1318</v>
      </c>
      <c r="M49" s="49" t="str">
        <f t="shared" si="5"/>
        <v>20/05/1986</v>
      </c>
      <c r="N49" s="50">
        <f ca="1">IF(M49="","",DATEDIF(M49,TODAY(),"Y"))</f>
        <v>40</v>
      </c>
      <c r="O49" s="62" t="s">
        <v>988</v>
      </c>
      <c r="P49" s="62" t="s">
        <v>1319</v>
      </c>
      <c r="Q49" s="62" t="s">
        <v>1278</v>
      </c>
      <c r="R49" s="62" t="s">
        <v>1539</v>
      </c>
      <c r="S49" s="62"/>
      <c r="T49" s="62"/>
      <c r="U49" s="111"/>
      <c r="X49" s="54">
        <f t="shared" si="2"/>
        <v>10</v>
      </c>
      <c r="Y49" s="54">
        <f t="shared" si="3"/>
        <v>8</v>
      </c>
      <c r="Z49" s="54" t="str">
        <f t="shared" si="4"/>
        <v>Meru Teaching And Referral Hospital</v>
      </c>
    </row>
    <row r="50" spans="1:27" s="54" customFormat="1" ht="15">
      <c r="A50" s="64"/>
      <c r="B50" s="106" t="s">
        <v>3288</v>
      </c>
      <c r="C50" s="106" t="s">
        <v>1626</v>
      </c>
      <c r="D50" s="81" t="s">
        <v>3275</v>
      </c>
      <c r="E50" s="81">
        <v>29751574</v>
      </c>
      <c r="F50" s="152" t="s">
        <v>3276</v>
      </c>
      <c r="G50" s="106" t="s">
        <v>3289</v>
      </c>
      <c r="H50" s="106" t="s">
        <v>13</v>
      </c>
      <c r="I50" s="106" t="s">
        <v>3011</v>
      </c>
      <c r="J50" s="106" t="s">
        <v>3034</v>
      </c>
      <c r="K50" s="50" t="s">
        <v>3285</v>
      </c>
      <c r="L50" s="70" t="s">
        <v>3277</v>
      </c>
      <c r="M50" s="69" t="str">
        <f t="shared" si="5"/>
        <v>20/03/1992</v>
      </c>
      <c r="N50" s="50">
        <f ca="1">DATEDIF(M50,TODAY(),"Y")</f>
        <v>34</v>
      </c>
      <c r="O50" s="50" t="s">
        <v>1188</v>
      </c>
      <c r="P50" s="50" t="s">
        <v>1002</v>
      </c>
      <c r="Q50" s="50" t="s">
        <v>3290</v>
      </c>
      <c r="R50" s="50" t="s">
        <v>1497</v>
      </c>
      <c r="S50" s="50"/>
      <c r="T50" s="50"/>
      <c r="U50" s="111"/>
      <c r="X50" s="54">
        <f t="shared" si="2"/>
        <v>10</v>
      </c>
      <c r="Y50" s="54">
        <f t="shared" si="3"/>
        <v>8</v>
      </c>
      <c r="Z50" s="54" t="str">
        <f t="shared" si="4"/>
        <v>Embu Level 5 Hospital</v>
      </c>
    </row>
    <row r="51" spans="1:27" s="54" customFormat="1" ht="16.5">
      <c r="A51" s="107" t="s">
        <v>50</v>
      </c>
      <c r="B51" s="108" t="s">
        <v>2875</v>
      </c>
      <c r="C51" s="108" t="s">
        <v>1626</v>
      </c>
      <c r="D51" s="113" t="s">
        <v>80</v>
      </c>
      <c r="E51" s="113">
        <v>23774418</v>
      </c>
      <c r="F51" s="169" t="s">
        <v>2727</v>
      </c>
      <c r="G51" s="108" t="s">
        <v>2994</v>
      </c>
      <c r="H51" s="108" t="s">
        <v>13</v>
      </c>
      <c r="I51" s="108" t="s">
        <v>3013</v>
      </c>
      <c r="J51" s="108" t="s">
        <v>3043</v>
      </c>
      <c r="K51" s="71" t="s">
        <v>1005</v>
      </c>
      <c r="L51" s="72" t="s">
        <v>1436</v>
      </c>
      <c r="M51" s="54" t="str">
        <f t="shared" si="5"/>
        <v>18/01/1984</v>
      </c>
      <c r="N51" s="71">
        <f ca="1">DATEDIF(M51,TODAY(),"Y")</f>
        <v>42</v>
      </c>
      <c r="O51" s="71" t="s">
        <v>988</v>
      </c>
      <c r="P51" s="71" t="s">
        <v>1437</v>
      </c>
      <c r="Q51" s="71" t="s">
        <v>1438</v>
      </c>
      <c r="R51" s="71"/>
      <c r="S51" s="113"/>
      <c r="T51" s="114"/>
      <c r="U51" s="111"/>
      <c r="X51" s="54">
        <f t="shared" si="2"/>
        <v>10</v>
      </c>
      <c r="Y51" s="54">
        <f t="shared" si="3"/>
        <v>8</v>
      </c>
      <c r="Z51" s="54" t="str">
        <f t="shared" si="4"/>
        <v>St. Michael Home</v>
      </c>
    </row>
    <row r="52" spans="1:27" ht="20.149999999999999" customHeight="1">
      <c r="B52" s="96" t="s">
        <v>2364</v>
      </c>
      <c r="C52" s="93" t="s">
        <v>1627</v>
      </c>
      <c r="D52" s="81" t="s">
        <v>318</v>
      </c>
      <c r="E52" s="81" t="s">
        <v>2008</v>
      </c>
      <c r="F52" s="157" t="s">
        <v>2626</v>
      </c>
      <c r="G52" s="93" t="s">
        <v>2996</v>
      </c>
      <c r="H52" s="93" t="s">
        <v>166</v>
      </c>
      <c r="I52" s="93" t="s">
        <v>3024</v>
      </c>
      <c r="J52" s="93" t="s">
        <v>512</v>
      </c>
      <c r="K52" s="62" t="s">
        <v>1005</v>
      </c>
      <c r="L52" s="62" t="s">
        <v>1332</v>
      </c>
      <c r="M52" s="49" t="str">
        <f t="shared" si="5"/>
        <v>24/06/1988</v>
      </c>
      <c r="N52" s="50">
        <f t="shared" ref="N52:N83" ca="1" si="6">IF(M52="","",DATEDIF(M52,TODAY(),"Y"))</f>
        <v>38</v>
      </c>
      <c r="O52" s="62" t="s">
        <v>988</v>
      </c>
      <c r="P52" s="62" t="s">
        <v>996</v>
      </c>
      <c r="Q52" s="62" t="s">
        <v>1125</v>
      </c>
      <c r="R52" s="62"/>
      <c r="S52" s="81" t="s">
        <v>2328</v>
      </c>
      <c r="T52" s="190" t="s">
        <v>2024</v>
      </c>
      <c r="U52" s="62"/>
      <c r="V52" s="61" t="str">
        <f t="shared" ref="V52:V115" si="7">PROPER(B52)</f>
        <v>Peter Riungu Gikundi</v>
      </c>
      <c r="X52" s="54">
        <f t="shared" si="2"/>
        <v>10</v>
      </c>
      <c r="Y52" s="54">
        <f t="shared" si="3"/>
        <v>8</v>
      </c>
      <c r="Z52" s="54" t="str">
        <f t="shared" si="4"/>
        <v>Miathene Hospital</v>
      </c>
    </row>
    <row r="53" spans="1:27" s="73" customFormat="1" ht="20.149999999999999" customHeight="1">
      <c r="A53" s="282"/>
      <c r="B53" s="224" t="s">
        <v>2397</v>
      </c>
      <c r="C53" s="154" t="s">
        <v>1626</v>
      </c>
      <c r="D53" s="113" t="s">
        <v>408</v>
      </c>
      <c r="E53" s="113" t="s">
        <v>2090</v>
      </c>
      <c r="F53" s="223" t="s">
        <v>2646</v>
      </c>
      <c r="G53" s="224" t="s">
        <v>3001</v>
      </c>
      <c r="H53" s="154" t="s">
        <v>166</v>
      </c>
      <c r="I53" s="154" t="s">
        <v>3014</v>
      </c>
      <c r="J53" s="154" t="s">
        <v>3045</v>
      </c>
      <c r="K53" s="66" t="s">
        <v>1005</v>
      </c>
      <c r="L53" s="66" t="s">
        <v>1198</v>
      </c>
      <c r="M53" s="73" t="str">
        <f t="shared" si="5"/>
        <v>24/12/1990</v>
      </c>
      <c r="N53" s="71">
        <f t="shared" ca="1" si="6"/>
        <v>35</v>
      </c>
      <c r="O53" s="66" t="s">
        <v>988</v>
      </c>
      <c r="P53" s="66" t="s">
        <v>1508</v>
      </c>
      <c r="Q53" s="66" t="s">
        <v>1142</v>
      </c>
      <c r="R53" s="66"/>
      <c r="S53" s="66"/>
      <c r="T53" s="66"/>
      <c r="U53" s="66" t="s">
        <v>1199</v>
      </c>
      <c r="V53" s="246">
        <v>46022</v>
      </c>
      <c r="X53" s="54">
        <f t="shared" si="2"/>
        <v>10</v>
      </c>
      <c r="Y53" s="54">
        <f t="shared" si="3"/>
        <v>8</v>
      </c>
      <c r="Z53" s="54" t="str">
        <f t="shared" si="4"/>
        <v>Maua Dice</v>
      </c>
    </row>
    <row r="54" spans="1:27" ht="20.149999999999999" customHeight="1">
      <c r="B54" s="96" t="s">
        <v>2371</v>
      </c>
      <c r="C54" s="93" t="s">
        <v>1627</v>
      </c>
      <c r="D54" s="81" t="s">
        <v>348</v>
      </c>
      <c r="E54" s="139" t="s">
        <v>2053</v>
      </c>
      <c r="F54" s="157" t="s">
        <v>2620</v>
      </c>
      <c r="G54" s="93" t="s">
        <v>3000</v>
      </c>
      <c r="H54" s="93" t="s">
        <v>166</v>
      </c>
      <c r="I54" s="93" t="s">
        <v>3015</v>
      </c>
      <c r="J54" s="93" t="s">
        <v>3142</v>
      </c>
      <c r="K54" s="62" t="s">
        <v>1005</v>
      </c>
      <c r="L54" s="62" t="s">
        <v>1324</v>
      </c>
      <c r="M54" s="49" t="str">
        <f t="shared" si="5"/>
        <v>04/07/1989</v>
      </c>
      <c r="N54" s="50">
        <f t="shared" ca="1" si="6"/>
        <v>37</v>
      </c>
      <c r="O54" s="62" t="s">
        <v>988</v>
      </c>
      <c r="P54" s="62" t="s">
        <v>1229</v>
      </c>
      <c r="Q54" s="62" t="s">
        <v>1125</v>
      </c>
      <c r="R54" s="61"/>
      <c r="S54" s="81" t="s">
        <v>3291</v>
      </c>
      <c r="T54" s="83" t="s">
        <v>2067</v>
      </c>
      <c r="U54" s="303">
        <v>46387</v>
      </c>
      <c r="V54" s="61" t="str">
        <f t="shared" si="7"/>
        <v>Paul Mutwiri Kirimi</v>
      </c>
      <c r="X54" s="54">
        <f t="shared" si="2"/>
        <v>10</v>
      </c>
      <c r="Y54" s="54">
        <f t="shared" si="3"/>
        <v>8</v>
      </c>
      <c r="Z54" s="54" t="str">
        <f t="shared" si="4"/>
        <v>Meru Teaching And Referral Hospital</v>
      </c>
    </row>
    <row r="55" spans="1:27" ht="20.149999999999999" customHeight="1">
      <c r="B55" s="96" t="s">
        <v>2358</v>
      </c>
      <c r="C55" s="93" t="s">
        <v>1627</v>
      </c>
      <c r="D55" s="81" t="s">
        <v>287</v>
      </c>
      <c r="E55" s="81" t="s">
        <v>2106</v>
      </c>
      <c r="F55" s="157" t="s">
        <v>2621</v>
      </c>
      <c r="G55" s="93" t="s">
        <v>2994</v>
      </c>
      <c r="H55" s="93" t="s">
        <v>166</v>
      </c>
      <c r="I55" s="93" t="s">
        <v>3022</v>
      </c>
      <c r="J55" s="93" t="s">
        <v>3126</v>
      </c>
      <c r="K55" s="62" t="s">
        <v>1005</v>
      </c>
      <c r="L55" s="62" t="s">
        <v>1555</v>
      </c>
      <c r="M55" s="49" t="str">
        <f t="shared" si="5"/>
        <v>03/01/1993</v>
      </c>
      <c r="N55" s="50">
        <f t="shared" ca="1" si="6"/>
        <v>33</v>
      </c>
      <c r="O55" s="62" t="s">
        <v>988</v>
      </c>
      <c r="P55" s="62" t="s">
        <v>1038</v>
      </c>
      <c r="Q55" s="62" t="s">
        <v>1155</v>
      </c>
      <c r="R55" s="62" t="s">
        <v>1539</v>
      </c>
      <c r="S55" s="62"/>
      <c r="T55" s="62"/>
      <c r="U55" s="84"/>
      <c r="V55" s="61" t="str">
        <f t="shared" si="7"/>
        <v>Paul Thuranira Isaac</v>
      </c>
      <c r="X55" s="54">
        <f t="shared" si="2"/>
        <v>10</v>
      </c>
      <c r="Y55" s="54">
        <f t="shared" si="3"/>
        <v>8</v>
      </c>
      <c r="Z55" s="54" t="str">
        <f t="shared" si="4"/>
        <v>Mutuati Sub County Hospital</v>
      </c>
    </row>
    <row r="56" spans="1:27" ht="20.149999999999999" customHeight="1">
      <c r="B56" s="154" t="s">
        <v>2338</v>
      </c>
      <c r="C56" s="154" t="s">
        <v>1626</v>
      </c>
      <c r="D56" s="81" t="s">
        <v>179</v>
      </c>
      <c r="E56" s="81">
        <v>10380471</v>
      </c>
      <c r="F56" s="157" t="s">
        <v>2667</v>
      </c>
      <c r="G56" s="154" t="s">
        <v>2994</v>
      </c>
      <c r="H56" s="154" t="s">
        <v>166</v>
      </c>
      <c r="I56" s="154" t="s">
        <v>3014</v>
      </c>
      <c r="J56" s="154" t="s">
        <v>3120</v>
      </c>
      <c r="K56" s="66" t="s">
        <v>1005</v>
      </c>
      <c r="L56" s="66" t="s">
        <v>1200</v>
      </c>
      <c r="M56" s="73" t="str">
        <f t="shared" si="5"/>
        <v>15/06/1965</v>
      </c>
      <c r="N56" s="50">
        <f t="shared" ca="1" si="6"/>
        <v>61</v>
      </c>
      <c r="O56" s="66" t="s">
        <v>1010</v>
      </c>
      <c r="P56" s="66" t="s">
        <v>1202</v>
      </c>
      <c r="Q56" s="66" t="s">
        <v>1203</v>
      </c>
      <c r="R56" s="67"/>
      <c r="S56" s="66"/>
      <c r="T56" s="66"/>
      <c r="U56" s="66"/>
      <c r="V56" s="61" t="str">
        <f t="shared" si="7"/>
        <v>Ann Kamami</v>
      </c>
      <c r="X56" s="54">
        <f t="shared" si="2"/>
        <v>10</v>
      </c>
      <c r="Y56" s="54">
        <f t="shared" si="3"/>
        <v>8</v>
      </c>
      <c r="Z56" s="54" t="str">
        <f t="shared" si="4"/>
        <v>Nyambene Sub County Hospital</v>
      </c>
    </row>
    <row r="57" spans="1:27" ht="20.149999999999999" customHeight="1">
      <c r="B57" s="96" t="s">
        <v>2366</v>
      </c>
      <c r="C57" s="93" t="s">
        <v>1627</v>
      </c>
      <c r="D57" s="81" t="s">
        <v>321</v>
      </c>
      <c r="E57" s="81" t="s">
        <v>2009</v>
      </c>
      <c r="F57" s="157" t="s">
        <v>2639</v>
      </c>
      <c r="G57" s="93" t="s">
        <v>2996</v>
      </c>
      <c r="H57" s="93" t="s">
        <v>166</v>
      </c>
      <c r="I57" s="93" t="s">
        <v>3019</v>
      </c>
      <c r="J57" s="93" t="s">
        <v>3122</v>
      </c>
      <c r="K57" s="62" t="s">
        <v>1005</v>
      </c>
      <c r="L57" s="62" t="s">
        <v>1351</v>
      </c>
      <c r="M57" s="49" t="str">
        <f t="shared" si="5"/>
        <v>16/06/1990</v>
      </c>
      <c r="N57" s="50">
        <f t="shared" ca="1" si="6"/>
        <v>36</v>
      </c>
      <c r="O57" s="62" t="s">
        <v>988</v>
      </c>
      <c r="P57" s="62" t="s">
        <v>996</v>
      </c>
      <c r="Q57" s="62" t="s">
        <v>1350</v>
      </c>
      <c r="R57" s="62"/>
      <c r="S57" s="81" t="s">
        <v>2328</v>
      </c>
      <c r="T57" s="83" t="s">
        <v>2025</v>
      </c>
      <c r="U57" s="84">
        <v>46173</v>
      </c>
      <c r="V57" s="61" t="str">
        <f t="shared" si="7"/>
        <v>Stanley Muthaura Mugambi</v>
      </c>
      <c r="X57" s="54">
        <f t="shared" si="2"/>
        <v>10</v>
      </c>
      <c r="Y57" s="54">
        <f t="shared" si="3"/>
        <v>8</v>
      </c>
      <c r="Z57" s="54" t="str">
        <f t="shared" si="4"/>
        <v>Timau Sub County Hospital</v>
      </c>
    </row>
    <row r="58" spans="1:27" ht="20.149999999999999" customHeight="1">
      <c r="B58" s="96" t="s">
        <v>2363</v>
      </c>
      <c r="C58" s="93" t="s">
        <v>1626</v>
      </c>
      <c r="D58" s="81" t="s">
        <v>314</v>
      </c>
      <c r="E58" s="81" t="s">
        <v>2007</v>
      </c>
      <c r="F58" s="157" t="s">
        <v>2651</v>
      </c>
      <c r="G58" s="93" t="s">
        <v>2995</v>
      </c>
      <c r="H58" s="93" t="s">
        <v>166</v>
      </c>
      <c r="I58" s="93" t="s">
        <v>3017</v>
      </c>
      <c r="J58" s="93" t="s">
        <v>3047</v>
      </c>
      <c r="K58" s="62" t="s">
        <v>1005</v>
      </c>
      <c r="L58" s="62" t="s">
        <v>1208</v>
      </c>
      <c r="M58" s="49" t="str">
        <f t="shared" si="5"/>
        <v>09/04/1990</v>
      </c>
      <c r="N58" s="50">
        <f t="shared" ca="1" si="6"/>
        <v>36</v>
      </c>
      <c r="O58" s="62" t="s">
        <v>988</v>
      </c>
      <c r="P58" s="62" t="s">
        <v>996</v>
      </c>
      <c r="Q58" s="62" t="s">
        <v>1125</v>
      </c>
      <c r="R58" s="62"/>
      <c r="S58" s="81" t="s">
        <v>2328</v>
      </c>
      <c r="T58" s="83" t="s">
        <v>2023</v>
      </c>
      <c r="U58" s="84">
        <v>46326</v>
      </c>
      <c r="V58" s="61" t="str">
        <f t="shared" si="7"/>
        <v>Beth Wanjiru Kahuha</v>
      </c>
      <c r="X58" s="54">
        <f t="shared" si="2"/>
        <v>10</v>
      </c>
      <c r="Y58" s="54">
        <f t="shared" si="3"/>
        <v>8</v>
      </c>
      <c r="Z58" s="54" t="str">
        <f t="shared" si="4"/>
        <v>Nkubu Gk Dispensary</v>
      </c>
    </row>
    <row r="59" spans="1:27" ht="20.149999999999999" customHeight="1">
      <c r="B59" s="96" t="s">
        <v>2362</v>
      </c>
      <c r="C59" s="93" t="s">
        <v>1626</v>
      </c>
      <c r="D59" s="81" t="s">
        <v>311</v>
      </c>
      <c r="E59" s="81" t="s">
        <v>2006</v>
      </c>
      <c r="F59" s="157" t="s">
        <v>2649</v>
      </c>
      <c r="G59" s="93" t="s">
        <v>2998</v>
      </c>
      <c r="H59" s="93" t="s">
        <v>166</v>
      </c>
      <c r="I59" s="93" t="s">
        <v>3015</v>
      </c>
      <c r="J59" s="93" t="s">
        <v>3142</v>
      </c>
      <c r="K59" s="62" t="s">
        <v>1005</v>
      </c>
      <c r="L59" s="62" t="s">
        <v>1206</v>
      </c>
      <c r="M59" s="49" t="str">
        <f t="shared" si="5"/>
        <v>03/05/1992</v>
      </c>
      <c r="N59" s="50">
        <f t="shared" ca="1" si="6"/>
        <v>34</v>
      </c>
      <c r="O59" s="62" t="s">
        <v>988</v>
      </c>
      <c r="P59" s="62" t="s">
        <v>2121</v>
      </c>
      <c r="Q59" s="62" t="s">
        <v>2063</v>
      </c>
      <c r="R59" s="62"/>
      <c r="S59" s="81" t="s">
        <v>2109</v>
      </c>
      <c r="T59" s="83">
        <v>493828</v>
      </c>
      <c r="U59" s="84">
        <v>46173</v>
      </c>
      <c r="V59" s="61" t="str">
        <f t="shared" si="7"/>
        <v>Banis Kathomi Mutembei</v>
      </c>
      <c r="X59" s="54">
        <f t="shared" si="2"/>
        <v>10</v>
      </c>
      <c r="Y59" s="54">
        <f t="shared" si="3"/>
        <v>8</v>
      </c>
      <c r="Z59" s="54" t="str">
        <f t="shared" si="4"/>
        <v>Meru Teaching And Referral Hospital</v>
      </c>
    </row>
    <row r="60" spans="1:27" ht="20.149999999999999" customHeight="1">
      <c r="B60" s="96" t="s">
        <v>2407</v>
      </c>
      <c r="C60" s="93" t="s">
        <v>1626</v>
      </c>
      <c r="D60" s="81" t="s">
        <v>435</v>
      </c>
      <c r="E60" s="81" t="s">
        <v>2094</v>
      </c>
      <c r="F60" s="157" t="s">
        <v>2650</v>
      </c>
      <c r="G60" s="93" t="s">
        <v>2994</v>
      </c>
      <c r="H60" s="93" t="s">
        <v>166</v>
      </c>
      <c r="I60" s="93" t="s">
        <v>3015</v>
      </c>
      <c r="J60" s="93" t="s">
        <v>3142</v>
      </c>
      <c r="K60" s="62" t="s">
        <v>1005</v>
      </c>
      <c r="L60" s="62" t="s">
        <v>1207</v>
      </c>
      <c r="M60" s="49" t="str">
        <f t="shared" si="5"/>
        <v>29/11/1986</v>
      </c>
      <c r="N60" s="50">
        <f t="shared" ca="1" si="6"/>
        <v>39</v>
      </c>
      <c r="O60" s="62" t="s">
        <v>1010</v>
      </c>
      <c r="P60" s="62" t="s">
        <v>1533</v>
      </c>
      <c r="Q60" s="62" t="s">
        <v>2569</v>
      </c>
      <c r="R60" s="62" t="s">
        <v>1534</v>
      </c>
      <c r="S60" s="62"/>
      <c r="T60" s="62"/>
      <c r="U60" s="62"/>
      <c r="V60" s="61" t="str">
        <f t="shared" si="7"/>
        <v>Beth Kendi</v>
      </c>
      <c r="X60" s="54">
        <f t="shared" si="2"/>
        <v>10</v>
      </c>
      <c r="Y60" s="54">
        <f t="shared" si="3"/>
        <v>8</v>
      </c>
      <c r="Z60" s="54" t="str">
        <f t="shared" si="4"/>
        <v>Meru Teaching And Referral Hospital</v>
      </c>
    </row>
    <row r="61" spans="1:27" ht="20.149999999999999" customHeight="1">
      <c r="B61" s="96" t="s">
        <v>2436</v>
      </c>
      <c r="C61" s="93" t="s">
        <v>1626</v>
      </c>
      <c r="D61" s="82" t="s">
        <v>2019</v>
      </c>
      <c r="E61" s="81">
        <v>27899472</v>
      </c>
      <c r="F61" s="157" t="s">
        <v>2652</v>
      </c>
      <c r="G61" s="98" t="s">
        <v>2996</v>
      </c>
      <c r="H61" s="98" t="s">
        <v>166</v>
      </c>
      <c r="I61" s="98" t="s">
        <v>3018</v>
      </c>
      <c r="J61" s="98" t="s">
        <v>3121</v>
      </c>
      <c r="K61" s="99" t="s">
        <v>1568</v>
      </c>
      <c r="L61" s="62" t="s">
        <v>1569</v>
      </c>
      <c r="M61" s="49" t="str">
        <f t="shared" si="5"/>
        <v>09/06/1990</v>
      </c>
      <c r="N61" s="50">
        <f t="shared" ca="1" si="6"/>
        <v>36</v>
      </c>
      <c r="O61" s="62" t="s">
        <v>988</v>
      </c>
      <c r="P61" s="62" t="s">
        <v>996</v>
      </c>
      <c r="Q61" s="62" t="s">
        <v>1284</v>
      </c>
      <c r="R61" s="62"/>
      <c r="S61" s="82" t="s">
        <v>2328</v>
      </c>
      <c r="T61" s="90" t="s">
        <v>2037</v>
      </c>
      <c r="U61" s="84">
        <v>46295</v>
      </c>
      <c r="V61" s="61" t="str">
        <f t="shared" si="7"/>
        <v>Brenda Ntinyari Koome</v>
      </c>
      <c r="X61" s="54">
        <f t="shared" si="2"/>
        <v>10</v>
      </c>
      <c r="Y61" s="54">
        <f t="shared" si="3"/>
        <v>8</v>
      </c>
      <c r="Z61" s="54" t="str">
        <f t="shared" si="4"/>
        <v>Muthara Sub County Hospital</v>
      </c>
    </row>
    <row r="62" spans="1:27" ht="20.149999999999999" customHeight="1">
      <c r="B62" s="154" t="s">
        <v>2343</v>
      </c>
      <c r="C62" s="154" t="s">
        <v>1626</v>
      </c>
      <c r="D62" s="81" t="s">
        <v>2669</v>
      </c>
      <c r="E62" s="81">
        <v>33650469</v>
      </c>
      <c r="F62" s="157" t="s">
        <v>2670</v>
      </c>
      <c r="G62" s="154" t="s">
        <v>3002</v>
      </c>
      <c r="H62" s="154" t="s">
        <v>166</v>
      </c>
      <c r="I62" s="154" t="s">
        <v>3015</v>
      </c>
      <c r="J62" s="154" t="s">
        <v>3048</v>
      </c>
      <c r="K62" s="66" t="s">
        <v>1028</v>
      </c>
      <c r="L62" s="66" t="s">
        <v>1209</v>
      </c>
      <c r="M62" s="73" t="str">
        <f t="shared" si="5"/>
        <v>03/03/1994</v>
      </c>
      <c r="N62" s="50">
        <f t="shared" ca="1" si="6"/>
        <v>32</v>
      </c>
      <c r="O62" s="66" t="s">
        <v>988</v>
      </c>
      <c r="P62" s="66" t="s">
        <v>1002</v>
      </c>
      <c r="Q62" s="66" t="s">
        <v>3119</v>
      </c>
      <c r="R62" s="66" t="s">
        <v>1535</v>
      </c>
      <c r="S62" s="66"/>
      <c r="T62" s="66"/>
      <c r="U62" s="66"/>
      <c r="V62" s="61" t="str">
        <f t="shared" si="7"/>
        <v>Betty Kananu Kaberia</v>
      </c>
      <c r="X62" s="54">
        <f t="shared" si="2"/>
        <v>10</v>
      </c>
      <c r="Y62" s="54">
        <f t="shared" si="3"/>
        <v>8</v>
      </c>
      <c r="Z62" s="54" t="str">
        <f t="shared" si="4"/>
        <v>Kathithi Dispensary</v>
      </c>
    </row>
    <row r="63" spans="1:27" ht="20.149999999999999" customHeight="1">
      <c r="B63" s="96" t="s">
        <v>2375</v>
      </c>
      <c r="C63" s="93" t="s">
        <v>1627</v>
      </c>
      <c r="D63" s="81" t="s">
        <v>351</v>
      </c>
      <c r="E63" s="81" t="s">
        <v>2056</v>
      </c>
      <c r="F63" s="157" t="s">
        <v>2625</v>
      </c>
      <c r="G63" s="93" t="s">
        <v>3000</v>
      </c>
      <c r="H63" s="93" t="s">
        <v>166</v>
      </c>
      <c r="I63" s="93" t="s">
        <v>3014</v>
      </c>
      <c r="J63" s="93" t="s">
        <v>3120</v>
      </c>
      <c r="K63" s="62" t="s">
        <v>1005</v>
      </c>
      <c r="L63" s="62" t="s">
        <v>1330</v>
      </c>
      <c r="M63" s="49" t="str">
        <f t="shared" si="5"/>
        <v>13/01/1979</v>
      </c>
      <c r="N63" s="50">
        <f t="shared" ca="1" si="6"/>
        <v>47</v>
      </c>
      <c r="O63" s="62" t="s">
        <v>988</v>
      </c>
      <c r="P63" s="62" t="s">
        <v>1229</v>
      </c>
      <c r="Q63" s="62" t="s">
        <v>1331</v>
      </c>
      <c r="R63" s="62"/>
      <c r="S63" s="81" t="s">
        <v>3291</v>
      </c>
      <c r="T63" s="83" t="s">
        <v>2068</v>
      </c>
      <c r="U63" s="84">
        <v>46387</v>
      </c>
      <c r="V63" s="61" t="str">
        <f t="shared" si="7"/>
        <v>Peter Muriuki Anampiu</v>
      </c>
      <c r="X63" s="54">
        <f t="shared" si="2"/>
        <v>10</v>
      </c>
      <c r="Y63" s="54">
        <f t="shared" si="3"/>
        <v>8</v>
      </c>
      <c r="Z63" s="54" t="str">
        <f t="shared" si="4"/>
        <v>Nyambene Sub County Hospital</v>
      </c>
    </row>
    <row r="64" spans="1:27" ht="20.149999999999999" customHeight="1">
      <c r="B64" s="96" t="s">
        <v>2433</v>
      </c>
      <c r="C64" s="93" t="s">
        <v>1626</v>
      </c>
      <c r="D64" s="81" t="s">
        <v>2016</v>
      </c>
      <c r="E64" s="81">
        <v>30471674</v>
      </c>
      <c r="F64" s="157" t="s">
        <v>2657</v>
      </c>
      <c r="G64" s="93" t="s">
        <v>2996</v>
      </c>
      <c r="H64" s="93" t="s">
        <v>166</v>
      </c>
      <c r="I64" s="93" t="s">
        <v>3015</v>
      </c>
      <c r="J64" s="93" t="s">
        <v>3142</v>
      </c>
      <c r="K64" s="62" t="s">
        <v>1214</v>
      </c>
      <c r="L64" s="62" t="s">
        <v>1169</v>
      </c>
      <c r="M64" s="49" t="str">
        <f t="shared" si="5"/>
        <v>17/04/1994</v>
      </c>
      <c r="N64" s="50">
        <f t="shared" ca="1" si="6"/>
        <v>32</v>
      </c>
      <c r="O64" s="62" t="s">
        <v>988</v>
      </c>
      <c r="P64" s="62" t="s">
        <v>996</v>
      </c>
      <c r="Q64" s="62" t="s">
        <v>1142</v>
      </c>
      <c r="R64" s="62"/>
      <c r="S64" s="81" t="s">
        <v>2328</v>
      </c>
      <c r="T64" s="83" t="s">
        <v>2033</v>
      </c>
      <c r="U64" s="84">
        <v>46265</v>
      </c>
      <c r="V64" s="61" t="str">
        <f t="shared" si="7"/>
        <v>Christine Wanjiku Gichangi</v>
      </c>
      <c r="X64" s="54">
        <f t="shared" si="2"/>
        <v>10</v>
      </c>
      <c r="Y64" s="54">
        <f t="shared" si="3"/>
        <v>8</v>
      </c>
      <c r="Z64" s="54" t="str">
        <f t="shared" si="4"/>
        <v>Meru Teaching And Referral Hospital</v>
      </c>
      <c r="AA64" s="49">
        <f>15000*7</f>
        <v>105000</v>
      </c>
    </row>
    <row r="65" spans="1:26" ht="20.149999999999999" customHeight="1">
      <c r="B65" s="154" t="s">
        <v>2344</v>
      </c>
      <c r="C65" s="154" t="s">
        <v>1626</v>
      </c>
      <c r="D65" s="81" t="s">
        <v>299</v>
      </c>
      <c r="E65" s="81">
        <v>33702336</v>
      </c>
      <c r="F65" s="157" t="s">
        <v>2686</v>
      </c>
      <c r="G65" s="154" t="s">
        <v>2994</v>
      </c>
      <c r="H65" s="154" t="s">
        <v>166</v>
      </c>
      <c r="I65" s="154" t="s">
        <v>3019</v>
      </c>
      <c r="J65" s="154" t="s">
        <v>3122</v>
      </c>
      <c r="K65" s="66" t="s">
        <v>1005</v>
      </c>
      <c r="L65" s="66" t="s">
        <v>1210</v>
      </c>
      <c r="M65" s="73" t="str">
        <f t="shared" ref="M65:M96" si="8">IF(L65="","",TEXT(DATEVALUE(SUBSTITUTE(SUBSTITUTE(SUBSTITUTE(SUBSTITUTE(SUBSTITUTE(L65,"st",""),"nd",""),"rd",""),"th",""),"TH","")),"dd/mm/yyyy"))</f>
        <v>18/02/1997</v>
      </c>
      <c r="N65" s="50">
        <f t="shared" ca="1" si="6"/>
        <v>29</v>
      </c>
      <c r="O65" s="66" t="s">
        <v>988</v>
      </c>
      <c r="P65" s="66" t="s">
        <v>1196</v>
      </c>
      <c r="Q65" s="66" t="s">
        <v>3119</v>
      </c>
      <c r="R65" s="66" t="s">
        <v>1536</v>
      </c>
      <c r="S65" s="66"/>
      <c r="T65" s="66"/>
      <c r="U65" s="66"/>
      <c r="V65" s="61" t="str">
        <f t="shared" si="7"/>
        <v>Caroline Gachui Muthee</v>
      </c>
      <c r="X65" s="54">
        <f t="shared" si="2"/>
        <v>10</v>
      </c>
      <c r="Y65" s="54">
        <f t="shared" si="3"/>
        <v>8</v>
      </c>
      <c r="Z65" s="54" t="str">
        <f t="shared" si="4"/>
        <v>Timau Sub County Hospital</v>
      </c>
    </row>
    <row r="66" spans="1:26" ht="20.149999999999999" customHeight="1">
      <c r="B66" s="96" t="s">
        <v>2387</v>
      </c>
      <c r="C66" s="93" t="s">
        <v>1626</v>
      </c>
      <c r="D66" s="81" t="s">
        <v>378</v>
      </c>
      <c r="E66" s="81">
        <v>24808849</v>
      </c>
      <c r="F66" s="157" t="s">
        <v>2654</v>
      </c>
      <c r="G66" s="93" t="s">
        <v>2992</v>
      </c>
      <c r="H66" s="93" t="s">
        <v>166</v>
      </c>
      <c r="I66" s="93" t="s">
        <v>3015</v>
      </c>
      <c r="J66" s="93" t="s">
        <v>3142</v>
      </c>
      <c r="K66" s="62" t="s">
        <v>1005</v>
      </c>
      <c r="L66" s="62" t="s">
        <v>1211</v>
      </c>
      <c r="M66" s="49" t="str">
        <f t="shared" si="8"/>
        <v>01/01/1986</v>
      </c>
      <c r="N66" s="50">
        <f t="shared" ca="1" si="6"/>
        <v>40</v>
      </c>
      <c r="O66" s="62" t="s">
        <v>988</v>
      </c>
      <c r="P66" s="62" t="s">
        <v>983</v>
      </c>
      <c r="Q66" s="62" t="s">
        <v>989</v>
      </c>
      <c r="R66" s="62"/>
      <c r="S66" s="81" t="s">
        <v>2330</v>
      </c>
      <c r="T66" s="81" t="s">
        <v>3158</v>
      </c>
      <c r="U66" s="84">
        <v>46365</v>
      </c>
      <c r="V66" s="61" t="str">
        <f t="shared" si="7"/>
        <v>Caroline Kananu Thambura</v>
      </c>
      <c r="X66" s="54">
        <f t="shared" si="2"/>
        <v>10</v>
      </c>
      <c r="Y66" s="54">
        <f t="shared" si="3"/>
        <v>8</v>
      </c>
      <c r="Z66" s="54" t="str">
        <f t="shared" si="4"/>
        <v>Meru Teaching And Referral Hospital</v>
      </c>
    </row>
    <row r="67" spans="1:26" ht="20.149999999999999" customHeight="1">
      <c r="B67" s="96" t="s">
        <v>2428</v>
      </c>
      <c r="C67" s="93" t="s">
        <v>1626</v>
      </c>
      <c r="D67" s="81" t="s">
        <v>521</v>
      </c>
      <c r="E67" s="81">
        <v>32659628</v>
      </c>
      <c r="F67" s="157" t="s">
        <v>2655</v>
      </c>
      <c r="G67" s="93" t="s">
        <v>2994</v>
      </c>
      <c r="H67" s="93" t="s">
        <v>166</v>
      </c>
      <c r="I67" s="93" t="s">
        <v>3018</v>
      </c>
      <c r="J67" s="93" t="s">
        <v>3121</v>
      </c>
      <c r="K67" s="62" t="s">
        <v>1214</v>
      </c>
      <c r="L67" s="62" t="s">
        <v>1212</v>
      </c>
      <c r="M67" s="49" t="str">
        <f t="shared" si="8"/>
        <v>03/04/1996</v>
      </c>
      <c r="N67" s="50">
        <f t="shared" ca="1" si="6"/>
        <v>30</v>
      </c>
      <c r="O67" s="62" t="s">
        <v>988</v>
      </c>
      <c r="P67" s="62" t="s">
        <v>1078</v>
      </c>
      <c r="Q67" s="62" t="s">
        <v>1213</v>
      </c>
      <c r="R67" s="62" t="s">
        <v>1537</v>
      </c>
      <c r="S67" s="62"/>
      <c r="T67" s="62"/>
      <c r="U67" s="62"/>
      <c r="V67" s="61" t="str">
        <f t="shared" si="7"/>
        <v>Caroline Kathure Koome</v>
      </c>
      <c r="X67" s="54">
        <f t="shared" si="2"/>
        <v>10</v>
      </c>
      <c r="Y67" s="54">
        <f t="shared" si="3"/>
        <v>8</v>
      </c>
      <c r="Z67" s="54" t="str">
        <f t="shared" si="4"/>
        <v>Muthara Sub County Hospital</v>
      </c>
    </row>
    <row r="68" spans="1:26" ht="20.149999999999999" customHeight="1">
      <c r="B68" s="96" t="s">
        <v>2411</v>
      </c>
      <c r="C68" s="93" t="s">
        <v>1626</v>
      </c>
      <c r="D68" s="81" t="s">
        <v>445</v>
      </c>
      <c r="E68" s="81" t="s">
        <v>2097</v>
      </c>
      <c r="F68" s="157" t="s">
        <v>2656</v>
      </c>
      <c r="G68" s="93" t="s">
        <v>2994</v>
      </c>
      <c r="H68" s="93" t="s">
        <v>166</v>
      </c>
      <c r="I68" s="93" t="s">
        <v>3019</v>
      </c>
      <c r="J68" s="93" t="s">
        <v>3122</v>
      </c>
      <c r="K68" s="62" t="s">
        <v>1005</v>
      </c>
      <c r="L68" s="62" t="s">
        <v>1215</v>
      </c>
      <c r="M68" s="49" t="str">
        <f t="shared" si="8"/>
        <v>31/03/1985</v>
      </c>
      <c r="N68" s="50">
        <f t="shared" ca="1" si="6"/>
        <v>41</v>
      </c>
      <c r="O68" s="62" t="s">
        <v>998</v>
      </c>
      <c r="P68" s="62" t="s">
        <v>1216</v>
      </c>
      <c r="Q68" s="62" t="s">
        <v>1217</v>
      </c>
      <c r="R68" s="62" t="s">
        <v>1218</v>
      </c>
      <c r="S68" s="62"/>
      <c r="T68" s="62"/>
      <c r="U68" s="62"/>
      <c r="V68" s="61" t="str">
        <f t="shared" si="7"/>
        <v>Caroline Wanja Kibetu</v>
      </c>
      <c r="X68" s="54">
        <f t="shared" si="2"/>
        <v>10</v>
      </c>
      <c r="Y68" s="54">
        <f t="shared" si="3"/>
        <v>8</v>
      </c>
      <c r="Z68" s="54" t="str">
        <f t="shared" si="4"/>
        <v>Timau Sub County Hospital</v>
      </c>
    </row>
    <row r="69" spans="1:26" ht="20.149999999999999" customHeight="1">
      <c r="B69" s="96" t="s">
        <v>2357</v>
      </c>
      <c r="C69" s="93" t="s">
        <v>1627</v>
      </c>
      <c r="D69" s="81" t="s">
        <v>279</v>
      </c>
      <c r="E69" s="81" t="s">
        <v>2105</v>
      </c>
      <c r="F69" s="157" t="s">
        <v>2643</v>
      </c>
      <c r="G69" s="93" t="s">
        <v>2994</v>
      </c>
      <c r="H69" s="93" t="s">
        <v>166</v>
      </c>
      <c r="I69" s="93" t="s">
        <v>3021</v>
      </c>
      <c r="J69" s="93" t="s">
        <v>3059</v>
      </c>
      <c r="K69" s="62" t="s">
        <v>1005</v>
      </c>
      <c r="L69" s="62" t="s">
        <v>1357</v>
      </c>
      <c r="M69" s="49" t="str">
        <f t="shared" si="8"/>
        <v>14/01/1991</v>
      </c>
      <c r="N69" s="50">
        <f t="shared" ca="1" si="6"/>
        <v>35</v>
      </c>
      <c r="O69" s="62" t="s">
        <v>988</v>
      </c>
      <c r="P69" s="62" t="s">
        <v>1358</v>
      </c>
      <c r="Q69" s="62" t="s">
        <v>1236</v>
      </c>
      <c r="R69" s="62" t="s">
        <v>1539</v>
      </c>
      <c r="S69" s="62"/>
      <c r="T69" s="62"/>
      <c r="U69" s="84"/>
      <c r="V69" s="61" t="str">
        <f t="shared" si="7"/>
        <v>Tonui K Hillary</v>
      </c>
      <c r="X69" s="54">
        <f t="shared" si="2"/>
        <v>10</v>
      </c>
      <c r="Y69" s="54">
        <f t="shared" si="3"/>
        <v>8</v>
      </c>
      <c r="Z69" s="54" t="str">
        <f t="shared" si="4"/>
        <v>Gatimbi Health Centre</v>
      </c>
    </row>
    <row r="70" spans="1:26" ht="20.149999999999999" customHeight="1">
      <c r="B70" s="96" t="s">
        <v>2420</v>
      </c>
      <c r="C70" s="93" t="s">
        <v>1627</v>
      </c>
      <c r="D70" s="81" t="s">
        <v>2058</v>
      </c>
      <c r="E70" s="81" t="s">
        <v>2059</v>
      </c>
      <c r="F70" s="157" t="s">
        <v>2642</v>
      </c>
      <c r="G70" s="93" t="s">
        <v>3005</v>
      </c>
      <c r="H70" s="93" t="s">
        <v>166</v>
      </c>
      <c r="I70" s="93" t="s">
        <v>3015</v>
      </c>
      <c r="J70" s="93" t="s">
        <v>3142</v>
      </c>
      <c r="K70" s="62" t="s">
        <v>1005</v>
      </c>
      <c r="L70" s="62" t="s">
        <v>1359</v>
      </c>
      <c r="M70" s="49" t="str">
        <f t="shared" si="8"/>
        <v>19/10/1991</v>
      </c>
      <c r="N70" s="50">
        <f t="shared" ca="1" si="6"/>
        <v>34</v>
      </c>
      <c r="O70" s="62" t="s">
        <v>988</v>
      </c>
      <c r="P70" s="62" t="s">
        <v>1345</v>
      </c>
      <c r="Q70" s="62" t="s">
        <v>1360</v>
      </c>
      <c r="R70" s="62"/>
      <c r="S70" s="81" t="s">
        <v>2108</v>
      </c>
      <c r="T70" s="275" t="s">
        <v>2070</v>
      </c>
      <c r="U70" s="84">
        <v>46142</v>
      </c>
      <c r="V70" s="61" t="str">
        <f t="shared" si="7"/>
        <v>Willy Gichunge Maeria</v>
      </c>
      <c r="X70" s="54">
        <f t="shared" ref="X70:X133" si="9">LEN(D70)</f>
        <v>10</v>
      </c>
      <c r="Y70" s="54">
        <f t="shared" ref="Y70:Y133" si="10">LEN(E70)</f>
        <v>8</v>
      </c>
      <c r="Z70" s="54" t="str">
        <f t="shared" ref="Z70:Z133" si="11">PROPER(J70)</f>
        <v>Meru Teaching And Referral Hospital</v>
      </c>
    </row>
    <row r="71" spans="1:26" ht="20.149999999999999" customHeight="1">
      <c r="B71" s="96" t="s">
        <v>2962</v>
      </c>
      <c r="C71" s="93" t="s">
        <v>1627</v>
      </c>
      <c r="D71" s="123" t="s">
        <v>2474</v>
      </c>
      <c r="E71" s="117" t="s">
        <v>2062</v>
      </c>
      <c r="F71" s="213" t="s">
        <v>2747</v>
      </c>
      <c r="G71" s="93" t="s">
        <v>2995</v>
      </c>
      <c r="H71" s="93" t="s">
        <v>800</v>
      </c>
      <c r="I71" s="93" t="s">
        <v>3027</v>
      </c>
      <c r="J71" s="93" t="s">
        <v>3070</v>
      </c>
      <c r="K71" s="62" t="s">
        <v>1374</v>
      </c>
      <c r="L71" s="62" t="s">
        <v>2748</v>
      </c>
      <c r="M71" s="126" t="str">
        <f t="shared" si="8"/>
        <v>27/07/1994</v>
      </c>
      <c r="N71" s="50">
        <f t="shared" ca="1" si="6"/>
        <v>32</v>
      </c>
      <c r="O71" s="50" t="s">
        <v>988</v>
      </c>
      <c r="P71" s="62" t="s">
        <v>2222</v>
      </c>
      <c r="Q71" s="50" t="s">
        <v>1013</v>
      </c>
      <c r="R71" s="62"/>
      <c r="S71" s="83" t="s">
        <v>2328</v>
      </c>
      <c r="T71" s="81" t="s">
        <v>2211</v>
      </c>
      <c r="U71" s="303">
        <v>46295</v>
      </c>
      <c r="V71" s="68" t="str">
        <f t="shared" si="7"/>
        <v>Denis Karani Nkonge</v>
      </c>
      <c r="W71" s="73"/>
      <c r="X71" s="54">
        <f t="shared" si="9"/>
        <v>10</v>
      </c>
      <c r="Y71" s="54">
        <f t="shared" si="10"/>
        <v>8</v>
      </c>
      <c r="Z71" s="54" t="str">
        <f t="shared" si="11"/>
        <v>Gatunga Mission</v>
      </c>
    </row>
    <row r="72" spans="1:26" ht="20.149999999999999" customHeight="1">
      <c r="B72" s="96" t="s">
        <v>2967</v>
      </c>
      <c r="C72" s="93" t="s">
        <v>1627</v>
      </c>
      <c r="D72" s="129" t="s">
        <v>2208</v>
      </c>
      <c r="E72" s="129">
        <v>27155930</v>
      </c>
      <c r="F72" s="214" t="s">
        <v>2752</v>
      </c>
      <c r="G72" s="93" t="s">
        <v>2995</v>
      </c>
      <c r="H72" s="93" t="s">
        <v>800</v>
      </c>
      <c r="I72" s="93" t="s">
        <v>3026</v>
      </c>
      <c r="J72" s="93" t="s">
        <v>3072</v>
      </c>
      <c r="K72" s="62" t="s">
        <v>1383</v>
      </c>
      <c r="L72" s="62" t="s">
        <v>1384</v>
      </c>
      <c r="M72" s="126" t="str">
        <f t="shared" si="8"/>
        <v>07/02/1989</v>
      </c>
      <c r="N72" s="50">
        <f t="shared" ca="1" si="6"/>
        <v>37</v>
      </c>
      <c r="O72" s="62" t="s">
        <v>988</v>
      </c>
      <c r="P72" s="62" t="s">
        <v>2222</v>
      </c>
      <c r="Q72" s="50" t="s">
        <v>1331</v>
      </c>
      <c r="R72" s="62" t="s">
        <v>2753</v>
      </c>
      <c r="S72" s="62" t="s">
        <v>2328</v>
      </c>
      <c r="T72" s="62" t="s">
        <v>2754</v>
      </c>
      <c r="U72" s="303">
        <v>46142</v>
      </c>
      <c r="V72" s="68" t="str">
        <f t="shared" si="7"/>
        <v>Humphrey Odinga Nyabera</v>
      </c>
      <c r="W72" s="73"/>
      <c r="X72" s="54">
        <f t="shared" si="9"/>
        <v>10</v>
      </c>
      <c r="Y72" s="54">
        <f t="shared" si="10"/>
        <v>8</v>
      </c>
      <c r="Z72" s="54" t="str">
        <f t="shared" si="11"/>
        <v>Kibungua Health Centre</v>
      </c>
    </row>
    <row r="73" spans="1:26" ht="20.149999999999999" customHeight="1">
      <c r="B73" s="96" t="s">
        <v>2395</v>
      </c>
      <c r="C73" s="93" t="s">
        <v>1626</v>
      </c>
      <c r="D73" s="81" t="s">
        <v>398</v>
      </c>
      <c r="E73" s="81" t="s">
        <v>2014</v>
      </c>
      <c r="F73" s="157" t="s">
        <v>2574</v>
      </c>
      <c r="G73" s="93" t="s">
        <v>2996</v>
      </c>
      <c r="H73" s="93" t="s">
        <v>166</v>
      </c>
      <c r="I73" s="93" t="s">
        <v>3014</v>
      </c>
      <c r="J73" s="93" t="s">
        <v>3126</v>
      </c>
      <c r="K73" s="62" t="s">
        <v>1005</v>
      </c>
      <c r="L73" s="62" t="s">
        <v>1243</v>
      </c>
      <c r="M73" s="49" t="str">
        <f t="shared" si="8"/>
        <v>29/09/1994</v>
      </c>
      <c r="N73" s="50">
        <f t="shared" ca="1" si="6"/>
        <v>31</v>
      </c>
      <c r="O73" s="62" t="s">
        <v>988</v>
      </c>
      <c r="P73" s="62" t="s">
        <v>996</v>
      </c>
      <c r="Q73" s="62" t="s">
        <v>1098</v>
      </c>
      <c r="R73" s="62"/>
      <c r="S73" s="81" t="s">
        <v>2328</v>
      </c>
      <c r="T73" s="83" t="s">
        <v>2029</v>
      </c>
      <c r="U73" s="84">
        <v>46326</v>
      </c>
      <c r="V73" s="61" t="str">
        <f t="shared" si="7"/>
        <v>Faith Kanja Kamairuu</v>
      </c>
      <c r="X73" s="54">
        <f t="shared" si="9"/>
        <v>10</v>
      </c>
      <c r="Y73" s="54">
        <f t="shared" si="10"/>
        <v>8</v>
      </c>
      <c r="Z73" s="54" t="str">
        <f t="shared" si="11"/>
        <v>Mutuati Sub County Hospital</v>
      </c>
    </row>
    <row r="74" spans="1:26" ht="20.149999999999999" customHeight="1">
      <c r="B74" s="96" t="s">
        <v>2973</v>
      </c>
      <c r="C74" s="93" t="s">
        <v>1627</v>
      </c>
      <c r="D74" s="129" t="s">
        <v>908</v>
      </c>
      <c r="E74" s="129">
        <v>28357756</v>
      </c>
      <c r="F74" s="214" t="s">
        <v>2762</v>
      </c>
      <c r="G74" s="93" t="s">
        <v>2997</v>
      </c>
      <c r="H74" s="93" t="s">
        <v>800</v>
      </c>
      <c r="I74" s="93" t="s">
        <v>3026</v>
      </c>
      <c r="J74" s="93" t="s">
        <v>3071</v>
      </c>
      <c r="K74" s="62" t="s">
        <v>1036</v>
      </c>
      <c r="L74" s="62" t="s">
        <v>1390</v>
      </c>
      <c r="M74" s="126" t="str">
        <f t="shared" si="8"/>
        <v>22/08/1990</v>
      </c>
      <c r="N74" s="50">
        <f t="shared" ca="1" si="6"/>
        <v>35</v>
      </c>
      <c r="O74" s="62" t="s">
        <v>988</v>
      </c>
      <c r="P74" s="50" t="s">
        <v>2584</v>
      </c>
      <c r="Q74" s="50" t="s">
        <v>1170</v>
      </c>
      <c r="R74" s="62"/>
      <c r="S74" s="62" t="s">
        <v>2064</v>
      </c>
      <c r="T74" s="62" t="s">
        <v>2219</v>
      </c>
      <c r="U74" s="84">
        <v>46365</v>
      </c>
      <c r="V74" s="61" t="str">
        <f t="shared" si="7"/>
        <v>Joseph Munuve Makau</v>
      </c>
      <c r="X74" s="54">
        <f t="shared" si="9"/>
        <v>10</v>
      </c>
      <c r="Y74" s="54">
        <f t="shared" si="10"/>
        <v>8</v>
      </c>
      <c r="Z74" s="54" t="str">
        <f t="shared" si="11"/>
        <v>Chuka County Referral Hospital</v>
      </c>
    </row>
    <row r="75" spans="1:26" s="73" customFormat="1" ht="20.149999999999999" customHeight="1">
      <c r="A75" s="282"/>
      <c r="B75" s="224" t="s">
        <v>2422</v>
      </c>
      <c r="C75" s="154" t="s">
        <v>1626</v>
      </c>
      <c r="D75" s="113" t="s">
        <v>495</v>
      </c>
      <c r="E75" s="113">
        <v>28112556</v>
      </c>
      <c r="F75" s="223" t="s">
        <v>2661</v>
      </c>
      <c r="G75" s="154" t="s">
        <v>3001</v>
      </c>
      <c r="H75" s="154" t="s">
        <v>166</v>
      </c>
      <c r="I75" s="154" t="s">
        <v>3015</v>
      </c>
      <c r="J75" s="154" t="s">
        <v>3136</v>
      </c>
      <c r="K75" s="66" t="s">
        <v>1301</v>
      </c>
      <c r="L75" s="66" t="s">
        <v>1225</v>
      </c>
      <c r="M75" s="73" t="str">
        <f t="shared" si="8"/>
        <v>28/12/1988</v>
      </c>
      <c r="N75" s="71">
        <f t="shared" ca="1" si="6"/>
        <v>37</v>
      </c>
      <c r="O75" s="66" t="s">
        <v>988</v>
      </c>
      <c r="P75" s="66" t="s">
        <v>1579</v>
      </c>
      <c r="Q75" s="66" t="s">
        <v>1273</v>
      </c>
      <c r="R75" s="66"/>
      <c r="S75" s="66"/>
      <c r="T75" s="66"/>
      <c r="U75" s="66"/>
      <c r="V75" s="246">
        <v>46022</v>
      </c>
      <c r="X75" s="54">
        <f t="shared" si="9"/>
        <v>10</v>
      </c>
      <c r="Y75" s="54">
        <f t="shared" si="10"/>
        <v>8</v>
      </c>
      <c r="Z75" s="54" t="str">
        <f t="shared" si="11"/>
        <v xml:space="preserve">Gakoromone Dispensary </v>
      </c>
    </row>
    <row r="76" spans="1:26" ht="20.149999999999999" customHeight="1">
      <c r="B76" s="96" t="s">
        <v>2372</v>
      </c>
      <c r="C76" s="93" t="s">
        <v>1626</v>
      </c>
      <c r="D76" s="81" t="s">
        <v>183</v>
      </c>
      <c r="E76" s="81" t="s">
        <v>2088</v>
      </c>
      <c r="F76" s="157" t="s">
        <v>2662</v>
      </c>
      <c r="G76" s="93" t="s">
        <v>2994</v>
      </c>
      <c r="H76" s="93" t="s">
        <v>166</v>
      </c>
      <c r="I76" s="93" t="s">
        <v>3020</v>
      </c>
      <c r="J76" s="93" t="s">
        <v>3049</v>
      </c>
      <c r="K76" s="62" t="s">
        <v>1005</v>
      </c>
      <c r="L76" s="62" t="s">
        <v>2571</v>
      </c>
      <c r="M76" s="49" t="str">
        <f t="shared" si="8"/>
        <v>03/09/1993</v>
      </c>
      <c r="N76" s="50">
        <f t="shared" ca="1" si="6"/>
        <v>32</v>
      </c>
      <c r="O76" s="62" t="s">
        <v>988</v>
      </c>
      <c r="P76" s="62" t="s">
        <v>1319</v>
      </c>
      <c r="Q76" s="62" t="s">
        <v>3119</v>
      </c>
      <c r="R76" s="62" t="s">
        <v>1498</v>
      </c>
      <c r="S76" s="62"/>
      <c r="T76" s="62"/>
      <c r="U76" s="62"/>
      <c r="V76" s="61" t="str">
        <f t="shared" si="7"/>
        <v>Doreen Kagendo</v>
      </c>
      <c r="X76" s="54">
        <f t="shared" si="9"/>
        <v>10</v>
      </c>
      <c r="Y76" s="54">
        <f t="shared" si="10"/>
        <v>8</v>
      </c>
      <c r="Z76" s="54" t="str">
        <f t="shared" si="11"/>
        <v>St. Theresa Kirua</v>
      </c>
    </row>
    <row r="77" spans="1:26" ht="20.149999999999999" customHeight="1">
      <c r="B77" s="96" t="s">
        <v>2391</v>
      </c>
      <c r="C77" s="93" t="s">
        <v>1626</v>
      </c>
      <c r="D77" s="81" t="s">
        <v>187</v>
      </c>
      <c r="E77" s="81" t="s">
        <v>2089</v>
      </c>
      <c r="F77" s="157" t="s">
        <v>2663</v>
      </c>
      <c r="G77" s="93" t="s">
        <v>2994</v>
      </c>
      <c r="H77" s="93" t="s">
        <v>166</v>
      </c>
      <c r="I77" s="93" t="s">
        <v>3016</v>
      </c>
      <c r="J77" s="93" t="s">
        <v>3050</v>
      </c>
      <c r="K77" s="62" t="s">
        <v>1005</v>
      </c>
      <c r="L77" s="62" t="s">
        <v>1226</v>
      </c>
      <c r="M77" s="49" t="str">
        <f t="shared" si="8"/>
        <v>05/02/1990</v>
      </c>
      <c r="N77" s="50">
        <f t="shared" ca="1" si="6"/>
        <v>36</v>
      </c>
      <c r="O77" s="62" t="s">
        <v>988</v>
      </c>
      <c r="P77" s="62" t="s">
        <v>1500</v>
      </c>
      <c r="Q77" s="62" t="s">
        <v>3119</v>
      </c>
      <c r="R77" s="62" t="s">
        <v>1499</v>
      </c>
      <c r="S77" s="62"/>
      <c r="T77" s="62"/>
      <c r="U77" s="62"/>
      <c r="V77" s="61" t="str">
        <f t="shared" si="7"/>
        <v>Doreen Kawira Michubu</v>
      </c>
      <c r="X77" s="54">
        <f t="shared" si="9"/>
        <v>10</v>
      </c>
      <c r="Y77" s="54">
        <f t="shared" si="10"/>
        <v>8</v>
      </c>
      <c r="Z77" s="54" t="str">
        <f t="shared" si="11"/>
        <v>Kina Dispensary</v>
      </c>
    </row>
    <row r="78" spans="1:26" ht="20.149999999999999" customHeight="1">
      <c r="B78" s="96" t="s">
        <v>2403</v>
      </c>
      <c r="C78" s="93" t="s">
        <v>1626</v>
      </c>
      <c r="D78" s="81" t="s">
        <v>190</v>
      </c>
      <c r="E78" s="81" t="s">
        <v>2093</v>
      </c>
      <c r="F78" s="157" t="s">
        <v>2664</v>
      </c>
      <c r="G78" s="93" t="s">
        <v>2994</v>
      </c>
      <c r="H78" s="93" t="s">
        <v>166</v>
      </c>
      <c r="I78" s="93" t="s">
        <v>3015</v>
      </c>
      <c r="J78" s="93" t="s">
        <v>3137</v>
      </c>
      <c r="K78" s="62" t="s">
        <v>1005</v>
      </c>
      <c r="L78" s="62" t="s">
        <v>1228</v>
      </c>
      <c r="M78" s="49" t="str">
        <f t="shared" si="8"/>
        <v>30/04/1984</v>
      </c>
      <c r="N78" s="50">
        <f t="shared" ca="1" si="6"/>
        <v>42</v>
      </c>
      <c r="O78" s="62" t="s">
        <v>1010</v>
      </c>
      <c r="P78" s="62" t="s">
        <v>1230</v>
      </c>
      <c r="Q78" s="62" t="s">
        <v>1231</v>
      </c>
      <c r="R78" s="62" t="s">
        <v>1497</v>
      </c>
      <c r="S78" s="62"/>
      <c r="T78" s="62"/>
      <c r="U78" s="62"/>
      <c r="V78" s="61" t="str">
        <f t="shared" si="7"/>
        <v>Doreen Njura Guteta</v>
      </c>
      <c r="X78" s="54">
        <f t="shared" si="9"/>
        <v>10</v>
      </c>
      <c r="Y78" s="54">
        <f t="shared" si="10"/>
        <v>8</v>
      </c>
      <c r="Z78" s="54" t="str">
        <f t="shared" si="11"/>
        <v>Gakoromone Dispensary</v>
      </c>
    </row>
    <row r="79" spans="1:26" ht="20.149999999999999" customHeight="1">
      <c r="B79" s="96" t="s">
        <v>2416</v>
      </c>
      <c r="C79" s="93" t="s">
        <v>1626</v>
      </c>
      <c r="D79" s="81" t="s">
        <v>478</v>
      </c>
      <c r="E79" s="81">
        <v>30272559</v>
      </c>
      <c r="F79" s="157" t="s">
        <v>2572</v>
      </c>
      <c r="G79" s="93" t="s">
        <v>2998</v>
      </c>
      <c r="H79" s="93" t="s">
        <v>166</v>
      </c>
      <c r="I79" s="93" t="s">
        <v>3015</v>
      </c>
      <c r="J79" s="93" t="s">
        <v>3142</v>
      </c>
      <c r="K79" s="62" t="s">
        <v>1060</v>
      </c>
      <c r="L79" s="62" t="s">
        <v>1233</v>
      </c>
      <c r="M79" s="49" t="str">
        <f t="shared" si="8"/>
        <v>27/09/1993</v>
      </c>
      <c r="N79" s="50">
        <f t="shared" ca="1" si="6"/>
        <v>32</v>
      </c>
      <c r="O79" s="62" t="s">
        <v>998</v>
      </c>
      <c r="P79" s="62" t="s">
        <v>1232</v>
      </c>
      <c r="Q79" s="62" t="s">
        <v>1331</v>
      </c>
      <c r="R79" s="62"/>
      <c r="S79" s="81" t="s">
        <v>2109</v>
      </c>
      <c r="T79" s="81">
        <v>488343</v>
      </c>
      <c r="U79" s="84">
        <v>46142</v>
      </c>
      <c r="V79" s="61" t="str">
        <f t="shared" si="7"/>
        <v>Dorothy Ntinyari</v>
      </c>
      <c r="X79" s="54">
        <f t="shared" si="9"/>
        <v>10</v>
      </c>
      <c r="Y79" s="54">
        <f t="shared" si="10"/>
        <v>8</v>
      </c>
      <c r="Z79" s="54" t="str">
        <f t="shared" si="11"/>
        <v>Meru Teaching And Referral Hospital</v>
      </c>
    </row>
    <row r="80" spans="1:26" ht="20.149999999999999" customHeight="1">
      <c r="B80" s="96" t="s">
        <v>2380</v>
      </c>
      <c r="C80" s="93" t="s">
        <v>1626</v>
      </c>
      <c r="D80" s="81" t="s">
        <v>366</v>
      </c>
      <c r="E80" s="81" t="s">
        <v>2045</v>
      </c>
      <c r="F80" s="157" t="s">
        <v>2590</v>
      </c>
      <c r="G80" s="93" t="s">
        <v>2992</v>
      </c>
      <c r="H80" s="93" t="s">
        <v>166</v>
      </c>
      <c r="I80" s="93" t="s">
        <v>3014</v>
      </c>
      <c r="J80" s="93" t="s">
        <v>3120</v>
      </c>
      <c r="K80" s="62" t="s">
        <v>1005</v>
      </c>
      <c r="L80" s="62" t="s">
        <v>1234</v>
      </c>
      <c r="M80" s="49" t="str">
        <f t="shared" si="8"/>
        <v>01/01/1985</v>
      </c>
      <c r="N80" s="50">
        <f t="shared" ca="1" si="6"/>
        <v>41</v>
      </c>
      <c r="O80" s="62" t="s">
        <v>988</v>
      </c>
      <c r="P80" s="62" t="s">
        <v>983</v>
      </c>
      <c r="Q80" s="62" t="s">
        <v>989</v>
      </c>
      <c r="R80" s="62"/>
      <c r="S80" s="81" t="s">
        <v>3160</v>
      </c>
      <c r="T80" s="81" t="s">
        <v>2039</v>
      </c>
      <c r="U80" s="84">
        <v>46231</v>
      </c>
      <c r="V80" s="61" t="str">
        <f t="shared" si="7"/>
        <v>Dyna Muthoni</v>
      </c>
      <c r="X80" s="54">
        <f t="shared" si="9"/>
        <v>10</v>
      </c>
      <c r="Y80" s="54">
        <f t="shared" si="10"/>
        <v>8</v>
      </c>
      <c r="Z80" s="54" t="str">
        <f t="shared" si="11"/>
        <v>Nyambene Sub County Hospital</v>
      </c>
    </row>
    <row r="81" spans="2:26" ht="20.149999999999999" customHeight="1">
      <c r="B81" s="96" t="s">
        <v>2977</v>
      </c>
      <c r="C81" s="93" t="s">
        <v>1627</v>
      </c>
      <c r="D81" s="129" t="s">
        <v>810</v>
      </c>
      <c r="E81" s="125">
        <v>30395263</v>
      </c>
      <c r="F81" s="187" t="s">
        <v>2767</v>
      </c>
      <c r="G81" s="93" t="s">
        <v>2996</v>
      </c>
      <c r="H81" s="93" t="s">
        <v>800</v>
      </c>
      <c r="I81" s="93" t="s">
        <v>3025</v>
      </c>
      <c r="J81" s="93" t="s">
        <v>3075</v>
      </c>
      <c r="K81" s="62" t="s">
        <v>1396</v>
      </c>
      <c r="L81" s="62" t="s">
        <v>1565</v>
      </c>
      <c r="M81" s="126" t="str">
        <f t="shared" si="8"/>
        <v>01/07/1993</v>
      </c>
      <c r="N81" s="50">
        <f t="shared" ca="1" si="6"/>
        <v>33</v>
      </c>
      <c r="O81" s="62" t="s">
        <v>988</v>
      </c>
      <c r="P81" s="62" t="s">
        <v>2222</v>
      </c>
      <c r="Q81" s="50" t="s">
        <v>1284</v>
      </c>
      <c r="R81" s="62"/>
      <c r="S81" s="62" t="s">
        <v>2328</v>
      </c>
      <c r="T81" s="62"/>
      <c r="U81" s="62"/>
      <c r="V81" s="61" t="str">
        <f t="shared" si="7"/>
        <v>Martin Karani Murithi</v>
      </c>
      <c r="X81" s="54">
        <f t="shared" si="9"/>
        <v>10</v>
      </c>
      <c r="Y81" s="54">
        <f t="shared" si="10"/>
        <v>8</v>
      </c>
      <c r="Z81" s="54" t="str">
        <f t="shared" si="11"/>
        <v>Muthambi Health Centre</v>
      </c>
    </row>
    <row r="82" spans="2:26" ht="20.149999999999999" customHeight="1">
      <c r="B82" s="96" t="s">
        <v>2424</v>
      </c>
      <c r="C82" s="93" t="s">
        <v>1626</v>
      </c>
      <c r="D82" s="81" t="s">
        <v>196</v>
      </c>
      <c r="E82" s="81" t="s">
        <v>2103</v>
      </c>
      <c r="F82" s="157" t="s">
        <v>2665</v>
      </c>
      <c r="G82" s="93" t="s">
        <v>2994</v>
      </c>
      <c r="H82" s="93" t="s">
        <v>166</v>
      </c>
      <c r="I82" s="93" t="s">
        <v>3015</v>
      </c>
      <c r="J82" s="93" t="s">
        <v>3051</v>
      </c>
      <c r="K82" s="62" t="s">
        <v>1005</v>
      </c>
      <c r="L82" s="62" t="s">
        <v>1238</v>
      </c>
      <c r="M82" s="49" t="str">
        <f t="shared" si="8"/>
        <v>13/08/1988</v>
      </c>
      <c r="N82" s="50">
        <f t="shared" ca="1" si="6"/>
        <v>37</v>
      </c>
      <c r="O82" s="62" t="s">
        <v>988</v>
      </c>
      <c r="P82" s="62" t="s">
        <v>1239</v>
      </c>
      <c r="Q82" s="62" t="s">
        <v>989</v>
      </c>
      <c r="R82" s="62" t="s">
        <v>1218</v>
      </c>
      <c r="S82" s="62"/>
      <c r="T82" s="62"/>
      <c r="U82" s="62"/>
      <c r="V82" s="61" t="str">
        <f t="shared" si="7"/>
        <v>Eva Karimi Kimaita</v>
      </c>
      <c r="X82" s="54">
        <f t="shared" si="9"/>
        <v>10</v>
      </c>
      <c r="Y82" s="54">
        <f t="shared" si="10"/>
        <v>8</v>
      </c>
      <c r="Z82" s="54" t="str">
        <f t="shared" si="11"/>
        <v>Kinoru Health Centre</v>
      </c>
    </row>
    <row r="83" spans="2:26" ht="20.149999999999999" customHeight="1">
      <c r="B83" s="154" t="s">
        <v>2360</v>
      </c>
      <c r="C83" s="154" t="s">
        <v>1626</v>
      </c>
      <c r="D83" s="176" t="s">
        <v>2673</v>
      </c>
      <c r="E83" s="81">
        <v>31542086</v>
      </c>
      <c r="F83" s="158" t="s">
        <v>2674</v>
      </c>
      <c r="G83" s="154" t="s">
        <v>2994</v>
      </c>
      <c r="H83" s="154" t="s">
        <v>166</v>
      </c>
      <c r="I83" s="154" t="s">
        <v>3021</v>
      </c>
      <c r="J83" s="154" t="s">
        <v>3124</v>
      </c>
      <c r="K83" s="66" t="s">
        <v>1005</v>
      </c>
      <c r="L83" s="66" t="s">
        <v>1240</v>
      </c>
      <c r="M83" s="73" t="str">
        <f t="shared" si="8"/>
        <v>14/04/1993</v>
      </c>
      <c r="N83" s="50">
        <f t="shared" ca="1" si="6"/>
        <v>33</v>
      </c>
      <c r="O83" s="66" t="s">
        <v>988</v>
      </c>
      <c r="P83" s="66" t="s">
        <v>1241</v>
      </c>
      <c r="Q83" s="66" t="s">
        <v>1242</v>
      </c>
      <c r="R83" s="66" t="s">
        <v>1539</v>
      </c>
      <c r="S83" s="66"/>
      <c r="T83" s="66"/>
      <c r="U83" s="66"/>
      <c r="V83" s="61" t="str">
        <f t="shared" si="7"/>
        <v>Everline Nyatichi Nyagwoka</v>
      </c>
      <c r="X83" s="208">
        <f t="shared" si="9"/>
        <v>11</v>
      </c>
      <c r="Y83" s="54">
        <f t="shared" si="10"/>
        <v>8</v>
      </c>
      <c r="Z83" s="54" t="str">
        <f t="shared" si="11"/>
        <v>Githongo Sub County Hospital</v>
      </c>
    </row>
    <row r="84" spans="2:26" ht="20.149999999999999" customHeight="1">
      <c r="B84" s="96" t="s">
        <v>2418</v>
      </c>
      <c r="C84" s="93" t="s">
        <v>1626</v>
      </c>
      <c r="D84" s="81" t="s">
        <v>485</v>
      </c>
      <c r="E84" s="81">
        <v>28416206</v>
      </c>
      <c r="F84" s="157" t="s">
        <v>2593</v>
      </c>
      <c r="G84" s="93" t="s">
        <v>2995</v>
      </c>
      <c r="H84" s="93" t="s">
        <v>166</v>
      </c>
      <c r="I84" s="93" t="s">
        <v>3016</v>
      </c>
      <c r="J84" s="93" t="s">
        <v>3143</v>
      </c>
      <c r="K84" s="62" t="s">
        <v>1005</v>
      </c>
      <c r="L84" s="62" t="s">
        <v>1205</v>
      </c>
      <c r="M84" s="49" t="str">
        <f t="shared" si="8"/>
        <v>01/01/1988</v>
      </c>
      <c r="N84" s="50">
        <f t="shared" ref="N84:N114" ca="1" si="12">IF(M84="","",DATEDIF(M84,TODAY(),"Y"))</f>
        <v>38</v>
      </c>
      <c r="O84" s="62" t="s">
        <v>988</v>
      </c>
      <c r="P84" s="62" t="s">
        <v>996</v>
      </c>
      <c r="Q84" s="62" t="s">
        <v>1284</v>
      </c>
      <c r="R84" s="62"/>
      <c r="S84" s="81" t="s">
        <v>2328</v>
      </c>
      <c r="T84" s="83" t="s">
        <v>2032</v>
      </c>
      <c r="U84" s="84">
        <v>46326</v>
      </c>
      <c r="V84" s="61" t="str">
        <f t="shared" si="7"/>
        <v>Josphine Kananu</v>
      </c>
      <c r="X84" s="54">
        <f t="shared" si="9"/>
        <v>10</v>
      </c>
      <c r="Y84" s="54">
        <f t="shared" si="10"/>
        <v>8</v>
      </c>
      <c r="Z84" s="54" t="str">
        <f t="shared" si="11"/>
        <v>Kangeta Sub-County Hospital</v>
      </c>
    </row>
    <row r="85" spans="2:26" ht="20.149999999999999" customHeight="1">
      <c r="B85" s="96" t="s">
        <v>2376</v>
      </c>
      <c r="C85" s="93" t="s">
        <v>1626</v>
      </c>
      <c r="D85" s="81" t="s">
        <v>355</v>
      </c>
      <c r="E85" s="81" t="s">
        <v>2057</v>
      </c>
      <c r="F85" s="157" t="s">
        <v>2576</v>
      </c>
      <c r="G85" s="93" t="s">
        <v>3000</v>
      </c>
      <c r="H85" s="93" t="s">
        <v>166</v>
      </c>
      <c r="I85" s="93" t="s">
        <v>3017</v>
      </c>
      <c r="J85" s="93" t="s">
        <v>3123</v>
      </c>
      <c r="K85" s="62" t="s">
        <v>1005</v>
      </c>
      <c r="L85" s="62" t="s">
        <v>1244</v>
      </c>
      <c r="M85" s="49" t="str">
        <f t="shared" si="8"/>
        <v>03/08/1983</v>
      </c>
      <c r="N85" s="50">
        <f t="shared" ca="1" si="12"/>
        <v>42</v>
      </c>
      <c r="O85" s="62" t="s">
        <v>988</v>
      </c>
      <c r="P85" s="62" t="s">
        <v>1229</v>
      </c>
      <c r="Q85" s="62" t="s">
        <v>1245</v>
      </c>
      <c r="R85" s="62"/>
      <c r="S85" s="81" t="s">
        <v>2821</v>
      </c>
      <c r="T85" s="83" t="s">
        <v>2069</v>
      </c>
      <c r="U85" s="84">
        <v>46387</v>
      </c>
      <c r="V85" s="61" t="str">
        <f t="shared" si="7"/>
        <v>Faith Ncugune Kiambi</v>
      </c>
      <c r="X85" s="54">
        <f t="shared" si="9"/>
        <v>10</v>
      </c>
      <c r="Y85" s="54">
        <f t="shared" si="10"/>
        <v>8</v>
      </c>
      <c r="Z85" s="54" t="str">
        <f t="shared" si="11"/>
        <v>Kanyakine Sub County Hospital</v>
      </c>
    </row>
    <row r="86" spans="2:26" ht="20.149999999999999" customHeight="1">
      <c r="B86" s="96" t="s">
        <v>2978</v>
      </c>
      <c r="C86" s="93" t="s">
        <v>1627</v>
      </c>
      <c r="D86" s="129" t="s">
        <v>817</v>
      </c>
      <c r="E86" s="125">
        <v>25088589</v>
      </c>
      <c r="F86" s="187" t="s">
        <v>2768</v>
      </c>
      <c r="G86" s="93" t="s">
        <v>2992</v>
      </c>
      <c r="H86" s="93" t="s">
        <v>800</v>
      </c>
      <c r="I86" s="93" t="s">
        <v>3025</v>
      </c>
      <c r="J86" s="93" t="s">
        <v>3075</v>
      </c>
      <c r="K86" s="62" t="s">
        <v>1005</v>
      </c>
      <c r="L86" s="62" t="s">
        <v>1397</v>
      </c>
      <c r="M86" s="126" t="str">
        <f t="shared" si="8"/>
        <v>25/10/1983</v>
      </c>
      <c r="N86" s="50">
        <f t="shared" ca="1" si="12"/>
        <v>42</v>
      </c>
      <c r="O86" s="62" t="s">
        <v>988</v>
      </c>
      <c r="P86" s="62" t="s">
        <v>1388</v>
      </c>
      <c r="Q86" s="62" t="s">
        <v>989</v>
      </c>
      <c r="R86" s="62" t="s">
        <v>2769</v>
      </c>
      <c r="S86" s="81" t="s">
        <v>2066</v>
      </c>
      <c r="T86" s="130">
        <v>511301</v>
      </c>
      <c r="U86" s="84">
        <v>46281</v>
      </c>
      <c r="V86" s="61" t="str">
        <f t="shared" si="7"/>
        <v>Martin Mwiti Gitonga</v>
      </c>
      <c r="X86" s="54">
        <f t="shared" si="9"/>
        <v>10</v>
      </c>
      <c r="Y86" s="54">
        <f t="shared" si="10"/>
        <v>8</v>
      </c>
      <c r="Z86" s="54" t="str">
        <f t="shared" si="11"/>
        <v>Muthambi Health Centre</v>
      </c>
    </row>
    <row r="87" spans="2:26" ht="20.149999999999999" customHeight="1">
      <c r="B87" s="96" t="s">
        <v>2401</v>
      </c>
      <c r="C87" s="93" t="s">
        <v>1626</v>
      </c>
      <c r="D87" s="81" t="s">
        <v>418</v>
      </c>
      <c r="E87" s="81" t="s">
        <v>2092</v>
      </c>
      <c r="F87" s="157" t="s">
        <v>2577</v>
      </c>
      <c r="G87" s="93" t="s">
        <v>2994</v>
      </c>
      <c r="H87" s="93" t="s">
        <v>166</v>
      </c>
      <c r="I87" s="93" t="s">
        <v>3015</v>
      </c>
      <c r="J87" s="93" t="s">
        <v>3142</v>
      </c>
      <c r="K87" s="62" t="s">
        <v>1005</v>
      </c>
      <c r="L87" s="62" t="s">
        <v>1250</v>
      </c>
      <c r="M87" s="49" t="str">
        <f t="shared" si="8"/>
        <v>08/04/1996</v>
      </c>
      <c r="N87" s="50">
        <f t="shared" ca="1" si="12"/>
        <v>30</v>
      </c>
      <c r="O87" s="62" t="s">
        <v>988</v>
      </c>
      <c r="P87" s="62" t="s">
        <v>1184</v>
      </c>
      <c r="Q87" s="62" t="s">
        <v>3119</v>
      </c>
      <c r="R87" s="62" t="s">
        <v>1540</v>
      </c>
      <c r="S87" s="62"/>
      <c r="T87" s="62"/>
      <c r="U87" s="62"/>
      <c r="V87" s="61" t="str">
        <f t="shared" si="7"/>
        <v>Fridah Kendi</v>
      </c>
      <c r="X87" s="54">
        <f t="shared" si="9"/>
        <v>10</v>
      </c>
      <c r="Y87" s="54">
        <f t="shared" si="10"/>
        <v>8</v>
      </c>
      <c r="Z87" s="54" t="str">
        <f t="shared" si="11"/>
        <v>Meru Teaching And Referral Hospital</v>
      </c>
    </row>
    <row r="88" spans="2:26" ht="20.149999999999999" customHeight="1">
      <c r="B88" s="154" t="s">
        <v>2365</v>
      </c>
      <c r="C88" s="154" t="s">
        <v>1626</v>
      </c>
      <c r="D88" s="162" t="s">
        <v>203</v>
      </c>
      <c r="E88" s="50">
        <v>32560574</v>
      </c>
      <c r="F88" s="181" t="s">
        <v>2676</v>
      </c>
      <c r="G88" s="154" t="s">
        <v>2994</v>
      </c>
      <c r="H88" s="154" t="s">
        <v>166</v>
      </c>
      <c r="I88" s="154" t="s">
        <v>3014</v>
      </c>
      <c r="J88" s="154" t="s">
        <v>3125</v>
      </c>
      <c r="K88" s="66" t="s">
        <v>1005</v>
      </c>
      <c r="L88" s="66" t="s">
        <v>1249</v>
      </c>
      <c r="M88" s="73" t="str">
        <f t="shared" si="8"/>
        <v>21/09/1993</v>
      </c>
      <c r="N88" s="50">
        <f t="shared" ca="1" si="12"/>
        <v>32</v>
      </c>
      <c r="O88" s="66" t="s">
        <v>988</v>
      </c>
      <c r="P88" s="66" t="s">
        <v>1184</v>
      </c>
      <c r="Q88" s="66" t="s">
        <v>3119</v>
      </c>
      <c r="R88" s="66" t="s">
        <v>1501</v>
      </c>
      <c r="S88" s="66"/>
      <c r="T88" s="66"/>
      <c r="U88" s="66"/>
      <c r="V88" s="61" t="str">
        <f t="shared" si="7"/>
        <v>Fridah Kinya</v>
      </c>
      <c r="X88" s="54">
        <f t="shared" si="9"/>
        <v>10</v>
      </c>
      <c r="Y88" s="54">
        <f t="shared" si="10"/>
        <v>8</v>
      </c>
      <c r="Z88" s="54" t="str">
        <f t="shared" si="11"/>
        <v xml:space="preserve">Nyambene Sub County Hospital </v>
      </c>
    </row>
    <row r="89" spans="2:26" ht="20.149999999999999" customHeight="1">
      <c r="B89" s="96" t="s">
        <v>2337</v>
      </c>
      <c r="C89" s="93" t="s">
        <v>1626</v>
      </c>
      <c r="D89" s="81" t="s">
        <v>200</v>
      </c>
      <c r="E89" s="81" t="s">
        <v>2074</v>
      </c>
      <c r="F89" s="157" t="s">
        <v>2578</v>
      </c>
      <c r="G89" s="93" t="s">
        <v>2994</v>
      </c>
      <c r="H89" s="93" t="s">
        <v>166</v>
      </c>
      <c r="I89" s="93" t="s">
        <v>3022</v>
      </c>
      <c r="J89" s="93" t="s">
        <v>3126</v>
      </c>
      <c r="K89" s="62" t="s">
        <v>1005</v>
      </c>
      <c r="L89" s="62" t="s">
        <v>1248</v>
      </c>
      <c r="M89" s="49" t="str">
        <f t="shared" si="8"/>
        <v>01/01/1990</v>
      </c>
      <c r="N89" s="50">
        <f t="shared" ca="1" si="12"/>
        <v>36</v>
      </c>
      <c r="O89" s="62" t="s">
        <v>988</v>
      </c>
      <c r="P89" s="62" t="s">
        <v>1227</v>
      </c>
      <c r="Q89" s="62" t="s">
        <v>3119</v>
      </c>
      <c r="R89" s="62" t="s">
        <v>1502</v>
      </c>
      <c r="S89" s="62"/>
      <c r="T89" s="62"/>
      <c r="U89" s="62"/>
      <c r="V89" s="61" t="str">
        <f t="shared" si="7"/>
        <v>Fridah Makena</v>
      </c>
      <c r="X89" s="54">
        <f t="shared" si="9"/>
        <v>10</v>
      </c>
      <c r="Y89" s="54">
        <f t="shared" si="10"/>
        <v>8</v>
      </c>
      <c r="Z89" s="54" t="str">
        <f t="shared" si="11"/>
        <v>Mutuati Sub County Hospital</v>
      </c>
    </row>
    <row r="90" spans="2:26" ht="20.149999999999999" customHeight="1">
      <c r="B90" s="96" t="s">
        <v>2385</v>
      </c>
      <c r="C90" s="93" t="s">
        <v>1626</v>
      </c>
      <c r="D90" s="81" t="s">
        <v>374</v>
      </c>
      <c r="E90" s="81" t="s">
        <v>2047</v>
      </c>
      <c r="F90" s="157" t="s">
        <v>2579</v>
      </c>
      <c r="G90" s="93" t="s">
        <v>2992</v>
      </c>
      <c r="H90" s="93" t="s">
        <v>166</v>
      </c>
      <c r="I90" s="93" t="s">
        <v>3015</v>
      </c>
      <c r="J90" s="93" t="s">
        <v>3051</v>
      </c>
      <c r="K90" s="62" t="s">
        <v>1005</v>
      </c>
      <c r="L90" s="62" t="s">
        <v>1251</v>
      </c>
      <c r="M90" s="49" t="str">
        <f t="shared" si="8"/>
        <v>05/08/1994</v>
      </c>
      <c r="N90" s="50">
        <f t="shared" ca="1" si="12"/>
        <v>31</v>
      </c>
      <c r="O90" s="62" t="s">
        <v>988</v>
      </c>
      <c r="P90" s="62" t="s">
        <v>983</v>
      </c>
      <c r="Q90" s="62" t="s">
        <v>1098</v>
      </c>
      <c r="R90" s="62"/>
      <c r="S90" s="159" t="s">
        <v>3159</v>
      </c>
      <c r="T90" s="83">
        <v>8952</v>
      </c>
      <c r="U90" s="84">
        <v>46243</v>
      </c>
      <c r="V90" s="61" t="str">
        <f t="shared" si="7"/>
        <v>Fridah Naitore</v>
      </c>
      <c r="X90" s="54">
        <f t="shared" si="9"/>
        <v>10</v>
      </c>
      <c r="Y90" s="54">
        <f t="shared" si="10"/>
        <v>8</v>
      </c>
      <c r="Z90" s="54" t="str">
        <f t="shared" si="11"/>
        <v>Kinoru Health Centre</v>
      </c>
    </row>
    <row r="91" spans="2:26" ht="20.149999999999999" customHeight="1">
      <c r="B91" s="96" t="s">
        <v>2342</v>
      </c>
      <c r="C91" s="93" t="s">
        <v>1626</v>
      </c>
      <c r="D91" s="81" t="s">
        <v>207</v>
      </c>
      <c r="E91" s="81" t="s">
        <v>2075</v>
      </c>
      <c r="F91" s="157" t="s">
        <v>2580</v>
      </c>
      <c r="G91" s="93" t="s">
        <v>2994</v>
      </c>
      <c r="H91" s="93" t="s">
        <v>166</v>
      </c>
      <c r="I91" s="93" t="s">
        <v>3015</v>
      </c>
      <c r="J91" s="93" t="s">
        <v>3052</v>
      </c>
      <c r="K91" s="62" t="s">
        <v>1005</v>
      </c>
      <c r="L91" s="62" t="s">
        <v>1252</v>
      </c>
      <c r="M91" s="49" t="str">
        <f t="shared" si="8"/>
        <v>19/09/1988</v>
      </c>
      <c r="N91" s="50">
        <f t="shared" ca="1" si="12"/>
        <v>37</v>
      </c>
      <c r="O91" s="62" t="s">
        <v>988</v>
      </c>
      <c r="P91" s="62" t="s">
        <v>1253</v>
      </c>
      <c r="Q91" s="62" t="s">
        <v>989</v>
      </c>
      <c r="R91" s="62" t="s">
        <v>1539</v>
      </c>
      <c r="S91" s="62"/>
      <c r="T91" s="62"/>
      <c r="U91" s="62"/>
      <c r="V91" s="61" t="str">
        <f t="shared" si="7"/>
        <v>Fridah Wangari Githendu</v>
      </c>
      <c r="X91" s="54">
        <f t="shared" si="9"/>
        <v>10</v>
      </c>
      <c r="Y91" s="54">
        <f t="shared" si="10"/>
        <v>8</v>
      </c>
      <c r="Z91" s="54" t="str">
        <f t="shared" si="11"/>
        <v>Consolata Hospital, Gitoro</v>
      </c>
    </row>
    <row r="92" spans="2:26" ht="20.149999999999999" customHeight="1">
      <c r="B92" s="96" t="s">
        <v>2336</v>
      </c>
      <c r="C92" s="93" t="s">
        <v>1626</v>
      </c>
      <c r="D92" s="81" t="s">
        <v>168</v>
      </c>
      <c r="E92" s="81" t="s">
        <v>2072</v>
      </c>
      <c r="F92" s="157" t="s">
        <v>2581</v>
      </c>
      <c r="G92" s="93" t="s">
        <v>2994</v>
      </c>
      <c r="H92" s="93" t="s">
        <v>166</v>
      </c>
      <c r="I92" s="93" t="s">
        <v>3021</v>
      </c>
      <c r="J92" s="93" t="s">
        <v>3124</v>
      </c>
      <c r="K92" s="62" t="s">
        <v>1005</v>
      </c>
      <c r="L92" s="62" t="s">
        <v>1254</v>
      </c>
      <c r="M92" s="49" t="str">
        <f t="shared" si="8"/>
        <v>31/12/1986</v>
      </c>
      <c r="N92" s="50">
        <f t="shared" ca="1" si="12"/>
        <v>39</v>
      </c>
      <c r="O92" s="62" t="s">
        <v>988</v>
      </c>
      <c r="P92" s="62" t="s">
        <v>1255</v>
      </c>
      <c r="Q92" s="62" t="s">
        <v>1256</v>
      </c>
      <c r="R92" s="62" t="s">
        <v>1541</v>
      </c>
      <c r="S92" s="62"/>
      <c r="T92" s="62"/>
      <c r="U92" s="62"/>
      <c r="V92" s="61" t="str">
        <f t="shared" si="7"/>
        <v>Fridah Wanja</v>
      </c>
      <c r="X92" s="54">
        <f t="shared" si="9"/>
        <v>10</v>
      </c>
      <c r="Y92" s="54">
        <f t="shared" si="10"/>
        <v>8</v>
      </c>
      <c r="Z92" s="54" t="str">
        <f t="shared" si="11"/>
        <v>Githongo Sub County Hospital</v>
      </c>
    </row>
    <row r="93" spans="2:26" ht="20.149999999999999" customHeight="1">
      <c r="B93" s="96" t="s">
        <v>2345</v>
      </c>
      <c r="C93" s="93" t="s">
        <v>1626</v>
      </c>
      <c r="D93" s="81" t="s">
        <v>211</v>
      </c>
      <c r="E93" s="81" t="s">
        <v>2076</v>
      </c>
      <c r="F93" s="81" t="s">
        <v>2582</v>
      </c>
      <c r="G93" s="93" t="s">
        <v>2994</v>
      </c>
      <c r="H93" s="93" t="s">
        <v>166</v>
      </c>
      <c r="I93" s="93" t="s">
        <v>3017</v>
      </c>
      <c r="J93" s="93" t="s">
        <v>3047</v>
      </c>
      <c r="K93" s="62" t="s">
        <v>1005</v>
      </c>
      <c r="L93" s="62" t="s">
        <v>1257</v>
      </c>
      <c r="M93" s="49" t="str">
        <f t="shared" si="8"/>
        <v>10/09/1997</v>
      </c>
      <c r="N93" s="50">
        <f t="shared" ca="1" si="12"/>
        <v>28</v>
      </c>
      <c r="O93" s="62" t="s">
        <v>988</v>
      </c>
      <c r="P93" s="62" t="s">
        <v>1184</v>
      </c>
      <c r="Q93" s="62" t="s">
        <v>2331</v>
      </c>
      <c r="R93" s="62" t="s">
        <v>1539</v>
      </c>
      <c r="S93" s="62"/>
      <c r="T93" s="62"/>
      <c r="U93" s="62"/>
      <c r="V93" s="61" t="str">
        <f t="shared" si="7"/>
        <v xml:space="preserve">Gladys Makena Murea </v>
      </c>
      <c r="X93" s="54">
        <f t="shared" si="9"/>
        <v>10</v>
      </c>
      <c r="Y93" s="54">
        <f t="shared" si="10"/>
        <v>8</v>
      </c>
      <c r="Z93" s="54" t="str">
        <f t="shared" si="11"/>
        <v>Nkubu Gk Dispensary</v>
      </c>
    </row>
    <row r="94" spans="2:26" ht="20.149999999999999" customHeight="1">
      <c r="B94" s="96" t="s">
        <v>2430</v>
      </c>
      <c r="C94" s="93" t="s">
        <v>1626</v>
      </c>
      <c r="D94" s="81" t="s">
        <v>525</v>
      </c>
      <c r="E94" s="81">
        <v>32004865</v>
      </c>
      <c r="F94" s="157" t="s">
        <v>2583</v>
      </c>
      <c r="G94" s="93" t="s">
        <v>3298</v>
      </c>
      <c r="H94" s="93" t="s">
        <v>166</v>
      </c>
      <c r="I94" s="93" t="s">
        <v>3015</v>
      </c>
      <c r="J94" s="93" t="s">
        <v>3142</v>
      </c>
      <c r="K94" s="62" t="s">
        <v>1036</v>
      </c>
      <c r="L94" s="62" t="s">
        <v>1258</v>
      </c>
      <c r="M94" s="49" t="str">
        <f t="shared" si="8"/>
        <v>07/12/1993</v>
      </c>
      <c r="N94" s="50">
        <f t="shared" ca="1" si="12"/>
        <v>32</v>
      </c>
      <c r="O94" s="62" t="s">
        <v>988</v>
      </c>
      <c r="P94" s="62" t="s">
        <v>2584</v>
      </c>
      <c r="Q94" s="62" t="s">
        <v>1057</v>
      </c>
      <c r="R94" s="62"/>
      <c r="S94" s="81" t="s">
        <v>2108</v>
      </c>
      <c r="T94" s="83" t="s">
        <v>2071</v>
      </c>
      <c r="U94" s="84">
        <v>46387</v>
      </c>
      <c r="V94" s="61" t="str">
        <f t="shared" si="7"/>
        <v>Gloria Mukami Njue</v>
      </c>
      <c r="X94" s="54">
        <f t="shared" si="9"/>
        <v>10</v>
      </c>
      <c r="Y94" s="54">
        <f t="shared" si="10"/>
        <v>8</v>
      </c>
      <c r="Z94" s="54" t="str">
        <f t="shared" si="11"/>
        <v>Meru Teaching And Referral Hospital</v>
      </c>
    </row>
    <row r="95" spans="2:26" ht="20.149999999999999" customHeight="1">
      <c r="B95" s="96" t="s">
        <v>2986</v>
      </c>
      <c r="C95" s="93" t="s">
        <v>1627</v>
      </c>
      <c r="D95" s="129" t="s">
        <v>864</v>
      </c>
      <c r="E95" s="125">
        <v>14701671</v>
      </c>
      <c r="F95" s="187" t="s">
        <v>2778</v>
      </c>
      <c r="G95" s="93" t="s">
        <v>2994</v>
      </c>
      <c r="H95" s="93" t="s">
        <v>800</v>
      </c>
      <c r="I95" s="93" t="s">
        <v>3026</v>
      </c>
      <c r="J95" s="93" t="s">
        <v>3141</v>
      </c>
      <c r="K95" s="62" t="s">
        <v>1005</v>
      </c>
      <c r="L95" s="62" t="s">
        <v>1412</v>
      </c>
      <c r="M95" s="126" t="str">
        <f t="shared" si="8"/>
        <v>12/04/1977</v>
      </c>
      <c r="N95" s="50">
        <f t="shared" ca="1" si="12"/>
        <v>49</v>
      </c>
      <c r="O95" s="62" t="s">
        <v>1188</v>
      </c>
      <c r="P95" s="62" t="s">
        <v>2779</v>
      </c>
      <c r="Q95" s="62" t="s">
        <v>2780</v>
      </c>
      <c r="R95" s="62" t="s">
        <v>1411</v>
      </c>
      <c r="S95" s="81"/>
      <c r="T95" s="83"/>
      <c r="U95" s="66"/>
      <c r="V95" s="153">
        <v>45869</v>
      </c>
      <c r="X95" s="54">
        <f t="shared" si="9"/>
        <v>10</v>
      </c>
      <c r="Y95" s="54">
        <f t="shared" si="10"/>
        <v>8</v>
      </c>
      <c r="Z95" s="54" t="str">
        <f t="shared" si="11"/>
        <v>Kaanwa Dispensaryensary</v>
      </c>
    </row>
    <row r="96" spans="2:26" ht="20.149999999999999" customHeight="1">
      <c r="B96" s="154" t="s">
        <v>2374</v>
      </c>
      <c r="C96" s="154" t="s">
        <v>1626</v>
      </c>
      <c r="D96" s="176" t="s">
        <v>456</v>
      </c>
      <c r="E96" s="81">
        <v>30441455</v>
      </c>
      <c r="F96" s="158" t="s">
        <v>2675</v>
      </c>
      <c r="G96" s="154" t="s">
        <v>2994</v>
      </c>
      <c r="H96" s="154" t="s">
        <v>166</v>
      </c>
      <c r="I96" s="154" t="s">
        <v>3023</v>
      </c>
      <c r="J96" s="154" t="s">
        <v>3127</v>
      </c>
      <c r="K96" s="66" t="s">
        <v>1005</v>
      </c>
      <c r="L96" s="66" t="s">
        <v>1261</v>
      </c>
      <c r="M96" s="73" t="str">
        <f t="shared" si="8"/>
        <v>02/05/1993</v>
      </c>
      <c r="N96" s="50">
        <f t="shared" ca="1" si="12"/>
        <v>33</v>
      </c>
      <c r="O96" s="66" t="s">
        <v>988</v>
      </c>
      <c r="P96" s="66" t="s">
        <v>1260</v>
      </c>
      <c r="Q96" s="66" t="s">
        <v>1155</v>
      </c>
      <c r="R96" s="66" t="s">
        <v>1540</v>
      </c>
      <c r="S96" s="66"/>
      <c r="T96" s="66"/>
      <c r="U96" s="66"/>
      <c r="V96" s="61" t="str">
        <f t="shared" si="7"/>
        <v>Grace Kinya</v>
      </c>
      <c r="X96" s="54">
        <f t="shared" si="9"/>
        <v>10</v>
      </c>
      <c r="Y96" s="54">
        <f t="shared" si="10"/>
        <v>8</v>
      </c>
      <c r="Z96" s="54" t="str">
        <f t="shared" si="11"/>
        <v>Mikinduri Sub County Hospital</v>
      </c>
    </row>
    <row r="97" spans="1:26" ht="20.149999999999999" customHeight="1">
      <c r="B97" s="96" t="s">
        <v>2346</v>
      </c>
      <c r="C97" s="93" t="s">
        <v>1626</v>
      </c>
      <c r="D97" s="81" t="s">
        <v>214</v>
      </c>
      <c r="E97" s="81" t="s">
        <v>2077</v>
      </c>
      <c r="F97" s="157" t="s">
        <v>2586</v>
      </c>
      <c r="G97" s="93" t="s">
        <v>2994</v>
      </c>
      <c r="H97" s="93" t="s">
        <v>166</v>
      </c>
      <c r="I97" s="93" t="s">
        <v>3015</v>
      </c>
      <c r="J97" s="93" t="s">
        <v>3128</v>
      </c>
      <c r="K97" s="62" t="s">
        <v>1005</v>
      </c>
      <c r="L97" s="62" t="s">
        <v>1262</v>
      </c>
      <c r="M97" s="49" t="str">
        <f t="shared" ref="M97:M116" si="13">IF(L97="","",TEXT(DATEVALUE(SUBSTITUTE(SUBSTITUTE(SUBSTITUTE(SUBSTITUTE(SUBSTITUTE(L97,"st",""),"nd",""),"rd",""),"th",""),"TH","")),"dd/mm/yyyy"))</f>
        <v>12/12/1990</v>
      </c>
      <c r="N97" s="50">
        <f t="shared" ca="1" si="12"/>
        <v>35</v>
      </c>
      <c r="O97" s="62" t="s">
        <v>1010</v>
      </c>
      <c r="P97" s="62" t="s">
        <v>1539</v>
      </c>
      <c r="Q97" s="62"/>
      <c r="R97" s="62"/>
      <c r="S97" s="62"/>
      <c r="T97" s="62"/>
      <c r="U97" s="62"/>
      <c r="V97" s="61" t="str">
        <f t="shared" si="7"/>
        <v>Halima Abdi Hassan</v>
      </c>
      <c r="X97" s="54">
        <f t="shared" si="9"/>
        <v>10</v>
      </c>
      <c r="Y97" s="54">
        <f t="shared" si="10"/>
        <v>8</v>
      </c>
      <c r="Z97" s="54" t="str">
        <f t="shared" si="11"/>
        <v>Giaki Sub County Hospital</v>
      </c>
    </row>
    <row r="98" spans="1:26" ht="20.149999999999999" customHeight="1">
      <c r="B98" s="96" t="s">
        <v>2426</v>
      </c>
      <c r="C98" s="93" t="s">
        <v>1626</v>
      </c>
      <c r="D98" s="81" t="s">
        <v>509</v>
      </c>
      <c r="E98" s="81">
        <v>29121758</v>
      </c>
      <c r="F98" s="157" t="s">
        <v>2587</v>
      </c>
      <c r="G98" s="93" t="s">
        <v>2998</v>
      </c>
      <c r="H98" s="93" t="s">
        <v>166</v>
      </c>
      <c r="I98" s="93" t="s">
        <v>3024</v>
      </c>
      <c r="J98" s="93" t="s">
        <v>3129</v>
      </c>
      <c r="K98" s="62" t="s">
        <v>1263</v>
      </c>
      <c r="L98" s="62" t="s">
        <v>1264</v>
      </c>
      <c r="M98" s="49" t="str">
        <f t="shared" si="13"/>
        <v>20/02/1992</v>
      </c>
      <c r="N98" s="50">
        <f t="shared" ca="1" si="12"/>
        <v>34</v>
      </c>
      <c r="O98" s="62" t="s">
        <v>988</v>
      </c>
      <c r="P98" s="62" t="s">
        <v>2121</v>
      </c>
      <c r="Q98" s="62" t="s">
        <v>3130</v>
      </c>
      <c r="R98" s="62"/>
      <c r="S98" s="81" t="s">
        <v>2109</v>
      </c>
      <c r="T98" s="83">
        <v>513463</v>
      </c>
      <c r="U98" s="84">
        <v>46265</v>
      </c>
      <c r="V98" s="61" t="str">
        <f t="shared" si="7"/>
        <v>Immaculate Njeri Mwangi</v>
      </c>
      <c r="X98" s="54">
        <f t="shared" si="9"/>
        <v>10</v>
      </c>
      <c r="Y98" s="54">
        <f t="shared" si="10"/>
        <v>8</v>
      </c>
      <c r="Z98" s="54" t="str">
        <f t="shared" si="11"/>
        <v>Mbeu Sub County Hospital</v>
      </c>
    </row>
    <row r="99" spans="1:26" ht="20.149999999999999" customHeight="1">
      <c r="B99" s="96" t="s">
        <v>2588</v>
      </c>
      <c r="C99" s="93" t="s">
        <v>1626</v>
      </c>
      <c r="D99" s="81" t="s">
        <v>172</v>
      </c>
      <c r="E99" s="81">
        <v>23866645</v>
      </c>
      <c r="F99" s="157" t="s">
        <v>2632</v>
      </c>
      <c r="G99" s="93" t="s">
        <v>2994</v>
      </c>
      <c r="H99" s="93" t="s">
        <v>166</v>
      </c>
      <c r="I99" s="93" t="s">
        <v>3014</v>
      </c>
      <c r="J99" s="93" t="s">
        <v>3120</v>
      </c>
      <c r="K99" s="62" t="s">
        <v>1005</v>
      </c>
      <c r="L99" s="62" t="s">
        <v>2633</v>
      </c>
      <c r="M99" s="49" t="str">
        <f t="shared" si="13"/>
        <v>04/12/1984</v>
      </c>
      <c r="N99" s="50">
        <f t="shared" ca="1" si="12"/>
        <v>41</v>
      </c>
      <c r="O99" s="62" t="s">
        <v>988</v>
      </c>
      <c r="P99" s="62" t="s">
        <v>1266</v>
      </c>
      <c r="Q99" s="62" t="s">
        <v>1267</v>
      </c>
      <c r="R99" s="62" t="s">
        <v>1539</v>
      </c>
      <c r="S99" s="62"/>
      <c r="T99" s="62"/>
      <c r="U99" s="62"/>
      <c r="V99" s="61" t="str">
        <f t="shared" si="7"/>
        <v xml:space="preserve">Ruth Philip Inokobia </v>
      </c>
      <c r="X99" s="54">
        <f t="shared" si="9"/>
        <v>10</v>
      </c>
      <c r="Y99" s="54">
        <f t="shared" si="10"/>
        <v>8</v>
      </c>
      <c r="Z99" s="54" t="str">
        <f t="shared" si="11"/>
        <v>Nyambene Sub County Hospital</v>
      </c>
    </row>
    <row r="100" spans="1:26" ht="20.149999999999999" customHeight="1">
      <c r="B100" s="154" t="s">
        <v>2379</v>
      </c>
      <c r="C100" s="154" t="s">
        <v>1626</v>
      </c>
      <c r="D100" s="176" t="s">
        <v>218</v>
      </c>
      <c r="E100" s="81">
        <v>27415726</v>
      </c>
      <c r="F100" s="158" t="s">
        <v>2677</v>
      </c>
      <c r="G100" s="154" t="s">
        <v>2994</v>
      </c>
      <c r="H100" s="154" t="s">
        <v>166</v>
      </c>
      <c r="I100" s="154" t="s">
        <v>3016</v>
      </c>
      <c r="J100" s="154" t="s">
        <v>3143</v>
      </c>
      <c r="K100" s="66" t="s">
        <v>1005</v>
      </c>
      <c r="L100" s="66" t="s">
        <v>1205</v>
      </c>
      <c r="M100" s="73" t="str">
        <f t="shared" si="13"/>
        <v>01/01/1988</v>
      </c>
      <c r="N100" s="71">
        <f t="shared" ca="1" si="12"/>
        <v>38</v>
      </c>
      <c r="O100" s="66" t="s">
        <v>1010</v>
      </c>
      <c r="P100" s="66" t="s">
        <v>1542</v>
      </c>
      <c r="Q100" s="66"/>
      <c r="R100" s="66" t="s">
        <v>1539</v>
      </c>
      <c r="S100" s="66"/>
      <c r="T100" s="66"/>
      <c r="U100" s="66"/>
      <c r="V100" s="61" t="str">
        <f t="shared" si="7"/>
        <v>Jacinta Kanario Mpekethu</v>
      </c>
      <c r="X100" s="54">
        <f t="shared" si="9"/>
        <v>10</v>
      </c>
      <c r="Y100" s="54">
        <f t="shared" si="10"/>
        <v>8</v>
      </c>
      <c r="Z100" s="54" t="str">
        <f t="shared" si="11"/>
        <v>Kangeta Sub-County Hospital</v>
      </c>
    </row>
    <row r="101" spans="1:26" ht="20.149999999999999" customHeight="1">
      <c r="B101" s="96" t="s">
        <v>2389</v>
      </c>
      <c r="C101" s="93" t="s">
        <v>1626</v>
      </c>
      <c r="D101" s="81" t="s">
        <v>382</v>
      </c>
      <c r="E101" s="81" t="s">
        <v>2048</v>
      </c>
      <c r="F101" s="157" t="s">
        <v>2589</v>
      </c>
      <c r="G101" s="93" t="s">
        <v>2992</v>
      </c>
      <c r="H101" s="93" t="s">
        <v>166</v>
      </c>
      <c r="I101" s="93" t="s">
        <v>3016</v>
      </c>
      <c r="J101" s="93" t="s">
        <v>3143</v>
      </c>
      <c r="K101" s="62" t="s">
        <v>1005</v>
      </c>
      <c r="L101" s="62" t="s">
        <v>1553</v>
      </c>
      <c r="M101" s="49" t="str">
        <f t="shared" si="13"/>
        <v>03/10/1990</v>
      </c>
      <c r="N101" s="50">
        <f t="shared" ca="1" si="12"/>
        <v>35</v>
      </c>
      <c r="O101" s="62" t="s">
        <v>988</v>
      </c>
      <c r="P101" s="62" t="s">
        <v>983</v>
      </c>
      <c r="Q101" s="62" t="s">
        <v>1125</v>
      </c>
      <c r="R101" s="62"/>
      <c r="S101" s="81" t="s">
        <v>3160</v>
      </c>
      <c r="T101" s="81" t="s">
        <v>3303</v>
      </c>
      <c r="U101" s="84">
        <v>46231</v>
      </c>
      <c r="V101" s="61" t="str">
        <f t="shared" si="7"/>
        <v>Jackline Gatwiri Kimencu</v>
      </c>
      <c r="X101" s="54">
        <f t="shared" si="9"/>
        <v>10</v>
      </c>
      <c r="Y101" s="54">
        <f t="shared" si="10"/>
        <v>8</v>
      </c>
      <c r="Z101" s="54" t="str">
        <f t="shared" si="11"/>
        <v>Kangeta Sub-County Hospital</v>
      </c>
    </row>
    <row r="102" spans="1:26" ht="20.149999999999999" customHeight="1">
      <c r="B102" s="154" t="s">
        <v>2381</v>
      </c>
      <c r="C102" s="154" t="s">
        <v>1626</v>
      </c>
      <c r="D102" s="176" t="s">
        <v>221</v>
      </c>
      <c r="E102" s="81">
        <v>26486770</v>
      </c>
      <c r="F102" s="158" t="s">
        <v>2678</v>
      </c>
      <c r="G102" s="154" t="s">
        <v>2994</v>
      </c>
      <c r="H102" s="154" t="s">
        <v>166</v>
      </c>
      <c r="I102" s="154" t="s">
        <v>3015</v>
      </c>
      <c r="J102" s="154" t="s">
        <v>3142</v>
      </c>
      <c r="K102" s="66" t="s">
        <v>1005</v>
      </c>
      <c r="L102" s="66" t="s">
        <v>1268</v>
      </c>
      <c r="M102" s="73" t="str">
        <f t="shared" si="13"/>
        <v>20/02/1986</v>
      </c>
      <c r="N102" s="50">
        <f t="shared" ca="1" si="12"/>
        <v>40</v>
      </c>
      <c r="O102" s="66" t="s">
        <v>988</v>
      </c>
      <c r="P102" s="66" t="s">
        <v>1002</v>
      </c>
      <c r="Q102" s="66" t="s">
        <v>1269</v>
      </c>
      <c r="R102" s="66"/>
      <c r="S102" s="81"/>
      <c r="T102" s="81"/>
      <c r="U102" s="84"/>
      <c r="V102" s="61" t="str">
        <f t="shared" si="7"/>
        <v xml:space="preserve">Jackline Jerotich Cheptum </v>
      </c>
      <c r="X102" s="54">
        <f t="shared" si="9"/>
        <v>10</v>
      </c>
      <c r="Y102" s="54">
        <f t="shared" si="10"/>
        <v>8</v>
      </c>
      <c r="Z102" s="54" t="str">
        <f t="shared" si="11"/>
        <v>Meru Teaching And Referral Hospital</v>
      </c>
    </row>
    <row r="103" spans="1:26" ht="20.149999999999999" customHeight="1">
      <c r="B103" s="96" t="s">
        <v>2989</v>
      </c>
      <c r="C103" s="93" t="s">
        <v>1627</v>
      </c>
      <c r="D103" s="129" t="s">
        <v>829</v>
      </c>
      <c r="E103" s="125">
        <v>32667875</v>
      </c>
      <c r="F103" s="187" t="s">
        <v>2782</v>
      </c>
      <c r="G103" s="93" t="s">
        <v>2992</v>
      </c>
      <c r="H103" s="93" t="s">
        <v>800</v>
      </c>
      <c r="I103" s="93" t="s">
        <v>3027</v>
      </c>
      <c r="J103" s="93" t="s">
        <v>3079</v>
      </c>
      <c r="K103" s="62" t="s">
        <v>1005</v>
      </c>
      <c r="L103" s="62" t="s">
        <v>1165</v>
      </c>
      <c r="M103" s="126" t="str">
        <f t="shared" si="13"/>
        <v>20/01/1996</v>
      </c>
      <c r="N103" s="50">
        <f t="shared" ca="1" si="12"/>
        <v>30</v>
      </c>
      <c r="O103" s="62" t="s">
        <v>988</v>
      </c>
      <c r="P103" s="62" t="s">
        <v>1388</v>
      </c>
      <c r="Q103" s="62" t="s">
        <v>1592</v>
      </c>
      <c r="R103" s="62" t="s">
        <v>2783</v>
      </c>
      <c r="S103" s="81" t="s">
        <v>2330</v>
      </c>
      <c r="T103" s="81" t="s">
        <v>2475</v>
      </c>
      <c r="U103" s="84">
        <v>46350</v>
      </c>
      <c r="V103" s="61" t="str">
        <f t="shared" si="7"/>
        <v>Wilfred Murithi</v>
      </c>
      <c r="X103" s="54">
        <f t="shared" si="9"/>
        <v>10</v>
      </c>
      <c r="Y103" s="54">
        <f t="shared" si="10"/>
        <v>8</v>
      </c>
      <c r="Z103" s="54" t="str">
        <f t="shared" si="11"/>
        <v>Kibunga Sub District Hospital</v>
      </c>
    </row>
    <row r="104" spans="1:26" ht="20.149999999999999" customHeight="1">
      <c r="B104" s="96" t="s">
        <v>2347</v>
      </c>
      <c r="C104" s="93" t="s">
        <v>1626</v>
      </c>
      <c r="D104" s="81" t="s">
        <v>224</v>
      </c>
      <c r="E104" s="81">
        <v>13620905</v>
      </c>
      <c r="F104" s="157" t="s">
        <v>2591</v>
      </c>
      <c r="G104" s="93" t="s">
        <v>2994</v>
      </c>
      <c r="H104" s="93" t="s">
        <v>166</v>
      </c>
      <c r="I104" s="93" t="s">
        <v>3015</v>
      </c>
      <c r="J104" s="93" t="s">
        <v>3142</v>
      </c>
      <c r="K104" s="62" t="s">
        <v>1005</v>
      </c>
      <c r="L104" s="62" t="s">
        <v>1272</v>
      </c>
      <c r="M104" s="49" t="str">
        <f t="shared" si="13"/>
        <v>11/07/1975</v>
      </c>
      <c r="N104" s="50">
        <f t="shared" ca="1" si="12"/>
        <v>51</v>
      </c>
      <c r="O104" s="62" t="s">
        <v>988</v>
      </c>
      <c r="P104" s="62" t="s">
        <v>1002</v>
      </c>
      <c r="Q104" s="62" t="s">
        <v>1273</v>
      </c>
      <c r="R104" s="62" t="s">
        <v>1540</v>
      </c>
      <c r="S104" s="62"/>
      <c r="T104" s="62"/>
      <c r="U104" s="62"/>
      <c r="V104" s="61" t="str">
        <f t="shared" si="7"/>
        <v>Jane Mukwanjeru</v>
      </c>
      <c r="X104" s="54">
        <f t="shared" si="9"/>
        <v>10</v>
      </c>
      <c r="Y104" s="54">
        <f t="shared" si="10"/>
        <v>8</v>
      </c>
      <c r="Z104" s="54" t="str">
        <f t="shared" si="11"/>
        <v>Meru Teaching And Referral Hospital</v>
      </c>
    </row>
    <row r="105" spans="1:26" ht="20.149999999999999" customHeight="1">
      <c r="B105" s="154" t="s">
        <v>2384</v>
      </c>
      <c r="C105" s="154" t="s">
        <v>1626</v>
      </c>
      <c r="D105" s="176" t="s">
        <v>228</v>
      </c>
      <c r="E105" s="81">
        <v>14648413</v>
      </c>
      <c r="F105" s="158" t="s">
        <v>2680</v>
      </c>
      <c r="G105" s="154" t="s">
        <v>2994</v>
      </c>
      <c r="H105" s="154" t="s">
        <v>166</v>
      </c>
      <c r="I105" s="154" t="s">
        <v>3018</v>
      </c>
      <c r="J105" s="154" t="s">
        <v>3053</v>
      </c>
      <c r="K105" s="66" t="s">
        <v>1005</v>
      </c>
      <c r="L105" s="66" t="s">
        <v>1274</v>
      </c>
      <c r="M105" s="73" t="str">
        <f t="shared" si="13"/>
        <v>31/12/1972</v>
      </c>
      <c r="N105" s="50">
        <f t="shared" ca="1" si="12"/>
        <v>53</v>
      </c>
      <c r="O105" s="66" t="s">
        <v>988</v>
      </c>
      <c r="P105" s="66" t="s">
        <v>1002</v>
      </c>
      <c r="Q105" s="66"/>
      <c r="R105" s="66" t="s">
        <v>1539</v>
      </c>
      <c r="S105" s="66"/>
      <c r="T105" s="66"/>
      <c r="U105" s="66"/>
      <c r="V105" s="61" t="str">
        <f t="shared" si="7"/>
        <v>Jeniffer Mwihaki Migwi</v>
      </c>
      <c r="X105" s="54">
        <f t="shared" si="9"/>
        <v>10</v>
      </c>
      <c r="Y105" s="54">
        <f t="shared" si="10"/>
        <v>8</v>
      </c>
      <c r="Z105" s="54" t="str">
        <f t="shared" si="11"/>
        <v xml:space="preserve">St. John Of God </v>
      </c>
    </row>
    <row r="106" spans="1:26" ht="20.149999999999999" customHeight="1">
      <c r="B106" s="96" t="s">
        <v>2359</v>
      </c>
      <c r="C106" s="93" t="s">
        <v>1626</v>
      </c>
      <c r="D106" s="81" t="s">
        <v>291</v>
      </c>
      <c r="E106" s="81" t="s">
        <v>2107</v>
      </c>
      <c r="F106" s="157" t="s">
        <v>2592</v>
      </c>
      <c r="G106" s="93" t="s">
        <v>2994</v>
      </c>
      <c r="H106" s="93" t="s">
        <v>166</v>
      </c>
      <c r="I106" s="93" t="s">
        <v>3017</v>
      </c>
      <c r="J106" s="93" t="s">
        <v>3094</v>
      </c>
      <c r="K106" s="62" t="s">
        <v>1005</v>
      </c>
      <c r="L106" s="62" t="s">
        <v>1554</v>
      </c>
      <c r="M106" s="49" t="str">
        <f t="shared" si="13"/>
        <v>01/01/1986</v>
      </c>
      <c r="N106" s="50">
        <f t="shared" ca="1" si="12"/>
        <v>40</v>
      </c>
      <c r="O106" s="62" t="s">
        <v>988</v>
      </c>
      <c r="P106" s="62" t="s">
        <v>1167</v>
      </c>
      <c r="Q106" s="62" t="s">
        <v>1275</v>
      </c>
      <c r="R106" s="62" t="s">
        <v>1539</v>
      </c>
      <c r="S106" s="62"/>
      <c r="T106" s="62"/>
      <c r="U106" s="62"/>
      <c r="V106" s="61" t="str">
        <f t="shared" si="7"/>
        <v>Josephine Kathure Kithinji</v>
      </c>
      <c r="X106" s="54">
        <f t="shared" si="9"/>
        <v>10</v>
      </c>
      <c r="Y106" s="54">
        <f t="shared" si="10"/>
        <v>8</v>
      </c>
      <c r="Z106" s="54" t="str">
        <f t="shared" si="11"/>
        <v>Mitunguu Health Centre</v>
      </c>
    </row>
    <row r="107" spans="1:26" s="73" customFormat="1" ht="20.149999999999999" customHeight="1">
      <c r="A107" s="282"/>
      <c r="B107" s="224" t="s">
        <v>2434</v>
      </c>
      <c r="C107" s="154" t="s">
        <v>1626</v>
      </c>
      <c r="D107" s="336" t="s">
        <v>2334</v>
      </c>
      <c r="E107" s="248">
        <v>33897067</v>
      </c>
      <c r="F107" s="337" t="s">
        <v>3080</v>
      </c>
      <c r="G107" s="107" t="s">
        <v>2996</v>
      </c>
      <c r="H107" s="107" t="s">
        <v>166</v>
      </c>
      <c r="I107" s="107" t="s">
        <v>3018</v>
      </c>
      <c r="J107" s="338" t="s">
        <v>3056</v>
      </c>
      <c r="K107" s="66" t="s">
        <v>1519</v>
      </c>
      <c r="L107" s="66" t="s">
        <v>1573</v>
      </c>
      <c r="M107" s="73" t="str">
        <f t="shared" si="13"/>
        <v>22/09/1997</v>
      </c>
      <c r="N107" s="71">
        <f t="shared" ca="1" si="12"/>
        <v>28</v>
      </c>
      <c r="O107" s="66" t="s">
        <v>988</v>
      </c>
      <c r="P107" s="66" t="s">
        <v>1516</v>
      </c>
      <c r="Q107" s="66" t="s">
        <v>1170</v>
      </c>
      <c r="R107" s="66"/>
      <c r="S107" s="113" t="s">
        <v>2328</v>
      </c>
      <c r="T107" s="190" t="s">
        <v>2035</v>
      </c>
      <c r="U107" s="191">
        <v>46173</v>
      </c>
      <c r="V107" s="68" t="str">
        <f t="shared" si="7"/>
        <v>Mary Kabeti</v>
      </c>
      <c r="X107" s="54">
        <f t="shared" si="9"/>
        <v>10</v>
      </c>
      <c r="Y107" s="54">
        <f t="shared" si="10"/>
        <v>8</v>
      </c>
      <c r="Z107" s="54" t="str">
        <f t="shared" si="11"/>
        <v xml:space="preserve">St John Of God </v>
      </c>
    </row>
    <row r="108" spans="1:26" ht="20.149999999999999" customHeight="1">
      <c r="B108" s="154" t="s">
        <v>2386</v>
      </c>
      <c r="C108" s="154" t="s">
        <v>1626</v>
      </c>
      <c r="D108" s="176" t="s">
        <v>232</v>
      </c>
      <c r="E108" s="81">
        <v>24307379</v>
      </c>
      <c r="F108" s="158" t="s">
        <v>2681</v>
      </c>
      <c r="G108" s="154" t="s">
        <v>2994</v>
      </c>
      <c r="H108" s="154" t="s">
        <v>166</v>
      </c>
      <c r="I108" s="154" t="s">
        <v>3017</v>
      </c>
      <c r="J108" s="154" t="s">
        <v>3123</v>
      </c>
      <c r="K108" s="66" t="s">
        <v>1005</v>
      </c>
      <c r="L108" s="66" t="s">
        <v>1276</v>
      </c>
      <c r="M108" s="73" t="str">
        <f t="shared" si="13"/>
        <v>11/10/1983</v>
      </c>
      <c r="N108" s="50">
        <f t="shared" ca="1" si="12"/>
        <v>42</v>
      </c>
      <c r="O108" s="66" t="s">
        <v>988</v>
      </c>
      <c r="P108" s="66" t="s">
        <v>1277</v>
      </c>
      <c r="Q108" s="66" t="s">
        <v>1278</v>
      </c>
      <c r="R108" s="66" t="s">
        <v>1543</v>
      </c>
      <c r="S108" s="66"/>
      <c r="T108" s="66"/>
      <c r="U108" s="66"/>
      <c r="V108" s="61" t="str">
        <f t="shared" si="7"/>
        <v>Joy Gatugi</v>
      </c>
      <c r="X108" s="54">
        <f t="shared" si="9"/>
        <v>10</v>
      </c>
      <c r="Y108" s="54">
        <f t="shared" si="10"/>
        <v>8</v>
      </c>
      <c r="Z108" s="54" t="str">
        <f t="shared" si="11"/>
        <v>Kanyakine Sub County Hospital</v>
      </c>
    </row>
    <row r="109" spans="1:26" ht="20.149999999999999" customHeight="1">
      <c r="B109" s="96" t="s">
        <v>2408</v>
      </c>
      <c r="C109" s="93" t="s">
        <v>1626</v>
      </c>
      <c r="D109" s="81" t="s">
        <v>438</v>
      </c>
      <c r="E109" s="81" t="s">
        <v>2095</v>
      </c>
      <c r="F109" s="157" t="s">
        <v>2594</v>
      </c>
      <c r="G109" s="93" t="s">
        <v>2994</v>
      </c>
      <c r="H109" s="93" t="s">
        <v>166</v>
      </c>
      <c r="I109" s="93" t="s">
        <v>3014</v>
      </c>
      <c r="J109" s="93" t="s">
        <v>3125</v>
      </c>
      <c r="K109" s="62" t="s">
        <v>1005</v>
      </c>
      <c r="L109" s="62" t="s">
        <v>1279</v>
      </c>
      <c r="M109" s="49" t="str">
        <f t="shared" si="13"/>
        <v>14/06/1985</v>
      </c>
      <c r="N109" s="50">
        <f t="shared" ca="1" si="12"/>
        <v>41</v>
      </c>
      <c r="O109" s="62" t="s">
        <v>988</v>
      </c>
      <c r="P109" s="62" t="s">
        <v>1280</v>
      </c>
      <c r="Q109" s="62" t="s">
        <v>1256</v>
      </c>
      <c r="R109" s="62" t="s">
        <v>1539</v>
      </c>
      <c r="S109" s="62"/>
      <c r="T109" s="62"/>
      <c r="U109" s="62"/>
      <c r="V109" s="61" t="str">
        <f t="shared" si="7"/>
        <v>Joy Kagwiria Kaunga</v>
      </c>
      <c r="X109" s="54">
        <f t="shared" si="9"/>
        <v>10</v>
      </c>
      <c r="Y109" s="54">
        <f t="shared" si="10"/>
        <v>8</v>
      </c>
      <c r="Z109" s="54" t="str">
        <f t="shared" si="11"/>
        <v xml:space="preserve">Nyambene Sub County Hospital </v>
      </c>
    </row>
    <row r="110" spans="1:26" ht="20.149999999999999" customHeight="1">
      <c r="B110" s="154" t="s">
        <v>2388</v>
      </c>
      <c r="C110" s="154" t="s">
        <v>1626</v>
      </c>
      <c r="D110" s="176" t="s">
        <v>2682</v>
      </c>
      <c r="E110" s="81">
        <v>32163108</v>
      </c>
      <c r="F110" s="158" t="s">
        <v>2683</v>
      </c>
      <c r="G110" s="154" t="s">
        <v>3003</v>
      </c>
      <c r="H110" s="154" t="s">
        <v>166</v>
      </c>
      <c r="I110" s="154" t="s">
        <v>3018</v>
      </c>
      <c r="J110" s="154" t="s">
        <v>3121</v>
      </c>
      <c r="K110" s="66" t="s">
        <v>1028</v>
      </c>
      <c r="L110" s="66" t="s">
        <v>1281</v>
      </c>
      <c r="M110" s="73" t="str">
        <f t="shared" si="13"/>
        <v>01/01/1995</v>
      </c>
      <c r="N110" s="50">
        <f t="shared" ca="1" si="12"/>
        <v>31</v>
      </c>
      <c r="O110" s="66" t="s">
        <v>988</v>
      </c>
      <c r="P110" s="66" t="s">
        <v>1282</v>
      </c>
      <c r="Q110" s="66" t="s">
        <v>3119</v>
      </c>
      <c r="R110" s="66" t="s">
        <v>1539</v>
      </c>
      <c r="S110" s="66"/>
      <c r="T110" s="66"/>
      <c r="U110" s="66"/>
      <c r="V110" s="61" t="str">
        <f t="shared" si="7"/>
        <v>Joy Koreta Meme</v>
      </c>
      <c r="X110" s="54">
        <f t="shared" si="9"/>
        <v>10</v>
      </c>
      <c r="Y110" s="54">
        <f t="shared" si="10"/>
        <v>8</v>
      </c>
      <c r="Z110" s="54" t="str">
        <f t="shared" si="11"/>
        <v>Muthara Sub County Hospital</v>
      </c>
    </row>
    <row r="111" spans="1:26" s="73" customFormat="1" ht="20.149999999999999" customHeight="1">
      <c r="A111" s="282"/>
      <c r="B111" s="224" t="s">
        <v>2341</v>
      </c>
      <c r="C111" s="154" t="s">
        <v>1626</v>
      </c>
      <c r="D111" s="113" t="s">
        <v>2595</v>
      </c>
      <c r="E111" s="113" t="s">
        <v>2085</v>
      </c>
      <c r="F111" s="223" t="s">
        <v>2596</v>
      </c>
      <c r="G111" s="154" t="s">
        <v>3001</v>
      </c>
      <c r="H111" s="154" t="s">
        <v>166</v>
      </c>
      <c r="I111" s="154" t="s">
        <v>3015</v>
      </c>
      <c r="J111" s="154" t="s">
        <v>3137</v>
      </c>
      <c r="K111" s="66" t="s">
        <v>2156</v>
      </c>
      <c r="L111" s="66" t="s">
        <v>1283</v>
      </c>
      <c r="M111" s="73" t="str">
        <f t="shared" si="13"/>
        <v>23/05/1989</v>
      </c>
      <c r="N111" s="71">
        <f t="shared" ca="1" si="12"/>
        <v>37</v>
      </c>
      <c r="O111" s="66" t="s">
        <v>998</v>
      </c>
      <c r="P111" s="66" t="s">
        <v>2332</v>
      </c>
      <c r="Q111" s="66" t="s">
        <v>1331</v>
      </c>
      <c r="R111" s="66"/>
      <c r="S111" s="66"/>
      <c r="T111" s="66"/>
      <c r="U111" s="66"/>
      <c r="V111" s="68" t="str">
        <f t="shared" si="7"/>
        <v>Joy Makena Mwiti</v>
      </c>
      <c r="X111" s="54">
        <f t="shared" si="9"/>
        <v>10</v>
      </c>
      <c r="Y111" s="54">
        <f t="shared" si="10"/>
        <v>8</v>
      </c>
      <c r="Z111" s="54" t="str">
        <f t="shared" si="11"/>
        <v>Gakoromone Dispensary</v>
      </c>
    </row>
    <row r="112" spans="1:26" ht="20.149999999999999" customHeight="1">
      <c r="B112" s="154" t="s">
        <v>2378</v>
      </c>
      <c r="C112" s="154" t="s">
        <v>1626</v>
      </c>
      <c r="D112" s="176" t="s">
        <v>283</v>
      </c>
      <c r="E112" s="81">
        <v>31795273</v>
      </c>
      <c r="F112" s="158" t="s">
        <v>2684</v>
      </c>
      <c r="G112" s="154" t="s">
        <v>2994</v>
      </c>
      <c r="H112" s="154" t="s">
        <v>166</v>
      </c>
      <c r="I112" s="154" t="s">
        <v>3015</v>
      </c>
      <c r="J112" s="154" t="s">
        <v>3142</v>
      </c>
      <c r="K112" s="66" t="s">
        <v>1005</v>
      </c>
      <c r="L112" s="66" t="s">
        <v>1285</v>
      </c>
      <c r="M112" s="73" t="str">
        <f t="shared" si="13"/>
        <v>24/12/1994</v>
      </c>
      <c r="N112" s="50">
        <f t="shared" ca="1" si="12"/>
        <v>31</v>
      </c>
      <c r="O112" s="66" t="s">
        <v>988</v>
      </c>
      <c r="P112" s="66" t="s">
        <v>1286</v>
      </c>
      <c r="Q112" s="66" t="s">
        <v>1287</v>
      </c>
      <c r="R112" s="66" t="s">
        <v>1539</v>
      </c>
      <c r="S112" s="66"/>
      <c r="T112" s="66"/>
      <c r="U112" s="66"/>
      <c r="V112" s="61" t="str">
        <f t="shared" si="7"/>
        <v xml:space="preserve">Judjoy Kanana Itabari </v>
      </c>
      <c r="X112" s="54">
        <f t="shared" si="9"/>
        <v>10</v>
      </c>
      <c r="Y112" s="54">
        <f t="shared" si="10"/>
        <v>8</v>
      </c>
      <c r="Z112" s="54" t="str">
        <f t="shared" si="11"/>
        <v>Meru Teaching And Referral Hospital</v>
      </c>
    </row>
    <row r="113" spans="1:26" ht="20.149999999999999" customHeight="1">
      <c r="B113" s="96" t="s">
        <v>2402</v>
      </c>
      <c r="C113" s="93" t="s">
        <v>1626</v>
      </c>
      <c r="D113" s="117" t="s">
        <v>421</v>
      </c>
      <c r="E113" s="81" t="s">
        <v>2052</v>
      </c>
      <c r="F113" s="157" t="s">
        <v>2597</v>
      </c>
      <c r="G113" s="93" t="s">
        <v>3001</v>
      </c>
      <c r="H113" s="93" t="s">
        <v>166</v>
      </c>
      <c r="I113" s="93" t="s">
        <v>3015</v>
      </c>
      <c r="J113" s="93" t="s">
        <v>3142</v>
      </c>
      <c r="K113" s="62" t="s">
        <v>1005</v>
      </c>
      <c r="L113" s="62" t="s">
        <v>1288</v>
      </c>
      <c r="M113" s="49" t="str">
        <f t="shared" si="13"/>
        <v>03/12/1994</v>
      </c>
      <c r="N113" s="50">
        <f t="shared" ca="1" si="12"/>
        <v>31</v>
      </c>
      <c r="O113" s="62" t="s">
        <v>998</v>
      </c>
      <c r="P113" s="62" t="s">
        <v>1289</v>
      </c>
      <c r="Q113" s="62" t="s">
        <v>1068</v>
      </c>
      <c r="R113" s="62"/>
      <c r="S113" s="62"/>
      <c r="T113" s="62"/>
      <c r="U113" s="62"/>
      <c r="V113" s="61" t="str">
        <f t="shared" si="7"/>
        <v>Juster Kendi</v>
      </c>
      <c r="X113" s="54">
        <f t="shared" si="9"/>
        <v>10</v>
      </c>
      <c r="Y113" s="54">
        <f t="shared" si="10"/>
        <v>8</v>
      </c>
      <c r="Z113" s="54" t="str">
        <f t="shared" si="11"/>
        <v>Meru Teaching And Referral Hospital</v>
      </c>
    </row>
    <row r="114" spans="1:26" ht="20.149999999999999" customHeight="1">
      <c r="B114" s="154" t="s">
        <v>2392</v>
      </c>
      <c r="C114" s="154" t="s">
        <v>1626</v>
      </c>
      <c r="D114" s="177" t="s">
        <v>236</v>
      </c>
      <c r="E114" s="81">
        <v>24879011</v>
      </c>
      <c r="F114" s="158" t="s">
        <v>2685</v>
      </c>
      <c r="G114" s="154" t="s">
        <v>2994</v>
      </c>
      <c r="H114" s="154" t="s">
        <v>166</v>
      </c>
      <c r="I114" s="154" t="s">
        <v>3022</v>
      </c>
      <c r="J114" s="154" t="s">
        <v>3054</v>
      </c>
      <c r="K114" s="66" t="s">
        <v>1005</v>
      </c>
      <c r="L114" s="66" t="s">
        <v>1290</v>
      </c>
      <c r="M114" s="73" t="str">
        <f t="shared" si="13"/>
        <v>27/11/1985</v>
      </c>
      <c r="N114" s="50">
        <f t="shared" ca="1" si="12"/>
        <v>40</v>
      </c>
      <c r="O114" s="66" t="s">
        <v>1010</v>
      </c>
      <c r="P114" s="66" t="s">
        <v>1291</v>
      </c>
      <c r="Q114" s="66" t="s">
        <v>1278</v>
      </c>
      <c r="R114" s="66" t="s">
        <v>1218</v>
      </c>
      <c r="S114" s="66"/>
      <c r="T114" s="66"/>
      <c r="U114" s="66"/>
      <c r="V114" s="61" t="str">
        <f t="shared" si="7"/>
        <v>Keddy Kanana Ngeera</v>
      </c>
      <c r="X114" s="54">
        <f t="shared" si="9"/>
        <v>10</v>
      </c>
      <c r="Y114" s="54">
        <f t="shared" si="10"/>
        <v>8</v>
      </c>
      <c r="Z114" s="54" t="str">
        <f t="shared" si="11"/>
        <v>Kaelo</v>
      </c>
    </row>
    <row r="115" spans="1:26" ht="20.149999999999999" customHeight="1">
      <c r="A115" s="282" t="s">
        <v>71</v>
      </c>
      <c r="B115" s="108" t="s">
        <v>2831</v>
      </c>
      <c r="C115" s="108" t="s">
        <v>1627</v>
      </c>
      <c r="D115" s="170" t="s">
        <v>100</v>
      </c>
      <c r="E115" s="108">
        <v>23415661</v>
      </c>
      <c r="F115" s="108" t="s">
        <v>2735</v>
      </c>
      <c r="G115" s="108" t="s">
        <v>2993</v>
      </c>
      <c r="H115" s="108" t="s">
        <v>13</v>
      </c>
      <c r="I115" s="108" t="s">
        <v>3010</v>
      </c>
      <c r="J115" s="108" t="s">
        <v>3031</v>
      </c>
      <c r="K115" s="71" t="s">
        <v>1005</v>
      </c>
      <c r="L115" s="72" t="s">
        <v>1487</v>
      </c>
      <c r="M115" s="54" t="str">
        <f t="shared" si="13"/>
        <v>26/09/1982</v>
      </c>
      <c r="N115" s="71">
        <f ca="1">DATEDIF(M115,TODAY(),"Y")</f>
        <v>43</v>
      </c>
      <c r="O115" s="71" t="s">
        <v>998</v>
      </c>
      <c r="P115" s="71" t="s">
        <v>1488</v>
      </c>
      <c r="Q115" s="71" t="s">
        <v>989</v>
      </c>
      <c r="R115" s="71"/>
      <c r="S115" s="103"/>
      <c r="T115" s="71"/>
      <c r="U115" s="62"/>
      <c r="V115" s="61" t="str">
        <f t="shared" si="7"/>
        <v>Athanasio Njiru Mwangangi</v>
      </c>
      <c r="X115" s="54">
        <f t="shared" si="9"/>
        <v>10</v>
      </c>
      <c r="Y115" s="54">
        <f t="shared" si="10"/>
        <v>8</v>
      </c>
      <c r="Z115" s="54" t="str">
        <f t="shared" si="11"/>
        <v>Ishiara Level 4 Hospital</v>
      </c>
    </row>
    <row r="116" spans="1:26" ht="20.149999999999999" customHeight="1">
      <c r="B116" s="106" t="s">
        <v>2837</v>
      </c>
      <c r="C116" s="106" t="s">
        <v>1627</v>
      </c>
      <c r="D116" s="81" t="s">
        <v>1998</v>
      </c>
      <c r="E116" s="81">
        <v>32415051</v>
      </c>
      <c r="F116" s="169" t="s">
        <v>2736</v>
      </c>
      <c r="G116" s="106" t="s">
        <v>2996</v>
      </c>
      <c r="H116" s="106" t="s">
        <v>13</v>
      </c>
      <c r="I116" s="106" t="s">
        <v>3012</v>
      </c>
      <c r="J116" s="106" t="s">
        <v>3032</v>
      </c>
      <c r="K116" s="50" t="s">
        <v>1520</v>
      </c>
      <c r="L116" s="70" t="s">
        <v>1528</v>
      </c>
      <c r="M116" s="69" t="str">
        <f t="shared" si="13"/>
        <v>12/03/1995</v>
      </c>
      <c r="N116" s="50">
        <f ca="1">DATEDIF(M116,TODAY(),"Y")</f>
        <v>31</v>
      </c>
      <c r="O116" s="50" t="s">
        <v>988</v>
      </c>
      <c r="P116" s="50" t="s">
        <v>1435</v>
      </c>
      <c r="Q116" s="50" t="s">
        <v>1013</v>
      </c>
      <c r="R116" s="50"/>
      <c r="S116" s="50" t="s">
        <v>2819</v>
      </c>
      <c r="T116" s="50" t="s">
        <v>2151</v>
      </c>
      <c r="U116" s="84">
        <v>46295</v>
      </c>
      <c r="V116" s="61" t="str">
        <f t="shared" ref="V116:V160" si="14">PROPER(B116)</f>
        <v>Cornelius Mbatha Musyimi</v>
      </c>
      <c r="X116" s="54">
        <f t="shared" si="9"/>
        <v>10</v>
      </c>
      <c r="Y116" s="54">
        <f t="shared" si="10"/>
        <v>8</v>
      </c>
      <c r="Z116" s="54" t="str">
        <f t="shared" si="11"/>
        <v>Gategi Health Centre</v>
      </c>
    </row>
    <row r="117" spans="1:26" ht="20.149999999999999" customHeight="1">
      <c r="B117" s="96" t="s">
        <v>2409</v>
      </c>
      <c r="C117" s="93" t="s">
        <v>1626</v>
      </c>
      <c r="D117" s="81" t="s">
        <v>442</v>
      </c>
      <c r="E117" s="81" t="s">
        <v>2096</v>
      </c>
      <c r="F117" s="157" t="s">
        <v>2600</v>
      </c>
      <c r="G117" s="93" t="s">
        <v>2994</v>
      </c>
      <c r="H117" s="93" t="s">
        <v>166</v>
      </c>
      <c r="I117" s="93" t="s">
        <v>3017</v>
      </c>
      <c r="J117" s="93" t="s">
        <v>3123</v>
      </c>
      <c r="K117" s="62" t="s">
        <v>1005</v>
      </c>
      <c r="L117" s="62" t="s">
        <v>1296</v>
      </c>
      <c r="M117" s="94">
        <v>28169</v>
      </c>
      <c r="N117" s="50">
        <f t="shared" ref="N117:N124" ca="1" si="15">IF(M117="","",DATEDIF(M117,TODAY(),"Y"))</f>
        <v>49</v>
      </c>
      <c r="O117" s="62" t="s">
        <v>1010</v>
      </c>
      <c r="P117" s="62" t="s">
        <v>1542</v>
      </c>
      <c r="Q117" s="62"/>
      <c r="R117" s="62" t="s">
        <v>1539</v>
      </c>
      <c r="S117" s="62"/>
      <c r="T117" s="62"/>
      <c r="U117" s="62"/>
      <c r="V117" s="61" t="str">
        <f t="shared" si="14"/>
        <v>Kestine Kagweni Phares</v>
      </c>
      <c r="X117" s="54">
        <f t="shared" si="9"/>
        <v>10</v>
      </c>
      <c r="Y117" s="54">
        <f t="shared" si="10"/>
        <v>8</v>
      </c>
      <c r="Z117" s="54" t="str">
        <f t="shared" si="11"/>
        <v>Kanyakine Sub County Hospital</v>
      </c>
    </row>
    <row r="118" spans="1:26" ht="20.149999999999999" customHeight="1">
      <c r="B118" s="96" t="s">
        <v>2419</v>
      </c>
      <c r="C118" s="93" t="s">
        <v>1626</v>
      </c>
      <c r="D118" s="148" t="s">
        <v>488</v>
      </c>
      <c r="E118" s="81" t="s">
        <v>2101</v>
      </c>
      <c r="F118" s="157" t="s">
        <v>2601</v>
      </c>
      <c r="G118" s="93" t="s">
        <v>2994</v>
      </c>
      <c r="H118" s="93" t="s">
        <v>166</v>
      </c>
      <c r="I118" s="93" t="s">
        <v>3020</v>
      </c>
      <c r="J118" s="93" t="s">
        <v>3049</v>
      </c>
      <c r="K118" s="62" t="s">
        <v>1063</v>
      </c>
      <c r="L118" s="62" t="s">
        <v>1297</v>
      </c>
      <c r="M118" s="49" t="str">
        <f t="shared" ref="M118:M157" si="16">IF(L118="","",TEXT(DATEVALUE(SUBSTITUTE(SUBSTITUTE(SUBSTITUTE(SUBSTITUTE(SUBSTITUTE(L118,"st",""),"nd",""),"rd",""),"th",""),"TH","")),"dd/mm/yyyy"))</f>
        <v>25/12/1998</v>
      </c>
      <c r="N118" s="50">
        <f t="shared" ca="1" si="15"/>
        <v>27</v>
      </c>
      <c r="O118" s="62" t="s">
        <v>988</v>
      </c>
      <c r="P118" s="62" t="s">
        <v>1282</v>
      </c>
      <c r="Q118" s="62" t="s">
        <v>3119</v>
      </c>
      <c r="R118" s="62" t="s">
        <v>1539</v>
      </c>
      <c r="S118" s="62"/>
      <c r="T118" s="62"/>
      <c r="U118" s="62"/>
      <c r="V118" s="61" t="str">
        <f t="shared" si="14"/>
        <v>Leah Muthoni Muchori</v>
      </c>
      <c r="X118" s="54">
        <f t="shared" si="9"/>
        <v>10</v>
      </c>
      <c r="Y118" s="54">
        <f t="shared" si="10"/>
        <v>8</v>
      </c>
      <c r="Z118" s="54" t="str">
        <f t="shared" si="11"/>
        <v>St. Theresa Kirua</v>
      </c>
    </row>
    <row r="119" spans="1:26" ht="20.149999999999999" customHeight="1">
      <c r="B119" s="96" t="s">
        <v>2348</v>
      </c>
      <c r="C119" s="93" t="s">
        <v>1626</v>
      </c>
      <c r="D119" s="81" t="s">
        <v>240</v>
      </c>
      <c r="E119" s="81" t="s">
        <v>2078</v>
      </c>
      <c r="F119" s="157" t="s">
        <v>2602</v>
      </c>
      <c r="G119" s="93" t="s">
        <v>2994</v>
      </c>
      <c r="H119" s="93" t="s">
        <v>166</v>
      </c>
      <c r="I119" s="93" t="s">
        <v>3016</v>
      </c>
      <c r="J119" s="93" t="s">
        <v>3143</v>
      </c>
      <c r="K119" s="62" t="s">
        <v>1005</v>
      </c>
      <c r="L119" s="62" t="s">
        <v>1298</v>
      </c>
      <c r="M119" s="49" t="str">
        <f t="shared" si="16"/>
        <v>19/06/1993</v>
      </c>
      <c r="N119" s="50">
        <f t="shared" ca="1" si="15"/>
        <v>33</v>
      </c>
      <c r="O119" s="62" t="s">
        <v>988</v>
      </c>
      <c r="P119" s="62" t="s">
        <v>1038</v>
      </c>
      <c r="Q119" s="62" t="s">
        <v>3119</v>
      </c>
      <c r="R119" s="62" t="s">
        <v>1539</v>
      </c>
      <c r="S119" s="62"/>
      <c r="T119" s="62"/>
      <c r="U119" s="62"/>
      <c r="V119" s="61" t="str">
        <f t="shared" si="14"/>
        <v>Lenah Mwaromo Julius</v>
      </c>
      <c r="X119" s="54">
        <f t="shared" si="9"/>
        <v>10</v>
      </c>
      <c r="Y119" s="54">
        <f t="shared" si="10"/>
        <v>8</v>
      </c>
      <c r="Z119" s="54" t="str">
        <f t="shared" si="11"/>
        <v>Kangeta Sub-County Hospital</v>
      </c>
    </row>
    <row r="120" spans="1:26" ht="20.149999999999999" customHeight="1">
      <c r="B120" s="96" t="s">
        <v>2390</v>
      </c>
      <c r="C120" s="93" t="s">
        <v>1626</v>
      </c>
      <c r="D120" s="81" t="s">
        <v>386</v>
      </c>
      <c r="E120" s="81" t="s">
        <v>2049</v>
      </c>
      <c r="F120" s="157" t="s">
        <v>2603</v>
      </c>
      <c r="G120" s="93" t="s">
        <v>2992</v>
      </c>
      <c r="H120" s="93" t="s">
        <v>166</v>
      </c>
      <c r="I120" s="93" t="s">
        <v>3017</v>
      </c>
      <c r="J120" s="93" t="s">
        <v>3123</v>
      </c>
      <c r="K120" s="62" t="s">
        <v>1005</v>
      </c>
      <c r="L120" s="62" t="s">
        <v>1299</v>
      </c>
      <c r="M120" s="49" t="str">
        <f t="shared" si="16"/>
        <v>15/05/1992</v>
      </c>
      <c r="N120" s="50">
        <f t="shared" ca="1" si="15"/>
        <v>34</v>
      </c>
      <c r="O120" s="62" t="s">
        <v>988</v>
      </c>
      <c r="P120" s="62" t="s">
        <v>983</v>
      </c>
      <c r="Q120" s="62" t="s">
        <v>1098</v>
      </c>
      <c r="R120" s="62"/>
      <c r="S120" s="81" t="s">
        <v>3150</v>
      </c>
      <c r="T120" s="81" t="s">
        <v>3151</v>
      </c>
      <c r="U120" s="84">
        <v>46322</v>
      </c>
      <c r="V120" s="61" t="str">
        <f t="shared" si="14"/>
        <v>Lenity Mukami Kirimi</v>
      </c>
      <c r="X120" s="54">
        <f t="shared" si="9"/>
        <v>10</v>
      </c>
      <c r="Y120" s="54">
        <f t="shared" si="10"/>
        <v>8</v>
      </c>
      <c r="Z120" s="54" t="str">
        <f t="shared" si="11"/>
        <v>Kanyakine Sub County Hospital</v>
      </c>
    </row>
    <row r="121" spans="1:26" ht="20.149999999999999" customHeight="1">
      <c r="B121" s="96" t="s">
        <v>2423</v>
      </c>
      <c r="C121" s="93" t="s">
        <v>1626</v>
      </c>
      <c r="D121" s="81" t="s">
        <v>499</v>
      </c>
      <c r="E121" s="81">
        <v>32511351</v>
      </c>
      <c r="F121" s="157" t="s">
        <v>2604</v>
      </c>
      <c r="G121" s="93" t="s">
        <v>3004</v>
      </c>
      <c r="H121" s="93" t="s">
        <v>166</v>
      </c>
      <c r="I121" s="93" t="s">
        <v>3020</v>
      </c>
      <c r="J121" s="93" t="s">
        <v>3055</v>
      </c>
      <c r="K121" s="62" t="s">
        <v>1301</v>
      </c>
      <c r="L121" s="62" t="s">
        <v>1302</v>
      </c>
      <c r="M121" s="49" t="str">
        <f t="shared" si="16"/>
        <v>23/09/1995</v>
      </c>
      <c r="N121" s="50">
        <f t="shared" ca="1" si="15"/>
        <v>30</v>
      </c>
      <c r="O121" s="62" t="s">
        <v>998</v>
      </c>
      <c r="P121" s="62" t="s">
        <v>1300</v>
      </c>
      <c r="Q121" s="62" t="s">
        <v>1236</v>
      </c>
      <c r="R121" s="62"/>
      <c r="S121" s="62"/>
      <c r="T121" s="62"/>
      <c r="U121" s="62"/>
      <c r="V121" s="61" t="str">
        <f t="shared" si="14"/>
        <v>Lois Mulekyo Kyalo</v>
      </c>
      <c r="X121" s="54">
        <f t="shared" si="9"/>
        <v>10</v>
      </c>
      <c r="Y121" s="54">
        <f t="shared" si="10"/>
        <v>8</v>
      </c>
      <c r="Z121" s="54" t="str">
        <f t="shared" si="11"/>
        <v>Kiirua Health Centre</v>
      </c>
    </row>
    <row r="122" spans="1:26" ht="20.149999999999999" customHeight="1">
      <c r="B122" s="154" t="s">
        <v>2400</v>
      </c>
      <c r="C122" s="154" t="s">
        <v>1626</v>
      </c>
      <c r="D122" s="176" t="s">
        <v>452</v>
      </c>
      <c r="E122" s="176" t="s">
        <v>2823</v>
      </c>
      <c r="F122" s="212" t="s">
        <v>2824</v>
      </c>
      <c r="G122" s="154" t="s">
        <v>2994</v>
      </c>
      <c r="H122" s="154" t="s">
        <v>166</v>
      </c>
      <c r="I122" s="154" t="s">
        <v>3017</v>
      </c>
      <c r="J122" s="154" t="s">
        <v>3094</v>
      </c>
      <c r="K122" s="66" t="s">
        <v>1005</v>
      </c>
      <c r="L122" s="66" t="s">
        <v>1303</v>
      </c>
      <c r="M122" s="73" t="str">
        <f t="shared" si="16"/>
        <v>07/09/1984</v>
      </c>
      <c r="N122" s="50">
        <f t="shared" ca="1" si="15"/>
        <v>41</v>
      </c>
      <c r="O122" s="66" t="s">
        <v>988</v>
      </c>
      <c r="P122" s="66" t="s">
        <v>1304</v>
      </c>
      <c r="Q122" s="66" t="s">
        <v>1112</v>
      </c>
      <c r="R122" s="66" t="s">
        <v>1539</v>
      </c>
      <c r="S122" s="66"/>
      <c r="T122" s="66"/>
      <c r="U122" s="66"/>
      <c r="V122" s="61" t="str">
        <f t="shared" si="14"/>
        <v>Lucyline Gatwiri Nkonge</v>
      </c>
      <c r="X122" s="54">
        <f t="shared" si="9"/>
        <v>10</v>
      </c>
      <c r="Y122" s="54">
        <f t="shared" si="10"/>
        <v>8</v>
      </c>
      <c r="Z122" s="54" t="str">
        <f t="shared" si="11"/>
        <v>Mitunguu Health Centre</v>
      </c>
    </row>
    <row r="123" spans="1:26" ht="20.149999999999999" customHeight="1">
      <c r="B123" s="96" t="s">
        <v>2393</v>
      </c>
      <c r="C123" s="93" t="s">
        <v>1626</v>
      </c>
      <c r="D123" s="81" t="s">
        <v>390</v>
      </c>
      <c r="E123" s="81" t="s">
        <v>2050</v>
      </c>
      <c r="F123" s="157" t="s">
        <v>2605</v>
      </c>
      <c r="G123" s="93" t="s">
        <v>2992</v>
      </c>
      <c r="H123" s="93" t="s">
        <v>166</v>
      </c>
      <c r="I123" s="93" t="s">
        <v>3018</v>
      </c>
      <c r="J123" s="93" t="s">
        <v>3121</v>
      </c>
      <c r="K123" s="62" t="s">
        <v>1005</v>
      </c>
      <c r="L123" s="62" t="s">
        <v>1305</v>
      </c>
      <c r="M123" s="49" t="str">
        <f t="shared" si="16"/>
        <v>17/07/1984</v>
      </c>
      <c r="N123" s="50">
        <f t="shared" ca="1" si="15"/>
        <v>42</v>
      </c>
      <c r="O123" s="62" t="s">
        <v>998</v>
      </c>
      <c r="P123" s="62" t="s">
        <v>2327</v>
      </c>
      <c r="Q123" s="62" t="s">
        <v>1068</v>
      </c>
      <c r="R123" s="62" t="s">
        <v>2120</v>
      </c>
      <c r="S123" s="159" t="s">
        <v>2119</v>
      </c>
      <c r="T123" s="83">
        <v>1398</v>
      </c>
      <c r="U123" s="84">
        <v>46022</v>
      </c>
      <c r="V123" s="61" t="str">
        <f t="shared" si="14"/>
        <v>Lynette Gakii Mutua</v>
      </c>
      <c r="X123" s="54">
        <f t="shared" si="9"/>
        <v>10</v>
      </c>
      <c r="Y123" s="54">
        <f t="shared" si="10"/>
        <v>8</v>
      </c>
      <c r="Z123" s="54" t="str">
        <f t="shared" si="11"/>
        <v>Muthara Sub County Hospital</v>
      </c>
    </row>
    <row r="124" spans="1:26" ht="20.149999999999999" customHeight="1">
      <c r="B124" s="96" t="s">
        <v>2398</v>
      </c>
      <c r="C124" s="93" t="s">
        <v>1626</v>
      </c>
      <c r="D124" s="117" t="s">
        <v>412</v>
      </c>
      <c r="E124" s="117" t="s">
        <v>2333</v>
      </c>
      <c r="F124" s="180" t="s">
        <v>2606</v>
      </c>
      <c r="G124" s="93" t="s">
        <v>2992</v>
      </c>
      <c r="H124" s="93" t="s">
        <v>166</v>
      </c>
      <c r="I124" s="93" t="s">
        <v>3015</v>
      </c>
      <c r="J124" s="93" t="s">
        <v>3142</v>
      </c>
      <c r="K124" s="62" t="s">
        <v>1005</v>
      </c>
      <c r="L124" s="62" t="s">
        <v>1306</v>
      </c>
      <c r="M124" s="49" t="str">
        <f t="shared" si="16"/>
        <v>27/11/1995</v>
      </c>
      <c r="N124" s="50">
        <f t="shared" ca="1" si="15"/>
        <v>30</v>
      </c>
      <c r="O124" s="62" t="s">
        <v>1010</v>
      </c>
      <c r="P124" s="62" t="s">
        <v>1247</v>
      </c>
      <c r="Q124" s="62" t="s">
        <v>1057</v>
      </c>
      <c r="R124" s="62"/>
      <c r="S124" s="81" t="s">
        <v>3160</v>
      </c>
      <c r="T124" s="81" t="s">
        <v>2477</v>
      </c>
      <c r="U124" s="84">
        <v>46350</v>
      </c>
      <c r="V124" s="61" t="str">
        <f t="shared" si="14"/>
        <v>Magdaline Mueke Mutua</v>
      </c>
      <c r="X124" s="54">
        <f t="shared" si="9"/>
        <v>10</v>
      </c>
      <c r="Y124" s="54">
        <f t="shared" si="10"/>
        <v>8</v>
      </c>
      <c r="Z124" s="54" t="str">
        <f t="shared" si="11"/>
        <v>Meru Teaching And Referral Hospital</v>
      </c>
    </row>
    <row r="125" spans="1:26" ht="20.149999999999999" customHeight="1">
      <c r="A125" s="55" t="s">
        <v>133</v>
      </c>
      <c r="B125" s="106" t="s">
        <v>2838</v>
      </c>
      <c r="C125" s="106" t="s">
        <v>1627</v>
      </c>
      <c r="D125" s="81" t="s">
        <v>156</v>
      </c>
      <c r="E125" s="81">
        <v>29883230</v>
      </c>
      <c r="F125" s="169" t="s">
        <v>2811</v>
      </c>
      <c r="G125" s="106" t="s">
        <v>2996</v>
      </c>
      <c r="H125" s="106" t="s">
        <v>13</v>
      </c>
      <c r="I125" s="106" t="s">
        <v>3010</v>
      </c>
      <c r="J125" s="106" t="s">
        <v>3036</v>
      </c>
      <c r="K125" s="50" t="s">
        <v>1476</v>
      </c>
      <c r="L125" s="70" t="s">
        <v>1475</v>
      </c>
      <c r="M125" s="69" t="str">
        <f t="shared" si="16"/>
        <v>21/04/1992</v>
      </c>
      <c r="N125" s="50">
        <f ca="1">DATEDIF(M125,TODAY(),"Y")</f>
        <v>34</v>
      </c>
      <c r="O125" s="50" t="s">
        <v>988</v>
      </c>
      <c r="P125" s="50" t="s">
        <v>1435</v>
      </c>
      <c r="Q125" s="50" t="s">
        <v>1170</v>
      </c>
      <c r="R125" s="50"/>
      <c r="S125" s="50" t="s">
        <v>2819</v>
      </c>
      <c r="T125" s="50" t="s">
        <v>2148</v>
      </c>
      <c r="U125" s="62"/>
      <c r="V125" s="61" t="str">
        <f t="shared" si="14"/>
        <v>David Ndwiga Ngai</v>
      </c>
      <c r="X125" s="54">
        <f t="shared" si="9"/>
        <v>10</v>
      </c>
      <c r="Y125" s="54">
        <f t="shared" si="10"/>
        <v>8</v>
      </c>
      <c r="Z125" s="54" t="str">
        <f t="shared" si="11"/>
        <v>Kiambere Dam Health Centre</v>
      </c>
    </row>
    <row r="126" spans="1:26" ht="20.149999999999999" customHeight="1">
      <c r="A126" s="55" t="s">
        <v>140</v>
      </c>
      <c r="B126" s="106" t="s">
        <v>2839</v>
      </c>
      <c r="C126" s="106" t="s">
        <v>1627</v>
      </c>
      <c r="D126" s="81" t="s">
        <v>160</v>
      </c>
      <c r="E126" s="81">
        <v>29158091</v>
      </c>
      <c r="F126" s="169" t="s">
        <v>2812</v>
      </c>
      <c r="G126" s="106" t="s">
        <v>2997</v>
      </c>
      <c r="H126" s="106" t="s">
        <v>13</v>
      </c>
      <c r="I126" s="106" t="s">
        <v>3013</v>
      </c>
      <c r="J126" s="106" t="s">
        <v>3034</v>
      </c>
      <c r="K126" s="50" t="s">
        <v>1036</v>
      </c>
      <c r="L126" s="70" t="s">
        <v>1473</v>
      </c>
      <c r="M126" s="69" t="str">
        <f t="shared" si="16"/>
        <v>25/07/1992</v>
      </c>
      <c r="N126" s="50">
        <f ca="1">DATEDIF(M126,TODAY(),"Y")</f>
        <v>34</v>
      </c>
      <c r="O126" s="50" t="s">
        <v>988</v>
      </c>
      <c r="P126" s="50" t="s">
        <v>1345</v>
      </c>
      <c r="Q126" s="50" t="s">
        <v>1474</v>
      </c>
      <c r="R126" s="50"/>
      <c r="S126" s="50" t="s">
        <v>2820</v>
      </c>
      <c r="T126" s="50" t="s">
        <v>2149</v>
      </c>
      <c r="U126" s="84">
        <v>45991</v>
      </c>
      <c r="V126" s="61" t="str">
        <f t="shared" si="14"/>
        <v>Dennis Murithi Njeru</v>
      </c>
      <c r="X126" s="54">
        <f t="shared" si="9"/>
        <v>10</v>
      </c>
      <c r="Y126" s="54">
        <f t="shared" si="10"/>
        <v>8</v>
      </c>
      <c r="Z126" s="54" t="str">
        <f t="shared" si="11"/>
        <v>Embu Level 5 Hospital</v>
      </c>
    </row>
    <row r="127" spans="1:26" ht="20.149999999999999" customHeight="1">
      <c r="A127" s="55" t="s">
        <v>136</v>
      </c>
      <c r="B127" s="106" t="s">
        <v>2843</v>
      </c>
      <c r="C127" s="106" t="s">
        <v>1627</v>
      </c>
      <c r="D127" s="81" t="s">
        <v>33</v>
      </c>
      <c r="E127" s="81" t="s">
        <v>2127</v>
      </c>
      <c r="F127" s="169" t="s">
        <v>2813</v>
      </c>
      <c r="G127" s="106" t="s">
        <v>2994</v>
      </c>
      <c r="H127" s="106" t="s">
        <v>13</v>
      </c>
      <c r="I127" s="106" t="s">
        <v>3013</v>
      </c>
      <c r="J127" s="106" t="s">
        <v>3038</v>
      </c>
      <c r="K127" s="50" t="s">
        <v>1005</v>
      </c>
      <c r="L127" s="70" t="s">
        <v>2696</v>
      </c>
      <c r="M127" s="69" t="str">
        <f t="shared" si="16"/>
        <v>01/01/1974</v>
      </c>
      <c r="N127" s="50">
        <f ca="1">DATEDIF(M127,TODAY(),"Y")</f>
        <v>52</v>
      </c>
      <c r="O127" s="50" t="s">
        <v>988</v>
      </c>
      <c r="P127" s="50" t="s">
        <v>1308</v>
      </c>
      <c r="Q127" s="50" t="s">
        <v>1470</v>
      </c>
      <c r="R127" s="50" t="s">
        <v>1471</v>
      </c>
      <c r="S127" s="50"/>
      <c r="T127" s="50"/>
      <c r="U127" s="62"/>
      <c r="V127" s="61" t="str">
        <f t="shared" si="14"/>
        <v>Festus Mugendi Francis</v>
      </c>
      <c r="X127" s="54">
        <f t="shared" si="9"/>
        <v>10</v>
      </c>
      <c r="Y127" s="54">
        <f t="shared" si="10"/>
        <v>8</v>
      </c>
      <c r="Z127" s="54" t="str">
        <f t="shared" si="11"/>
        <v>Karurumo Health  Centre</v>
      </c>
    </row>
    <row r="128" spans="1:26" ht="20.149999999999999" customHeight="1">
      <c r="B128" s="96" t="s">
        <v>2412</v>
      </c>
      <c r="C128" s="93" t="s">
        <v>1626</v>
      </c>
      <c r="D128" s="81" t="s">
        <v>449</v>
      </c>
      <c r="E128" s="81" t="s">
        <v>2098</v>
      </c>
      <c r="F128" s="157" t="s">
        <v>2608</v>
      </c>
      <c r="G128" s="93" t="s">
        <v>2994</v>
      </c>
      <c r="H128" s="93" t="s">
        <v>166</v>
      </c>
      <c r="I128" s="93" t="s">
        <v>3017</v>
      </c>
      <c r="J128" s="93" t="s">
        <v>3123</v>
      </c>
      <c r="K128" s="62" t="s">
        <v>1005</v>
      </c>
      <c r="L128" s="62" t="s">
        <v>2609</v>
      </c>
      <c r="M128" s="49" t="str">
        <f t="shared" si="16"/>
        <v>25/05/1978</v>
      </c>
      <c r="N128" s="50">
        <f ca="1">IF(M128="","",DATEDIF(M128,TODAY(),"Y"))</f>
        <v>48</v>
      </c>
      <c r="O128" s="62" t="s">
        <v>988</v>
      </c>
      <c r="P128" s="62" t="s">
        <v>1310</v>
      </c>
      <c r="Q128" s="62" t="s">
        <v>1168</v>
      </c>
      <c r="R128" s="62" t="s">
        <v>1539</v>
      </c>
      <c r="S128" s="62"/>
      <c r="T128" s="62"/>
      <c r="U128" s="62"/>
      <c r="V128" s="61" t="str">
        <f t="shared" si="14"/>
        <v>Mercy  Nkatha Murungi</v>
      </c>
      <c r="X128" s="54">
        <f t="shared" si="9"/>
        <v>10</v>
      </c>
      <c r="Y128" s="54">
        <f t="shared" si="10"/>
        <v>8</v>
      </c>
      <c r="Z128" s="54" t="str">
        <f t="shared" si="11"/>
        <v>Kanyakine Sub County Hospital</v>
      </c>
    </row>
    <row r="129" spans="1:26" ht="20.149999999999999" customHeight="1">
      <c r="B129" s="154" t="s">
        <v>2406</v>
      </c>
      <c r="C129" s="154" t="s">
        <v>1626</v>
      </c>
      <c r="D129" s="176" t="s">
        <v>459</v>
      </c>
      <c r="E129" s="81">
        <v>30619533</v>
      </c>
      <c r="F129" s="158" t="s">
        <v>2690</v>
      </c>
      <c r="G129" s="154" t="s">
        <v>2994</v>
      </c>
      <c r="H129" s="154" t="s">
        <v>166</v>
      </c>
      <c r="I129" s="154" t="s">
        <v>3017</v>
      </c>
      <c r="J129" s="154" t="s">
        <v>3123</v>
      </c>
      <c r="K129" s="66" t="s">
        <v>1005</v>
      </c>
      <c r="L129" s="66" t="s">
        <v>1311</v>
      </c>
      <c r="M129" s="73" t="str">
        <f t="shared" si="16"/>
        <v>12/08/1993</v>
      </c>
      <c r="N129" s="50">
        <f ca="1">IF(M129="","",DATEDIF(M129,TODAY(),"Y"))</f>
        <v>32</v>
      </c>
      <c r="O129" s="66" t="s">
        <v>1312</v>
      </c>
      <c r="P129" s="66" t="s">
        <v>1544</v>
      </c>
      <c r="Q129" s="66" t="s">
        <v>1313</v>
      </c>
      <c r="R129" s="66" t="s">
        <v>1540</v>
      </c>
      <c r="S129" s="66"/>
      <c r="T129" s="66"/>
      <c r="U129" s="66"/>
      <c r="V129" s="61" t="str">
        <f t="shared" si="14"/>
        <v>Millicent Mukami</v>
      </c>
      <c r="X129" s="54">
        <f t="shared" si="9"/>
        <v>10</v>
      </c>
      <c r="Y129" s="54">
        <f t="shared" si="10"/>
        <v>8</v>
      </c>
      <c r="Z129" s="54" t="str">
        <f t="shared" si="11"/>
        <v>Kanyakine Sub County Hospital</v>
      </c>
    </row>
    <row r="130" spans="1:26" ht="20.149999999999999" customHeight="1">
      <c r="B130" s="96" t="s">
        <v>2427</v>
      </c>
      <c r="C130" s="93" t="s">
        <v>1626</v>
      </c>
      <c r="D130" s="81" t="s">
        <v>513</v>
      </c>
      <c r="E130" s="81">
        <v>36877300</v>
      </c>
      <c r="F130" s="157" t="s">
        <v>2612</v>
      </c>
      <c r="G130" s="93" t="s">
        <v>2994</v>
      </c>
      <c r="H130" s="93" t="s">
        <v>166</v>
      </c>
      <c r="I130" s="93" t="s">
        <v>3024</v>
      </c>
      <c r="J130" s="93" t="s">
        <v>512</v>
      </c>
      <c r="K130" s="62" t="s">
        <v>1315</v>
      </c>
      <c r="L130" s="62" t="s">
        <v>1314</v>
      </c>
      <c r="M130" s="49" t="str">
        <f t="shared" si="16"/>
        <v>23/08/1998</v>
      </c>
      <c r="N130" s="50">
        <f ca="1">IF(M130="","",DATEDIF(M130,TODAY(),"Y"))</f>
        <v>27</v>
      </c>
      <c r="O130" s="62" t="s">
        <v>1010</v>
      </c>
      <c r="P130" s="62" t="s">
        <v>2122</v>
      </c>
      <c r="Q130" s="62" t="s">
        <v>1316</v>
      </c>
      <c r="R130" s="62" t="s">
        <v>1497</v>
      </c>
      <c r="S130" s="62"/>
      <c r="T130" s="62"/>
      <c r="U130" s="62"/>
      <c r="V130" s="61" t="str">
        <f t="shared" si="14"/>
        <v xml:space="preserve">Moreen Kendi </v>
      </c>
      <c r="X130" s="54">
        <f t="shared" si="9"/>
        <v>10</v>
      </c>
      <c r="Y130" s="54">
        <f t="shared" si="10"/>
        <v>8</v>
      </c>
      <c r="Z130" s="54" t="str">
        <f t="shared" si="11"/>
        <v>Miathene Hospital</v>
      </c>
    </row>
    <row r="131" spans="1:26" ht="20.149999999999999" customHeight="1">
      <c r="B131" s="96" t="s">
        <v>2368</v>
      </c>
      <c r="C131" s="93" t="s">
        <v>1626</v>
      </c>
      <c r="D131" s="257" t="s">
        <v>333</v>
      </c>
      <c r="E131" s="81" t="s">
        <v>2011</v>
      </c>
      <c r="F131" s="157" t="s">
        <v>2622</v>
      </c>
      <c r="G131" s="93" t="s">
        <v>2996</v>
      </c>
      <c r="H131" s="93" t="s">
        <v>166</v>
      </c>
      <c r="I131" s="93" t="s">
        <v>3014</v>
      </c>
      <c r="J131" s="93" t="s">
        <v>3120</v>
      </c>
      <c r="K131" s="62" t="s">
        <v>1005</v>
      </c>
      <c r="L131" s="62" t="s">
        <v>1329</v>
      </c>
      <c r="M131" s="49" t="str">
        <f t="shared" si="16"/>
        <v>12/03/1994</v>
      </c>
      <c r="N131" s="50">
        <f ca="1">IF(M131="","",DATEDIF(M131,TODAY(),"Y"))</f>
        <v>32</v>
      </c>
      <c r="O131" s="62" t="s">
        <v>988</v>
      </c>
      <c r="P131" s="62" t="s">
        <v>996</v>
      </c>
      <c r="Q131" s="62" t="s">
        <v>1098</v>
      </c>
      <c r="R131" s="62"/>
      <c r="S131" s="89" t="s">
        <v>2328</v>
      </c>
      <c r="T131" s="93" t="s">
        <v>3304</v>
      </c>
      <c r="U131" s="84">
        <v>46356</v>
      </c>
      <c r="V131" s="61" t="str">
        <f t="shared" si="14"/>
        <v>Peninah Gacheri Kobia</v>
      </c>
      <c r="X131" s="54">
        <f t="shared" si="9"/>
        <v>10</v>
      </c>
      <c r="Y131" s="54">
        <f t="shared" si="10"/>
        <v>8</v>
      </c>
      <c r="Z131" s="54" t="str">
        <f t="shared" si="11"/>
        <v>Nyambene Sub County Hospital</v>
      </c>
    </row>
    <row r="132" spans="1:26" ht="20.149999999999999" customHeight="1">
      <c r="A132" s="282" t="s">
        <v>63</v>
      </c>
      <c r="B132" s="108" t="s">
        <v>2845</v>
      </c>
      <c r="C132" s="108" t="s">
        <v>1627</v>
      </c>
      <c r="D132" s="170" t="s">
        <v>92</v>
      </c>
      <c r="E132" s="108">
        <v>30453739</v>
      </c>
      <c r="F132" s="170" t="s">
        <v>2733</v>
      </c>
      <c r="G132" s="108" t="s">
        <v>2994</v>
      </c>
      <c r="H132" s="108" t="s">
        <v>13</v>
      </c>
      <c r="I132" s="108" t="s">
        <v>3010</v>
      </c>
      <c r="J132" s="108" t="s">
        <v>3030</v>
      </c>
      <c r="K132" s="71" t="s">
        <v>1005</v>
      </c>
      <c r="L132" s="72" t="s">
        <v>1458</v>
      </c>
      <c r="M132" s="54" t="str">
        <f t="shared" si="16"/>
        <v>24/07/1990</v>
      </c>
      <c r="N132" s="71">
        <f ca="1">DATEDIF(M132,TODAY(),"Y")</f>
        <v>36</v>
      </c>
      <c r="O132" s="71" t="s">
        <v>988</v>
      </c>
      <c r="P132" s="71" t="s">
        <v>1432</v>
      </c>
      <c r="Q132" s="71" t="s">
        <v>3115</v>
      </c>
      <c r="R132" s="71"/>
      <c r="S132" s="71"/>
      <c r="T132" s="71"/>
      <c r="U132" s="62"/>
      <c r="V132" s="61" t="str">
        <f t="shared" si="14"/>
        <v>Francis Tajeu Rimoine</v>
      </c>
      <c r="X132" s="54">
        <f t="shared" si="9"/>
        <v>10</v>
      </c>
      <c r="Y132" s="54">
        <f t="shared" si="10"/>
        <v>8</v>
      </c>
      <c r="Z132" s="54" t="str">
        <f t="shared" si="11"/>
        <v>Mbeere Sub County Hospital</v>
      </c>
    </row>
    <row r="133" spans="1:26" ht="20.149999999999999" customHeight="1">
      <c r="B133" s="154" t="s">
        <v>2410</v>
      </c>
      <c r="C133" s="154" t="s">
        <v>1626</v>
      </c>
      <c r="D133" s="176" t="s">
        <v>251</v>
      </c>
      <c r="E133" s="81">
        <v>13360735</v>
      </c>
      <c r="F133" s="154"/>
      <c r="G133" s="154" t="s">
        <v>2994</v>
      </c>
      <c r="H133" s="154" t="s">
        <v>166</v>
      </c>
      <c r="I133" s="154" t="s">
        <v>3020</v>
      </c>
      <c r="J133" s="154" t="s">
        <v>3049</v>
      </c>
      <c r="K133" s="66" t="s">
        <v>1005</v>
      </c>
      <c r="L133" s="66" t="s">
        <v>1320</v>
      </c>
      <c r="M133" s="73" t="str">
        <f t="shared" si="16"/>
        <v>01/07/1973</v>
      </c>
      <c r="N133" s="50">
        <f ca="1">IF(M133="","",DATEDIF(M133,TODAY(),"Y"))</f>
        <v>53</v>
      </c>
      <c r="O133" s="66" t="s">
        <v>1010</v>
      </c>
      <c r="P133" s="66" t="s">
        <v>1321</v>
      </c>
      <c r="Q133" s="66"/>
      <c r="R133" s="66" t="s">
        <v>1539</v>
      </c>
      <c r="S133" s="66"/>
      <c r="T133" s="66"/>
      <c r="U133" s="66"/>
      <c r="V133" s="61" t="str">
        <f t="shared" si="14"/>
        <v>Norah Mwendwa Ringera</v>
      </c>
      <c r="X133" s="54">
        <f t="shared" si="9"/>
        <v>10</v>
      </c>
      <c r="Y133" s="54">
        <f t="shared" si="10"/>
        <v>8</v>
      </c>
      <c r="Z133" s="54" t="str">
        <f t="shared" si="11"/>
        <v>St. Theresa Kirua</v>
      </c>
    </row>
    <row r="134" spans="1:26" ht="20.149999999999999" customHeight="1">
      <c r="B134" s="96" t="s">
        <v>2404</v>
      </c>
      <c r="C134" s="93" t="s">
        <v>1626</v>
      </c>
      <c r="D134" s="81" t="s">
        <v>428</v>
      </c>
      <c r="E134" s="81" t="s">
        <v>2055</v>
      </c>
      <c r="F134" s="157" t="s">
        <v>2617</v>
      </c>
      <c r="G134" s="93" t="s">
        <v>2998</v>
      </c>
      <c r="H134" s="93" t="s">
        <v>166</v>
      </c>
      <c r="I134" s="93" t="s">
        <v>3022</v>
      </c>
      <c r="J134" s="93" t="s">
        <v>3126</v>
      </c>
      <c r="K134" s="62" t="s">
        <v>1005</v>
      </c>
      <c r="L134" s="62" t="s">
        <v>1322</v>
      </c>
      <c r="M134" s="49" t="str">
        <f t="shared" si="16"/>
        <v>25/05/1995</v>
      </c>
      <c r="N134" s="50">
        <f ca="1">IF(M134="","",DATEDIF(M134,TODAY(),"Y"))</f>
        <v>31</v>
      </c>
      <c r="O134" s="62" t="s">
        <v>988</v>
      </c>
      <c r="P134" s="62" t="s">
        <v>2121</v>
      </c>
      <c r="Q134" s="62" t="s">
        <v>1057</v>
      </c>
      <c r="R134" s="62"/>
      <c r="S134" s="81" t="s">
        <v>2109</v>
      </c>
      <c r="T134" s="83">
        <v>512993</v>
      </c>
      <c r="U134" s="84">
        <v>46265</v>
      </c>
      <c r="V134" s="61" t="str">
        <f t="shared" si="14"/>
        <v>Pamela Nkatha Nkubu</v>
      </c>
      <c r="X134" s="54">
        <f t="shared" ref="X134:X199" si="17">LEN(D134)</f>
        <v>10</v>
      </c>
      <c r="Y134" s="54">
        <f t="shared" ref="Y134:Y199" si="18">LEN(E134)</f>
        <v>8</v>
      </c>
      <c r="Z134" s="54" t="str">
        <f t="shared" ref="Z134:Z199" si="19">PROPER(J134)</f>
        <v>Mutuati Sub County Hospital</v>
      </c>
    </row>
    <row r="135" spans="1:26" ht="20.149999999999999" customHeight="1">
      <c r="A135" s="55" t="s">
        <v>54</v>
      </c>
      <c r="B135" s="106" t="s">
        <v>2848</v>
      </c>
      <c r="C135" s="106" t="s">
        <v>1627</v>
      </c>
      <c r="D135" s="81" t="s">
        <v>84</v>
      </c>
      <c r="E135" s="81">
        <v>27675584</v>
      </c>
      <c r="F135" s="169" t="s">
        <v>2699</v>
      </c>
      <c r="G135" s="106" t="s">
        <v>2992</v>
      </c>
      <c r="H135" s="106" t="s">
        <v>13</v>
      </c>
      <c r="I135" s="106" t="s">
        <v>3012</v>
      </c>
      <c r="J135" s="106" t="s">
        <v>3037</v>
      </c>
      <c r="K135" s="50" t="s">
        <v>1005</v>
      </c>
      <c r="L135" s="70" t="s">
        <v>1462</v>
      </c>
      <c r="M135" s="69" t="str">
        <f t="shared" si="16"/>
        <v>04/04/1990</v>
      </c>
      <c r="N135" s="50">
        <f ca="1">DATEDIF(M135,TODAY(),"Y")</f>
        <v>36</v>
      </c>
      <c r="O135" s="50" t="s">
        <v>988</v>
      </c>
      <c r="P135" s="50" t="s">
        <v>1429</v>
      </c>
      <c r="Q135" s="50" t="s">
        <v>1155</v>
      </c>
      <c r="R135" s="50"/>
      <c r="S135" s="83" t="s">
        <v>2330</v>
      </c>
      <c r="T135" s="81" t="s">
        <v>2124</v>
      </c>
      <c r="U135" s="84">
        <v>46326</v>
      </c>
      <c r="V135" s="61" t="str">
        <f t="shared" si="14"/>
        <v>Harrison Muchiri Raingo</v>
      </c>
      <c r="X135" s="54">
        <f t="shared" si="17"/>
        <v>10</v>
      </c>
      <c r="Y135" s="54">
        <f t="shared" si="18"/>
        <v>8</v>
      </c>
      <c r="Z135" s="54" t="str">
        <f t="shared" si="19"/>
        <v>Kiritiri Health Centre</v>
      </c>
    </row>
    <row r="136" spans="1:26" ht="20.149999999999999" customHeight="1">
      <c r="A136" s="55" t="s">
        <v>126</v>
      </c>
      <c r="B136" s="106" t="s">
        <v>2852</v>
      </c>
      <c r="C136" s="106" t="s">
        <v>1627</v>
      </c>
      <c r="D136" s="81" t="s">
        <v>1997</v>
      </c>
      <c r="E136" s="81">
        <v>33233347</v>
      </c>
      <c r="F136" s="169" t="s">
        <v>2703</v>
      </c>
      <c r="G136" s="106" t="s">
        <v>2996</v>
      </c>
      <c r="H136" s="106" t="s">
        <v>13</v>
      </c>
      <c r="I136" s="106" t="s">
        <v>3013</v>
      </c>
      <c r="J136" s="106" t="s">
        <v>1897</v>
      </c>
      <c r="K136" s="50" t="s">
        <v>1060</v>
      </c>
      <c r="L136" s="70" t="s">
        <v>1457</v>
      </c>
      <c r="M136" s="69" t="str">
        <f t="shared" si="16"/>
        <v>15/08/1994</v>
      </c>
      <c r="N136" s="50">
        <f ca="1">DATEDIF(M136,TODAY(),"Y")</f>
        <v>31</v>
      </c>
      <c r="O136" s="50" t="s">
        <v>988</v>
      </c>
      <c r="P136" s="50" t="s">
        <v>1435</v>
      </c>
      <c r="Q136" s="50" t="s">
        <v>1013</v>
      </c>
      <c r="R136" s="50"/>
      <c r="S136" s="150" t="s">
        <v>2819</v>
      </c>
      <c r="T136" s="83" t="s">
        <v>2147</v>
      </c>
      <c r="U136" s="84">
        <v>46022</v>
      </c>
      <c r="V136" s="61" t="str">
        <f t="shared" si="14"/>
        <v>James Karibu Mucheru</v>
      </c>
      <c r="X136" s="54">
        <f t="shared" si="17"/>
        <v>10</v>
      </c>
      <c r="Y136" s="54">
        <f t="shared" si="18"/>
        <v>8</v>
      </c>
      <c r="Z136" s="54" t="str">
        <f t="shared" si="19"/>
        <v>Kianjokoma Health Centre</v>
      </c>
    </row>
    <row r="137" spans="1:26" ht="20.149999999999999" customHeight="1">
      <c r="B137" s="106" t="s">
        <v>2854</v>
      </c>
      <c r="C137" s="106" t="s">
        <v>1627</v>
      </c>
      <c r="D137" s="81" t="s">
        <v>2000</v>
      </c>
      <c r="E137" s="81">
        <v>34215109</v>
      </c>
      <c r="F137" s="169" t="s">
        <v>2738</v>
      </c>
      <c r="G137" s="106" t="s">
        <v>2996</v>
      </c>
      <c r="H137" s="106" t="s">
        <v>13</v>
      </c>
      <c r="I137" s="106" t="s">
        <v>3011</v>
      </c>
      <c r="J137" s="106" t="s">
        <v>3040</v>
      </c>
      <c r="K137" s="50" t="s">
        <v>1520</v>
      </c>
      <c r="L137" s="70" t="s">
        <v>1527</v>
      </c>
      <c r="M137" s="69" t="str">
        <f t="shared" si="16"/>
        <v>24/10/1997</v>
      </c>
      <c r="N137" s="50">
        <f ca="1">DATEDIF(M137,TODAY(),"Y")</f>
        <v>28</v>
      </c>
      <c r="O137" s="50" t="s">
        <v>988</v>
      </c>
      <c r="P137" s="50" t="s">
        <v>1435</v>
      </c>
      <c r="Q137" s="50" t="s">
        <v>1399</v>
      </c>
      <c r="R137" s="50"/>
      <c r="S137" s="81" t="s">
        <v>2819</v>
      </c>
      <c r="T137" s="90" t="s">
        <v>2152</v>
      </c>
      <c r="U137" s="62"/>
      <c r="V137" s="61" t="str">
        <f t="shared" si="14"/>
        <v>John Peter Muriuki</v>
      </c>
      <c r="X137" s="54">
        <f t="shared" si="17"/>
        <v>10</v>
      </c>
      <c r="Y137" s="54">
        <f t="shared" si="18"/>
        <v>8</v>
      </c>
      <c r="Z137" s="54" t="str">
        <f t="shared" si="19"/>
        <v>Kibugu Health Centre</v>
      </c>
    </row>
    <row r="138" spans="1:26" ht="20.149999999999999" customHeight="1">
      <c r="A138" s="55" t="s">
        <v>111</v>
      </c>
      <c r="B138" s="106" t="s">
        <v>2858</v>
      </c>
      <c r="C138" s="106" t="s">
        <v>1627</v>
      </c>
      <c r="D138" s="81" t="s">
        <v>1993</v>
      </c>
      <c r="E138" s="81" t="s">
        <v>1994</v>
      </c>
      <c r="F138" s="169" t="s">
        <v>2708</v>
      </c>
      <c r="G138" s="106" t="s">
        <v>2996</v>
      </c>
      <c r="H138" s="106" t="s">
        <v>13</v>
      </c>
      <c r="I138" s="106" t="s">
        <v>3010</v>
      </c>
      <c r="J138" s="106" t="s">
        <v>3031</v>
      </c>
      <c r="K138" s="50" t="s">
        <v>1448</v>
      </c>
      <c r="L138" s="70" t="s">
        <v>1449</v>
      </c>
      <c r="M138" s="69" t="str">
        <f t="shared" si="16"/>
        <v>06/11/1998</v>
      </c>
      <c r="N138" s="50">
        <f ca="1">DATEDIF(M138,TODAY(),"Y")</f>
        <v>27</v>
      </c>
      <c r="O138" s="50" t="s">
        <v>998</v>
      </c>
      <c r="P138" s="50" t="s">
        <v>1406</v>
      </c>
      <c r="Q138" s="50" t="s">
        <v>1000</v>
      </c>
      <c r="R138" s="50"/>
      <c r="S138" s="81" t="s">
        <v>2819</v>
      </c>
      <c r="T138" s="83" t="s">
        <v>2150</v>
      </c>
      <c r="U138" s="84">
        <v>46356</v>
      </c>
      <c r="V138" s="61" t="str">
        <f t="shared" si="14"/>
        <v>Kelvin Muciri Njagi</v>
      </c>
      <c r="X138" s="54">
        <f t="shared" si="17"/>
        <v>10</v>
      </c>
      <c r="Y138" s="54">
        <f t="shared" si="18"/>
        <v>8</v>
      </c>
      <c r="Z138" s="54" t="str">
        <f t="shared" si="19"/>
        <v>Ishiara Level 4 Hospital</v>
      </c>
    </row>
    <row r="139" spans="1:26" ht="20.149999999999999" customHeight="1">
      <c r="B139" s="96" t="s">
        <v>2351</v>
      </c>
      <c r="C139" s="93" t="s">
        <v>1626</v>
      </c>
      <c r="D139" s="81" t="s">
        <v>255</v>
      </c>
      <c r="E139" s="81" t="s">
        <v>2080</v>
      </c>
      <c r="F139" s="157" t="s">
        <v>2623</v>
      </c>
      <c r="G139" s="93" t="s">
        <v>2994</v>
      </c>
      <c r="H139" s="93" t="s">
        <v>166</v>
      </c>
      <c r="I139" s="93" t="s">
        <v>3024</v>
      </c>
      <c r="J139" s="93" t="s">
        <v>3129</v>
      </c>
      <c r="K139" s="62" t="s">
        <v>1005</v>
      </c>
      <c r="L139" s="62" t="s">
        <v>1328</v>
      </c>
      <c r="M139" s="49" t="str">
        <f t="shared" si="16"/>
        <v>15/09/1989</v>
      </c>
      <c r="N139" s="50">
        <f ca="1">IF(M139="","",DATEDIF(M139,TODAY(),"Y"))</f>
        <v>36</v>
      </c>
      <c r="O139" s="62" t="s">
        <v>988</v>
      </c>
      <c r="P139" s="62" t="s">
        <v>1503</v>
      </c>
      <c r="Q139" s="62" t="s">
        <v>989</v>
      </c>
      <c r="R139" s="62" t="s">
        <v>1539</v>
      </c>
      <c r="S139" s="62"/>
      <c r="T139" s="62"/>
      <c r="U139" s="62"/>
      <c r="V139" s="61" t="str">
        <f t="shared" si="14"/>
        <v>Peninah Gatwiri Kubania</v>
      </c>
      <c r="X139" s="54">
        <f t="shared" si="17"/>
        <v>10</v>
      </c>
      <c r="Y139" s="54">
        <f t="shared" si="18"/>
        <v>8</v>
      </c>
      <c r="Z139" s="54" t="str">
        <f t="shared" si="19"/>
        <v>Mbeu Sub County Hospital</v>
      </c>
    </row>
    <row r="140" spans="1:26" s="73" customFormat="1" ht="20.149999999999999" customHeight="1">
      <c r="A140" s="282"/>
      <c r="B140" s="224" t="s">
        <v>2396</v>
      </c>
      <c r="C140" s="154" t="s">
        <v>1626</v>
      </c>
      <c r="D140" s="113" t="s">
        <v>404</v>
      </c>
      <c r="E140" s="113" t="s">
        <v>2051</v>
      </c>
      <c r="F140" s="223" t="s">
        <v>2624</v>
      </c>
      <c r="G140" s="154" t="s">
        <v>2992</v>
      </c>
      <c r="H140" s="154" t="s">
        <v>166</v>
      </c>
      <c r="I140" s="154" t="s">
        <v>3014</v>
      </c>
      <c r="J140" s="154" t="s">
        <v>3045</v>
      </c>
      <c r="K140" s="66" t="s">
        <v>1005</v>
      </c>
      <c r="L140" s="66" t="s">
        <v>1325</v>
      </c>
      <c r="M140" s="73" t="str">
        <f t="shared" si="16"/>
        <v>22/11/1988</v>
      </c>
      <c r="N140" s="71">
        <f ca="1">IF(M140="","",DATEDIF(M140,TODAY(),"Y"))</f>
        <v>37</v>
      </c>
      <c r="O140" s="66" t="s">
        <v>1326</v>
      </c>
      <c r="P140" s="66" t="s">
        <v>1327</v>
      </c>
      <c r="Q140" s="66" t="s">
        <v>1273</v>
      </c>
      <c r="R140" s="66"/>
      <c r="S140" s="66"/>
      <c r="T140" s="66"/>
      <c r="U140" s="66"/>
      <c r="V140" s="68" t="str">
        <f t="shared" si="14"/>
        <v>Peninah Mwendwa</v>
      </c>
      <c r="X140" s="54">
        <f t="shared" si="17"/>
        <v>10</v>
      </c>
      <c r="Y140" s="54">
        <f t="shared" si="18"/>
        <v>8</v>
      </c>
      <c r="Z140" s="54" t="str">
        <f t="shared" si="19"/>
        <v>Maua Dice</v>
      </c>
    </row>
    <row r="141" spans="1:26" ht="20.149999999999999" customHeight="1">
      <c r="A141" s="55" t="s">
        <v>107</v>
      </c>
      <c r="B141" s="106" t="s">
        <v>2859</v>
      </c>
      <c r="C141" s="106" t="s">
        <v>1627</v>
      </c>
      <c r="D141" s="82" t="s">
        <v>128</v>
      </c>
      <c r="E141" s="81" t="s">
        <v>1992</v>
      </c>
      <c r="F141" s="169" t="s">
        <v>2710</v>
      </c>
      <c r="G141" s="106" t="s">
        <v>2996</v>
      </c>
      <c r="H141" s="106" t="s">
        <v>13</v>
      </c>
      <c r="I141" s="106" t="s">
        <v>3013</v>
      </c>
      <c r="J141" s="106" t="s">
        <v>3035</v>
      </c>
      <c r="K141" s="50" t="s">
        <v>1005</v>
      </c>
      <c r="L141" s="70" t="s">
        <v>1446</v>
      </c>
      <c r="M141" s="69" t="str">
        <f t="shared" si="16"/>
        <v>14/01/1993</v>
      </c>
      <c r="N141" s="50">
        <f ca="1">DATEDIF(M141,TODAY(),"Y")</f>
        <v>33</v>
      </c>
      <c r="O141" s="50" t="s">
        <v>988</v>
      </c>
      <c r="P141" s="50" t="s">
        <v>1435</v>
      </c>
      <c r="Q141" s="50" t="s">
        <v>1447</v>
      </c>
      <c r="R141" s="50"/>
      <c r="S141" s="82" t="s">
        <v>2819</v>
      </c>
      <c r="T141" s="90" t="s">
        <v>2145</v>
      </c>
      <c r="U141" s="84">
        <v>46265</v>
      </c>
      <c r="V141" s="61" t="str">
        <f t="shared" si="14"/>
        <v>Kenneth Mugambi Titus</v>
      </c>
      <c r="X141" s="54">
        <f t="shared" si="17"/>
        <v>10</v>
      </c>
      <c r="Y141" s="54">
        <f t="shared" si="18"/>
        <v>8</v>
      </c>
      <c r="Z141" s="54" t="str">
        <f t="shared" si="19"/>
        <v>Runyenjes Sub County Hospital</v>
      </c>
    </row>
    <row r="142" spans="1:26" ht="20.149999999999999" customHeight="1">
      <c r="A142" s="282" t="s">
        <v>89</v>
      </c>
      <c r="B142" s="108" t="s">
        <v>2860</v>
      </c>
      <c r="C142" s="108" t="s">
        <v>1627</v>
      </c>
      <c r="D142" s="170" t="s">
        <v>117</v>
      </c>
      <c r="E142" s="108">
        <v>28572675</v>
      </c>
      <c r="F142" s="108" t="s">
        <v>2711</v>
      </c>
      <c r="G142" s="108" t="s">
        <v>2994</v>
      </c>
      <c r="H142" s="108" t="s">
        <v>13</v>
      </c>
      <c r="I142" s="108" t="s">
        <v>3011</v>
      </c>
      <c r="J142" s="108" t="s">
        <v>3034</v>
      </c>
      <c r="K142" s="71" t="s">
        <v>1005</v>
      </c>
      <c r="L142" s="72" t="s">
        <v>1443</v>
      </c>
      <c r="M142" s="54" t="str">
        <f t="shared" si="16"/>
        <v>20/12/1990</v>
      </c>
      <c r="N142" s="71">
        <f ca="1">DATEDIF(M142,TODAY(),"Y")</f>
        <v>35</v>
      </c>
      <c r="O142" s="71" t="s">
        <v>1414</v>
      </c>
      <c r="P142" s="71" t="s">
        <v>1444</v>
      </c>
      <c r="Q142" s="71" t="s">
        <v>3115</v>
      </c>
      <c r="R142" s="71"/>
      <c r="S142" s="71"/>
      <c r="T142" s="71"/>
      <c r="U142" s="84"/>
      <c r="V142" s="61" t="str">
        <f t="shared" si="14"/>
        <v>Leonard Njeru</v>
      </c>
      <c r="X142" s="54">
        <f t="shared" si="17"/>
        <v>10</v>
      </c>
      <c r="Y142" s="54">
        <f t="shared" si="18"/>
        <v>8</v>
      </c>
      <c r="Z142" s="54" t="str">
        <f t="shared" si="19"/>
        <v>Embu Level 5 Hospital</v>
      </c>
    </row>
    <row r="143" spans="1:26" ht="20.149999999999999" customHeight="1">
      <c r="B143" s="96" t="s">
        <v>2432</v>
      </c>
      <c r="C143" s="93" t="s">
        <v>1626</v>
      </c>
      <c r="D143" s="81" t="s">
        <v>2060</v>
      </c>
      <c r="E143" s="81">
        <v>33448533</v>
      </c>
      <c r="F143" s="157" t="s">
        <v>2627</v>
      </c>
      <c r="G143" s="93" t="s">
        <v>2998</v>
      </c>
      <c r="H143" s="93" t="s">
        <v>166</v>
      </c>
      <c r="I143" s="93" t="s">
        <v>3023</v>
      </c>
      <c r="J143" s="93" t="s">
        <v>3127</v>
      </c>
      <c r="K143" s="62" t="s">
        <v>1333</v>
      </c>
      <c r="L143" s="62" t="s">
        <v>2628</v>
      </c>
      <c r="M143" s="49" t="str">
        <f t="shared" si="16"/>
        <v>22/05/1996</v>
      </c>
      <c r="N143" s="50">
        <f t="shared" ref="N143:N151" ca="1" si="20">IF(M143="","",DATEDIF(M143,TODAY(),"Y"))</f>
        <v>30</v>
      </c>
      <c r="O143" s="62" t="s">
        <v>988</v>
      </c>
      <c r="P143" s="62" t="s">
        <v>2121</v>
      </c>
      <c r="Q143" s="62" t="s">
        <v>1334</v>
      </c>
      <c r="R143" s="62"/>
      <c r="S143" s="81" t="s">
        <v>2109</v>
      </c>
      <c r="T143" s="83">
        <v>513795</v>
      </c>
      <c r="U143" s="84">
        <v>46265</v>
      </c>
      <c r="V143" s="61" t="str">
        <f t="shared" si="14"/>
        <v>Polly Kagwiria Murithi</v>
      </c>
      <c r="X143" s="54">
        <f t="shared" si="17"/>
        <v>10</v>
      </c>
      <c r="Y143" s="54">
        <f t="shared" si="18"/>
        <v>8</v>
      </c>
      <c r="Z143" s="54" t="str">
        <f t="shared" si="19"/>
        <v>Mikinduri Sub County Hospital</v>
      </c>
    </row>
    <row r="144" spans="1:26" ht="20.149999999999999" customHeight="1">
      <c r="B144" s="154" t="s">
        <v>2421</v>
      </c>
      <c r="C144" s="154" t="s">
        <v>1626</v>
      </c>
      <c r="D144" s="176" t="s">
        <v>307</v>
      </c>
      <c r="E144" s="81">
        <v>25227281</v>
      </c>
      <c r="F144" s="158" t="s">
        <v>2691</v>
      </c>
      <c r="G144" s="154" t="s">
        <v>2994</v>
      </c>
      <c r="H144" s="154" t="s">
        <v>166</v>
      </c>
      <c r="I144" s="154" t="s">
        <v>3016</v>
      </c>
      <c r="J144" s="154" t="s">
        <v>3057</v>
      </c>
      <c r="K144" s="66" t="s">
        <v>1005</v>
      </c>
      <c r="L144" s="66" t="s">
        <v>1335</v>
      </c>
      <c r="M144" s="73" t="str">
        <f t="shared" si="16"/>
        <v>15/06/1987</v>
      </c>
      <c r="N144" s="50">
        <f t="shared" ca="1" si="20"/>
        <v>39</v>
      </c>
      <c r="O144" s="66" t="s">
        <v>988</v>
      </c>
      <c r="P144" s="66" t="s">
        <v>1336</v>
      </c>
      <c r="Q144" s="66" t="s">
        <v>1337</v>
      </c>
      <c r="R144" s="66" t="s">
        <v>1539</v>
      </c>
      <c r="S144" s="66"/>
      <c r="T144" s="66"/>
      <c r="U144" s="66"/>
      <c r="V144" s="61" t="str">
        <f t="shared" si="14"/>
        <v>Rael Mukiria Arimba</v>
      </c>
      <c r="X144" s="54">
        <f t="shared" si="17"/>
        <v>10</v>
      </c>
      <c r="Y144" s="54">
        <f t="shared" si="18"/>
        <v>8</v>
      </c>
      <c r="Z144" s="54" t="str">
        <f t="shared" si="19"/>
        <v>Tuuru</v>
      </c>
    </row>
    <row r="145" spans="1:26" ht="20.149999999999999" customHeight="1">
      <c r="B145" s="96" t="s">
        <v>2629</v>
      </c>
      <c r="C145" s="93" t="s">
        <v>1626</v>
      </c>
      <c r="D145" s="81" t="s">
        <v>517</v>
      </c>
      <c r="E145" s="81">
        <v>25742564</v>
      </c>
      <c r="F145" s="157" t="s">
        <v>2630</v>
      </c>
      <c r="G145" s="93" t="s">
        <v>2994</v>
      </c>
      <c r="H145" s="93" t="s">
        <v>166</v>
      </c>
      <c r="I145" s="93" t="s">
        <v>3017</v>
      </c>
      <c r="J145" s="93" t="s">
        <v>3131</v>
      </c>
      <c r="K145" s="62" t="s">
        <v>1036</v>
      </c>
      <c r="L145" s="62" t="s">
        <v>1338</v>
      </c>
      <c r="M145" s="49" t="str">
        <f t="shared" si="16"/>
        <v>27/12/1984</v>
      </c>
      <c r="N145" s="50">
        <f t="shared" ca="1" si="20"/>
        <v>41</v>
      </c>
      <c r="O145" s="62" t="s">
        <v>988</v>
      </c>
      <c r="P145" s="62" t="s">
        <v>1072</v>
      </c>
      <c r="Q145" s="62" t="s">
        <v>1340</v>
      </c>
      <c r="R145" s="62" t="s">
        <v>1496</v>
      </c>
      <c r="S145" s="62"/>
      <c r="T145" s="62"/>
      <c r="U145" s="62"/>
      <c r="V145" s="61" t="str">
        <f t="shared" si="14"/>
        <v>Rosechristiner Watetu Karemi</v>
      </c>
      <c r="X145" s="54">
        <f t="shared" si="17"/>
        <v>10</v>
      </c>
      <c r="Y145" s="54">
        <f t="shared" si="18"/>
        <v>8</v>
      </c>
      <c r="Z145" s="54" t="str">
        <f t="shared" si="19"/>
        <v>Mikumbune Sub County Hospital</v>
      </c>
    </row>
    <row r="146" spans="1:26" ht="20.149999999999999" customHeight="1">
      <c r="B146" s="96" t="s">
        <v>2405</v>
      </c>
      <c r="C146" s="93" t="s">
        <v>1626</v>
      </c>
      <c r="D146" s="81" t="s">
        <v>431</v>
      </c>
      <c r="E146" s="81" t="s">
        <v>2054</v>
      </c>
      <c r="F146" s="157" t="s">
        <v>2631</v>
      </c>
      <c r="G146" s="93" t="s">
        <v>2998</v>
      </c>
      <c r="H146" s="93" t="s">
        <v>166</v>
      </c>
      <c r="I146" s="93" t="s">
        <v>3014</v>
      </c>
      <c r="J146" s="93" t="s">
        <v>3120</v>
      </c>
      <c r="K146" s="62" t="s">
        <v>1005</v>
      </c>
      <c r="L146" s="62" t="s">
        <v>1339</v>
      </c>
      <c r="M146" s="49" t="str">
        <f t="shared" si="16"/>
        <v>20/03/1995</v>
      </c>
      <c r="N146" s="50">
        <f t="shared" ca="1" si="20"/>
        <v>31</v>
      </c>
      <c r="O146" s="63" t="s">
        <v>998</v>
      </c>
      <c r="P146" s="62" t="s">
        <v>2154</v>
      </c>
      <c r="Q146" s="62" t="s">
        <v>1068</v>
      </c>
      <c r="R146" s="62"/>
      <c r="S146" s="81" t="s">
        <v>2109</v>
      </c>
      <c r="T146" s="83">
        <v>507512</v>
      </c>
      <c r="U146" s="84">
        <v>46234</v>
      </c>
      <c r="V146" s="61" t="str">
        <f t="shared" si="14"/>
        <v>Roselyne Kendi Kabiringu</v>
      </c>
      <c r="X146" s="54">
        <f t="shared" si="17"/>
        <v>10</v>
      </c>
      <c r="Y146" s="54">
        <f t="shared" si="18"/>
        <v>8</v>
      </c>
      <c r="Z146" s="54" t="str">
        <f t="shared" si="19"/>
        <v>Nyambene Sub County Hospital</v>
      </c>
    </row>
    <row r="147" spans="1:26" ht="20.149999999999999" customHeight="1">
      <c r="B147" s="96" t="s">
        <v>2340</v>
      </c>
      <c r="C147" s="93" t="s">
        <v>1626</v>
      </c>
      <c r="D147" s="81" t="s">
        <v>2061</v>
      </c>
      <c r="E147" s="106">
        <v>26179102</v>
      </c>
      <c r="F147" s="182" t="s">
        <v>2634</v>
      </c>
      <c r="G147" s="93" t="s">
        <v>3005</v>
      </c>
      <c r="H147" s="93" t="s">
        <v>166</v>
      </c>
      <c r="I147" s="93" t="s">
        <v>3014</v>
      </c>
      <c r="J147" s="93" t="s">
        <v>3120</v>
      </c>
      <c r="K147" s="62" t="s">
        <v>1028</v>
      </c>
      <c r="L147" s="62" t="s">
        <v>1344</v>
      </c>
      <c r="M147" s="49" t="str">
        <f t="shared" si="16"/>
        <v>01/01/1971</v>
      </c>
      <c r="N147" s="50">
        <f t="shared" ca="1" si="20"/>
        <v>55</v>
      </c>
      <c r="O147" s="62" t="s">
        <v>1188</v>
      </c>
      <c r="P147" s="62" t="s">
        <v>1345</v>
      </c>
      <c r="Q147" s="62" t="s">
        <v>989</v>
      </c>
      <c r="R147" s="62"/>
      <c r="S147" s="150" t="s">
        <v>2108</v>
      </c>
      <c r="T147" s="83" t="s">
        <v>3306</v>
      </c>
      <c r="U147" s="84">
        <v>46387</v>
      </c>
      <c r="V147" s="61" t="str">
        <f t="shared" si="14"/>
        <v>Salome Gacheri Ikiara</v>
      </c>
      <c r="X147" s="54">
        <f t="shared" si="17"/>
        <v>10</v>
      </c>
      <c r="Y147" s="54">
        <f t="shared" si="18"/>
        <v>8</v>
      </c>
      <c r="Z147" s="54" t="str">
        <f t="shared" si="19"/>
        <v>Nyambene Sub County Hospital</v>
      </c>
    </row>
    <row r="148" spans="1:26" ht="20.149999999999999" customHeight="1">
      <c r="B148" s="96" t="s">
        <v>2352</v>
      </c>
      <c r="C148" s="93" t="s">
        <v>1626</v>
      </c>
      <c r="D148" s="81" t="s">
        <v>259</v>
      </c>
      <c r="E148" s="81" t="s">
        <v>2081</v>
      </c>
      <c r="F148" s="157" t="s">
        <v>2635</v>
      </c>
      <c r="G148" s="93" t="s">
        <v>2994</v>
      </c>
      <c r="H148" s="93" t="s">
        <v>166</v>
      </c>
      <c r="I148" s="93" t="s">
        <v>3019</v>
      </c>
      <c r="J148" s="93" t="s">
        <v>3122</v>
      </c>
      <c r="K148" s="62" t="s">
        <v>1005</v>
      </c>
      <c r="L148" s="62" t="s">
        <v>1341</v>
      </c>
      <c r="M148" s="49" t="str">
        <f t="shared" si="16"/>
        <v>15/06/1970</v>
      </c>
      <c r="N148" s="50">
        <f t="shared" ca="1" si="20"/>
        <v>56</v>
      </c>
      <c r="O148" s="62" t="s">
        <v>1010</v>
      </c>
      <c r="P148" s="62" t="s">
        <v>1342</v>
      </c>
      <c r="Q148" s="62" t="s">
        <v>1343</v>
      </c>
      <c r="R148" s="62" t="s">
        <v>1539</v>
      </c>
      <c r="S148" s="62"/>
      <c r="T148" s="62"/>
      <c r="U148" s="62"/>
      <c r="V148" s="61" t="str">
        <f t="shared" si="14"/>
        <v>Salome Kinya Abdi</v>
      </c>
      <c r="X148" s="54">
        <f t="shared" si="17"/>
        <v>10</v>
      </c>
      <c r="Y148" s="54">
        <f t="shared" si="18"/>
        <v>8</v>
      </c>
      <c r="Z148" s="54" t="str">
        <f t="shared" si="19"/>
        <v>Timau Sub County Hospital</v>
      </c>
    </row>
    <row r="149" spans="1:26" ht="20.149999999999999" customHeight="1">
      <c r="B149" s="96" t="s">
        <v>2353</v>
      </c>
      <c r="C149" s="93" t="s">
        <v>1626</v>
      </c>
      <c r="D149" s="81" t="s">
        <v>263</v>
      </c>
      <c r="E149" s="81" t="s">
        <v>2082</v>
      </c>
      <c r="F149" s="157" t="s">
        <v>2636</v>
      </c>
      <c r="G149" s="93" t="s">
        <v>2994</v>
      </c>
      <c r="H149" s="93" t="s">
        <v>166</v>
      </c>
      <c r="I149" s="93" t="s">
        <v>3022</v>
      </c>
      <c r="J149" s="93" t="s">
        <v>3095</v>
      </c>
      <c r="K149" s="62" t="s">
        <v>1005</v>
      </c>
      <c r="L149" s="62" t="s">
        <v>1346</v>
      </c>
      <c r="M149" s="49" t="str">
        <f t="shared" si="16"/>
        <v>07/02/1987</v>
      </c>
      <c r="N149" s="50">
        <f t="shared" ca="1" si="20"/>
        <v>39</v>
      </c>
      <c r="O149" s="62" t="s">
        <v>1010</v>
      </c>
      <c r="P149" s="62" t="s">
        <v>1347</v>
      </c>
      <c r="Q149" s="62" t="s">
        <v>1567</v>
      </c>
      <c r="R149" s="62" t="s">
        <v>1539</v>
      </c>
      <c r="S149" s="62"/>
      <c r="T149" s="62"/>
      <c r="U149" s="62"/>
      <c r="V149" s="61" t="str">
        <f t="shared" si="14"/>
        <v>Sarah Mithika Kagwiria</v>
      </c>
      <c r="X149" s="54">
        <f t="shared" si="17"/>
        <v>10</v>
      </c>
      <c r="Y149" s="54">
        <f t="shared" si="18"/>
        <v>8</v>
      </c>
      <c r="Z149" s="54" t="str">
        <f t="shared" si="19"/>
        <v>Theera Health Centre</v>
      </c>
    </row>
    <row r="150" spans="1:26" ht="20.149999999999999" customHeight="1">
      <c r="B150" s="96" t="s">
        <v>2354</v>
      </c>
      <c r="C150" s="93" t="s">
        <v>1626</v>
      </c>
      <c r="D150" s="81" t="s">
        <v>267</v>
      </c>
      <c r="E150" s="81" t="s">
        <v>2083</v>
      </c>
      <c r="F150" s="157" t="s">
        <v>2637</v>
      </c>
      <c r="G150" s="93" t="s">
        <v>2994</v>
      </c>
      <c r="H150" s="93" t="s">
        <v>166</v>
      </c>
      <c r="I150" s="93" t="s">
        <v>3015</v>
      </c>
      <c r="J150" s="93" t="s">
        <v>3142</v>
      </c>
      <c r="K150" s="62" t="s">
        <v>1005</v>
      </c>
      <c r="L150" s="62" t="s">
        <v>1348</v>
      </c>
      <c r="M150" s="49" t="str">
        <f t="shared" si="16"/>
        <v>03/12/1996</v>
      </c>
      <c r="N150" s="50">
        <f t="shared" ca="1" si="20"/>
        <v>29</v>
      </c>
      <c r="O150" s="62" t="s">
        <v>988</v>
      </c>
      <c r="P150" s="62" t="s">
        <v>1227</v>
      </c>
      <c r="Q150" s="62" t="s">
        <v>3119</v>
      </c>
      <c r="R150" s="62" t="s">
        <v>1539</v>
      </c>
      <c r="S150" s="62"/>
      <c r="T150" s="62"/>
      <c r="U150" s="62"/>
      <c r="V150" s="61" t="str">
        <f t="shared" si="14"/>
        <v>Sharon Kendi Mbae</v>
      </c>
      <c r="X150" s="54">
        <f t="shared" si="17"/>
        <v>10</v>
      </c>
      <c r="Y150" s="54">
        <f t="shared" si="18"/>
        <v>8</v>
      </c>
      <c r="Z150" s="54" t="str">
        <f t="shared" si="19"/>
        <v>Meru Teaching And Referral Hospital</v>
      </c>
    </row>
    <row r="151" spans="1:26" ht="20.149999999999999" customHeight="1">
      <c r="B151" s="96" t="s">
        <v>2377</v>
      </c>
      <c r="C151" s="93" t="s">
        <v>1626</v>
      </c>
      <c r="D151" s="149" t="s">
        <v>359</v>
      </c>
      <c r="E151" s="139" t="s">
        <v>2044</v>
      </c>
      <c r="F151" s="183" t="s">
        <v>2638</v>
      </c>
      <c r="G151" s="93" t="s">
        <v>2992</v>
      </c>
      <c r="H151" s="93" t="s">
        <v>166</v>
      </c>
      <c r="I151" s="93" t="s">
        <v>3024</v>
      </c>
      <c r="J151" s="93" t="s">
        <v>3058</v>
      </c>
      <c r="K151" s="62" t="s">
        <v>1005</v>
      </c>
      <c r="L151" s="62" t="s">
        <v>1349</v>
      </c>
      <c r="M151" s="49" t="str">
        <f t="shared" si="16"/>
        <v>29/07/1992</v>
      </c>
      <c r="N151" s="50">
        <f t="shared" ca="1" si="20"/>
        <v>33</v>
      </c>
      <c r="O151" s="62" t="s">
        <v>988</v>
      </c>
      <c r="P151" s="62" t="s">
        <v>983</v>
      </c>
      <c r="Q151" s="62" t="s">
        <v>1284</v>
      </c>
      <c r="R151" s="62"/>
      <c r="S151" s="81" t="s">
        <v>2330</v>
      </c>
      <c r="T151" s="81" t="s">
        <v>3153</v>
      </c>
      <c r="U151" s="84">
        <v>46365</v>
      </c>
      <c r="V151" s="61" t="str">
        <f t="shared" si="14"/>
        <v>Sophia Nkatha</v>
      </c>
      <c r="X151" s="54">
        <f t="shared" si="17"/>
        <v>10</v>
      </c>
      <c r="Y151" s="54">
        <f t="shared" si="18"/>
        <v>8</v>
      </c>
      <c r="Z151" s="54" t="str">
        <f t="shared" si="19"/>
        <v xml:space="preserve">Miathene Hospital </v>
      </c>
    </row>
    <row r="152" spans="1:26" ht="20.149999999999999" customHeight="1">
      <c r="B152" s="106" t="s">
        <v>2865</v>
      </c>
      <c r="C152" s="106" t="s">
        <v>1627</v>
      </c>
      <c r="D152" s="81" t="s">
        <v>2002</v>
      </c>
      <c r="E152" s="81">
        <v>37589090</v>
      </c>
      <c r="F152" s="169" t="s">
        <v>2740</v>
      </c>
      <c r="G152" s="106" t="s">
        <v>2999</v>
      </c>
      <c r="H152" s="106" t="s">
        <v>13</v>
      </c>
      <c r="I152" s="106" t="s">
        <v>3011</v>
      </c>
      <c r="J152" s="106" t="s">
        <v>3034</v>
      </c>
      <c r="K152" s="50" t="s">
        <v>1520</v>
      </c>
      <c r="L152" s="70" t="s">
        <v>2138</v>
      </c>
      <c r="M152" s="69" t="str">
        <f t="shared" si="16"/>
        <v>20/08/2000</v>
      </c>
      <c r="N152" s="50">
        <f ca="1">DATEDIF(M152,TODAY(),"Y")</f>
        <v>25</v>
      </c>
      <c r="O152" s="50" t="s">
        <v>988</v>
      </c>
      <c r="P152" s="50" t="s">
        <v>2139</v>
      </c>
      <c r="Q152" s="50" t="s">
        <v>1294</v>
      </c>
      <c r="R152" s="50"/>
      <c r="S152" s="81"/>
      <c r="T152" s="90"/>
      <c r="U152" s="84"/>
      <c r="V152" s="61" t="str">
        <f t="shared" si="14"/>
        <v>Newton Chege Maina</v>
      </c>
      <c r="X152" s="54">
        <f t="shared" si="17"/>
        <v>10</v>
      </c>
      <c r="Y152" s="54">
        <f t="shared" si="18"/>
        <v>8</v>
      </c>
      <c r="Z152" s="54" t="str">
        <f t="shared" si="19"/>
        <v>Embu Level 5 Hospital</v>
      </c>
    </row>
    <row r="153" spans="1:26" ht="20.149999999999999" customHeight="1">
      <c r="B153" s="96" t="s">
        <v>2361</v>
      </c>
      <c r="C153" s="93" t="s">
        <v>1626</v>
      </c>
      <c r="D153" s="81" t="s">
        <v>295</v>
      </c>
      <c r="E153" s="81">
        <v>30799530</v>
      </c>
      <c r="F153" s="157" t="s">
        <v>2640</v>
      </c>
      <c r="G153" s="93" t="s">
        <v>2994</v>
      </c>
      <c r="H153" s="93" t="s">
        <v>166</v>
      </c>
      <c r="I153" s="93" t="s">
        <v>3020</v>
      </c>
      <c r="J153" s="93" t="s">
        <v>3055</v>
      </c>
      <c r="K153" s="62" t="s">
        <v>1005</v>
      </c>
      <c r="L153" s="62" t="s">
        <v>1504</v>
      </c>
      <c r="M153" s="49" t="str">
        <f t="shared" si="16"/>
        <v>30/01/1994</v>
      </c>
      <c r="N153" s="50">
        <f ca="1">IF(M153="","",DATEDIF(M153,TODAY(),"Y"))</f>
        <v>32</v>
      </c>
      <c r="O153" s="62" t="s">
        <v>1188</v>
      </c>
      <c r="P153" s="62" t="s">
        <v>1184</v>
      </c>
      <c r="Q153" s="62" t="s">
        <v>1340</v>
      </c>
      <c r="R153" s="62" t="s">
        <v>1540</v>
      </c>
      <c r="S153" s="62"/>
      <c r="T153" s="62"/>
      <c r="U153" s="62"/>
      <c r="V153" s="61" t="str">
        <f t="shared" si="14"/>
        <v xml:space="preserve">Stella Gacheri </v>
      </c>
      <c r="X153" s="54">
        <f t="shared" si="17"/>
        <v>10</v>
      </c>
      <c r="Y153" s="54">
        <f t="shared" si="18"/>
        <v>8</v>
      </c>
      <c r="Z153" s="54" t="str">
        <f t="shared" si="19"/>
        <v>Kiirua Health Centre</v>
      </c>
    </row>
    <row r="154" spans="1:26" ht="20.149999999999999" customHeight="1">
      <c r="A154" s="282" t="s">
        <v>118</v>
      </c>
      <c r="B154" s="108" t="s">
        <v>2868</v>
      </c>
      <c r="C154" s="108" t="s">
        <v>1627</v>
      </c>
      <c r="D154" s="170" t="s">
        <v>139</v>
      </c>
      <c r="E154" s="108">
        <v>21780575</v>
      </c>
      <c r="F154" s="108" t="s">
        <v>2724</v>
      </c>
      <c r="G154" s="108" t="s">
        <v>2994</v>
      </c>
      <c r="H154" s="108" t="s">
        <v>13</v>
      </c>
      <c r="I154" s="108" t="s">
        <v>3013</v>
      </c>
      <c r="J154" s="108" t="s">
        <v>3035</v>
      </c>
      <c r="K154" s="71" t="s">
        <v>1005</v>
      </c>
      <c r="L154" s="72" t="s">
        <v>1424</v>
      </c>
      <c r="M154" s="54" t="str">
        <f t="shared" si="16"/>
        <v>15/12/1976</v>
      </c>
      <c r="N154" s="71">
        <f ca="1">DATEDIF(M154,TODAY(),"Y")</f>
        <v>49</v>
      </c>
      <c r="O154" s="71" t="s">
        <v>1010</v>
      </c>
      <c r="P154" s="71" t="s">
        <v>1218</v>
      </c>
      <c r="Q154" s="71"/>
      <c r="R154" s="71"/>
      <c r="S154" s="71"/>
      <c r="T154" s="71"/>
      <c r="U154" s="66"/>
      <c r="V154" s="61" t="str">
        <f t="shared" si="14"/>
        <v>Peter Kivuti Kabui</v>
      </c>
      <c r="X154" s="54">
        <f t="shared" si="17"/>
        <v>10</v>
      </c>
      <c r="Y154" s="54">
        <f t="shared" si="18"/>
        <v>8</v>
      </c>
      <c r="Z154" s="54" t="str">
        <f t="shared" si="19"/>
        <v>Runyenjes Sub County Hospital</v>
      </c>
    </row>
    <row r="155" spans="1:26" ht="20.149999999999999" customHeight="1">
      <c r="B155" s="96" t="s">
        <v>2356</v>
      </c>
      <c r="C155" s="93" t="s">
        <v>1626</v>
      </c>
      <c r="D155" s="149" t="s">
        <v>275</v>
      </c>
      <c r="E155" s="139" t="s">
        <v>2084</v>
      </c>
      <c r="F155" s="183" t="s">
        <v>2644</v>
      </c>
      <c r="G155" s="93" t="s">
        <v>2994</v>
      </c>
      <c r="H155" s="93" t="s">
        <v>166</v>
      </c>
      <c r="I155" s="93" t="s">
        <v>3023</v>
      </c>
      <c r="J155" s="93" t="s">
        <v>3127</v>
      </c>
      <c r="K155" s="62" t="s">
        <v>1005</v>
      </c>
      <c r="L155" s="62" t="s">
        <v>1354</v>
      </c>
      <c r="M155" s="49" t="str">
        <f t="shared" si="16"/>
        <v>20/01/1997</v>
      </c>
      <c r="N155" s="50">
        <f ca="1">IF(M155="","",DATEDIF(M155,TODAY(),"Y"))</f>
        <v>29</v>
      </c>
      <c r="O155" s="62" t="s">
        <v>988</v>
      </c>
      <c r="P155" s="62" t="s">
        <v>1282</v>
      </c>
      <c r="Q155" s="62" t="s">
        <v>1355</v>
      </c>
      <c r="R155" s="62" t="s">
        <v>1539</v>
      </c>
      <c r="S155" s="62"/>
      <c r="T155" s="62"/>
      <c r="U155" s="62"/>
      <c r="V155" s="61" t="str">
        <f t="shared" si="14"/>
        <v>Susan Kendi Joseph</v>
      </c>
      <c r="X155" s="54">
        <f t="shared" si="17"/>
        <v>10</v>
      </c>
      <c r="Y155" s="54">
        <f t="shared" si="18"/>
        <v>8</v>
      </c>
      <c r="Z155" s="54" t="str">
        <f t="shared" si="19"/>
        <v>Mikinduri Sub County Hospital</v>
      </c>
    </row>
    <row r="156" spans="1:26" ht="20.149999999999999" customHeight="1">
      <c r="A156" s="282"/>
      <c r="B156" s="108" t="s">
        <v>3146</v>
      </c>
      <c r="C156" s="108" t="s">
        <v>1627</v>
      </c>
      <c r="D156" s="170" t="s">
        <v>62</v>
      </c>
      <c r="E156" s="292">
        <v>32980429</v>
      </c>
      <c r="F156" s="108" t="s">
        <v>3147</v>
      </c>
      <c r="G156" s="108" t="s">
        <v>21</v>
      </c>
      <c r="H156" s="108" t="s">
        <v>1594</v>
      </c>
      <c r="I156" s="108" t="s">
        <v>1595</v>
      </c>
      <c r="J156" s="108" t="s">
        <v>979</v>
      </c>
      <c r="K156" s="71" t="s">
        <v>1005</v>
      </c>
      <c r="L156" s="72" t="s">
        <v>3148</v>
      </c>
      <c r="M156" s="103" t="str">
        <f t="shared" si="16"/>
        <v>04/01/1995</v>
      </c>
      <c r="N156" s="71">
        <f ca="1">DATEDIF(M156,TODAY(),"Y")</f>
        <v>31</v>
      </c>
      <c r="O156" s="71"/>
      <c r="P156" s="71" t="s">
        <v>3149</v>
      </c>
      <c r="Q156" s="103" t="s">
        <v>1218</v>
      </c>
      <c r="R156" s="71"/>
      <c r="S156" s="71"/>
      <c r="T156" s="71"/>
      <c r="U156" s="66"/>
      <c r="V156" s="61" t="str">
        <f t="shared" si="14"/>
        <v>Peterson Chomba Kimani</v>
      </c>
      <c r="X156" s="54">
        <f t="shared" si="17"/>
        <v>10</v>
      </c>
      <c r="Y156" s="54">
        <f t="shared" si="18"/>
        <v>8</v>
      </c>
      <c r="Z156" s="54" t="str">
        <f t="shared" si="19"/>
        <v>Embu Level 5 Hospital</v>
      </c>
    </row>
    <row r="157" spans="1:26" ht="20.149999999999999" customHeight="1">
      <c r="A157" s="282" t="s">
        <v>122</v>
      </c>
      <c r="B157" s="108" t="s">
        <v>2874</v>
      </c>
      <c r="C157" s="108" t="s">
        <v>1627</v>
      </c>
      <c r="D157" s="290" t="s">
        <v>2816</v>
      </c>
      <c r="E157" s="103">
        <v>26542898</v>
      </c>
      <c r="F157" s="108" t="s">
        <v>2817</v>
      </c>
      <c r="G157" s="108" t="s">
        <v>2996</v>
      </c>
      <c r="H157" s="108" t="s">
        <v>13</v>
      </c>
      <c r="I157" s="108" t="s">
        <v>3013</v>
      </c>
      <c r="J157" s="108" t="s">
        <v>3035</v>
      </c>
      <c r="K157" s="71" t="s">
        <v>1060</v>
      </c>
      <c r="L157" s="72" t="s">
        <v>1434</v>
      </c>
      <c r="M157" s="54" t="str">
        <f t="shared" si="16"/>
        <v>15/03/1989</v>
      </c>
      <c r="N157" s="71">
        <f ca="1">DATEDIF(M157,TODAY(),"Y")</f>
        <v>37</v>
      </c>
      <c r="O157" s="71" t="s">
        <v>988</v>
      </c>
      <c r="P157" s="71" t="s">
        <v>1435</v>
      </c>
      <c r="Q157" s="71" t="s">
        <v>989</v>
      </c>
      <c r="R157" s="71"/>
      <c r="S157" s="113"/>
      <c r="T157" s="114"/>
      <c r="U157" s="62"/>
      <c r="V157" s="61" t="str">
        <f t="shared" si="14"/>
        <v>Stephen Wanyoike Kigotho</v>
      </c>
      <c r="X157" s="54">
        <f t="shared" si="17"/>
        <v>10</v>
      </c>
      <c r="Y157" s="54">
        <f t="shared" si="18"/>
        <v>8</v>
      </c>
      <c r="Z157" s="54" t="str">
        <f t="shared" si="19"/>
        <v>Runyenjes Sub County Hospital</v>
      </c>
    </row>
    <row r="158" spans="1:26" ht="20.149999999999999" customHeight="1">
      <c r="B158" s="175" t="s">
        <v>2439</v>
      </c>
      <c r="C158" s="175" t="s">
        <v>1627</v>
      </c>
      <c r="D158" s="291" t="s">
        <v>2687</v>
      </c>
      <c r="E158" s="175">
        <v>39400482</v>
      </c>
      <c r="F158" s="292" t="s">
        <v>2688</v>
      </c>
      <c r="G158" s="175" t="s">
        <v>2999</v>
      </c>
      <c r="H158" s="175" t="s">
        <v>166</v>
      </c>
      <c r="I158" s="175" t="s">
        <v>3015</v>
      </c>
      <c r="J158" s="175" t="s">
        <v>3142</v>
      </c>
      <c r="K158" s="298" t="s">
        <v>1935</v>
      </c>
      <c r="L158" s="273" t="s">
        <v>1936</v>
      </c>
      <c r="M158" s="299">
        <v>37155</v>
      </c>
      <c r="N158" s="274"/>
      <c r="O158" s="273" t="s">
        <v>998</v>
      </c>
      <c r="P158" s="273" t="s">
        <v>2689</v>
      </c>
      <c r="Q158" s="273" t="s">
        <v>1294</v>
      </c>
      <c r="R158" s="273"/>
      <c r="S158" s="273"/>
      <c r="T158" s="273"/>
      <c r="U158" s="141"/>
      <c r="V158" s="61" t="str">
        <f t="shared" si="14"/>
        <v>Albert Mwendia Mithamo</v>
      </c>
      <c r="X158" s="54">
        <f t="shared" si="17"/>
        <v>10</v>
      </c>
      <c r="Y158" s="54">
        <f t="shared" si="18"/>
        <v>8</v>
      </c>
      <c r="Z158" s="54" t="str">
        <f t="shared" si="19"/>
        <v>Meru Teaching And Referral Hospital</v>
      </c>
    </row>
    <row r="159" spans="1:26" ht="20.149999999999999" customHeight="1">
      <c r="B159" s="96" t="s">
        <v>2399</v>
      </c>
      <c r="C159" s="93" t="s">
        <v>1626</v>
      </c>
      <c r="D159" s="81" t="s">
        <v>415</v>
      </c>
      <c r="E159" s="81" t="s">
        <v>2091</v>
      </c>
      <c r="F159" s="157" t="s">
        <v>2641</v>
      </c>
      <c r="G159" s="93" t="s">
        <v>2994</v>
      </c>
      <c r="H159" s="93" t="s">
        <v>166</v>
      </c>
      <c r="I159" s="93" t="s">
        <v>3014</v>
      </c>
      <c r="J159" s="93" t="s">
        <v>3335</v>
      </c>
      <c r="K159" s="62" t="s">
        <v>1005</v>
      </c>
      <c r="L159" s="62" t="s">
        <v>1361</v>
      </c>
      <c r="M159" s="50" t="str">
        <f t="shared" ref="M159:M190" si="21">IF(L159="","",TEXT(DATEVALUE(SUBSTITUTE(SUBSTITUTE(SUBSTITUTE(SUBSTITUTE(SUBSTITUTE(L159,"st",""),"nd",""),"rd",""),"th",""),"TH","")),"dd/mm/yyyy"))</f>
        <v>27/11/1988</v>
      </c>
      <c r="N159" s="50">
        <f t="shared" ref="N159:N190" ca="1" si="22">IF(M159="","",DATEDIF(M159,TODAY(),"Y"))</f>
        <v>37</v>
      </c>
      <c r="O159" s="62" t="s">
        <v>998</v>
      </c>
      <c r="P159" s="62" t="s">
        <v>1362</v>
      </c>
      <c r="Q159" s="62" t="s">
        <v>1363</v>
      </c>
      <c r="R159" s="62" t="s">
        <v>1545</v>
      </c>
      <c r="S159" s="62"/>
      <c r="T159" s="62"/>
      <c r="U159" s="62"/>
      <c r="V159" s="61" t="str">
        <f t="shared" si="14"/>
        <v>Winfred Kanyua Mwirabua</v>
      </c>
      <c r="X159" s="54">
        <f t="shared" si="17"/>
        <v>10</v>
      </c>
      <c r="Y159" s="54">
        <f t="shared" si="18"/>
        <v>8</v>
      </c>
      <c r="Z159" s="54" t="str">
        <f t="shared" si="19"/>
        <v>Nyambene Sub County Hospital</v>
      </c>
    </row>
    <row r="160" spans="1:26" ht="20.149999999999999" customHeight="1">
      <c r="B160" s="284" t="s">
        <v>2349</v>
      </c>
      <c r="C160" s="284" t="s">
        <v>1627</v>
      </c>
      <c r="D160" s="287" t="s">
        <v>362</v>
      </c>
      <c r="E160" s="287">
        <v>24602448</v>
      </c>
      <c r="F160" s="295" t="s">
        <v>2671</v>
      </c>
      <c r="G160" s="284" t="s">
        <v>2992</v>
      </c>
      <c r="H160" s="284" t="s">
        <v>166</v>
      </c>
      <c r="I160" s="284" t="s">
        <v>3020</v>
      </c>
      <c r="J160" s="284" t="s">
        <v>3049</v>
      </c>
      <c r="K160" s="68" t="s">
        <v>1005</v>
      </c>
      <c r="L160" s="68" t="s">
        <v>1219</v>
      </c>
      <c r="M160" s="73" t="str">
        <f t="shared" si="21"/>
        <v>24/12/1985</v>
      </c>
      <c r="N160" s="73">
        <f t="shared" ca="1" si="22"/>
        <v>40</v>
      </c>
      <c r="O160" s="68" t="s">
        <v>1010</v>
      </c>
      <c r="P160" s="68" t="s">
        <v>1220</v>
      </c>
      <c r="Q160" s="68" t="s">
        <v>1221</v>
      </c>
      <c r="R160" s="68"/>
      <c r="S160" s="68"/>
      <c r="T160" s="68"/>
      <c r="V160" s="49" t="str">
        <f t="shared" si="14"/>
        <v>Davis Alucheri Jillo</v>
      </c>
      <c r="X160" s="54">
        <f t="shared" si="17"/>
        <v>10</v>
      </c>
      <c r="Y160" s="54">
        <f t="shared" si="18"/>
        <v>8</v>
      </c>
      <c r="Z160" s="54" t="str">
        <f t="shared" si="19"/>
        <v>St. Theresa Kirua</v>
      </c>
    </row>
    <row r="161" spans="2:26" ht="20.149999999999999" customHeight="1">
      <c r="B161" s="154" t="s">
        <v>2350</v>
      </c>
      <c r="C161" s="154" t="s">
        <v>1627</v>
      </c>
      <c r="D161" s="113" t="s">
        <v>401</v>
      </c>
      <c r="E161" s="113">
        <v>14590298</v>
      </c>
      <c r="F161" s="223" t="s">
        <v>2672</v>
      </c>
      <c r="G161" s="154" t="s">
        <v>2994</v>
      </c>
      <c r="H161" s="154" t="s">
        <v>166</v>
      </c>
      <c r="I161" s="154" t="s">
        <v>3014</v>
      </c>
      <c r="J161" s="154" t="s">
        <v>3045</v>
      </c>
      <c r="K161" s="66" t="s">
        <v>1005</v>
      </c>
      <c r="L161" s="66" t="s">
        <v>1222</v>
      </c>
      <c r="M161" s="71" t="str">
        <f t="shared" si="21"/>
        <v>27/12/1976</v>
      </c>
      <c r="N161" s="71">
        <f t="shared" ca="1" si="22"/>
        <v>49</v>
      </c>
      <c r="O161" s="66" t="s">
        <v>1010</v>
      </c>
      <c r="P161" s="66" t="s">
        <v>1223</v>
      </c>
      <c r="Q161" s="66"/>
      <c r="R161" s="66" t="s">
        <v>1538</v>
      </c>
      <c r="S161" s="66"/>
      <c r="T161" s="66"/>
      <c r="U161" s="106"/>
      <c r="V161" s="108"/>
      <c r="W161" s="108"/>
      <c r="X161" s="54">
        <f t="shared" si="17"/>
        <v>10</v>
      </c>
      <c r="Y161" s="54">
        <f t="shared" si="18"/>
        <v>8</v>
      </c>
      <c r="Z161" s="54" t="str">
        <f t="shared" si="19"/>
        <v>Maua Dice</v>
      </c>
    </row>
    <row r="162" spans="2:26" ht="20.149999999999999" customHeight="1">
      <c r="B162" s="106" t="s">
        <v>2878</v>
      </c>
      <c r="C162" s="106" t="s">
        <v>1626</v>
      </c>
      <c r="D162" s="119" t="s">
        <v>669</v>
      </c>
      <c r="E162" s="106">
        <v>28433768</v>
      </c>
      <c r="F162" s="157" t="s">
        <v>3081</v>
      </c>
      <c r="G162" s="106" t="s">
        <v>2992</v>
      </c>
      <c r="H162" s="106" t="s">
        <v>538</v>
      </c>
      <c r="I162" s="106" t="s">
        <v>1624</v>
      </c>
      <c r="J162" s="106" t="s">
        <v>3096</v>
      </c>
      <c r="K162" s="106" t="s">
        <v>995</v>
      </c>
      <c r="L162" s="106" t="s">
        <v>1559</v>
      </c>
      <c r="M162" s="106" t="str">
        <f t="shared" si="21"/>
        <v>06/01/1991</v>
      </c>
      <c r="N162" s="106">
        <f t="shared" ca="1" si="22"/>
        <v>35</v>
      </c>
      <c r="O162" s="106" t="s">
        <v>988</v>
      </c>
      <c r="P162" s="106" t="s">
        <v>983</v>
      </c>
      <c r="Q162" s="106" t="s">
        <v>989</v>
      </c>
      <c r="R162" s="106"/>
      <c r="S162" s="83" t="s">
        <v>2330</v>
      </c>
      <c r="T162" s="81" t="s">
        <v>2202</v>
      </c>
      <c r="U162" s="84">
        <v>46344</v>
      </c>
      <c r="V162" s="108"/>
      <c r="W162" s="108"/>
      <c r="X162" s="54">
        <f t="shared" si="17"/>
        <v>10</v>
      </c>
      <c r="Y162" s="54">
        <f t="shared" si="18"/>
        <v>8</v>
      </c>
      <c r="Z162" s="54" t="str">
        <f t="shared" si="19"/>
        <v xml:space="preserve">Kasuku Health Centre </v>
      </c>
    </row>
    <row r="163" spans="2:26" ht="20.149999999999999" customHeight="1">
      <c r="B163" s="106" t="s">
        <v>2879</v>
      </c>
      <c r="C163" s="106" t="s">
        <v>1626</v>
      </c>
      <c r="D163" s="119" t="s">
        <v>677</v>
      </c>
      <c r="E163" s="106">
        <v>29187372</v>
      </c>
      <c r="F163" s="182" t="s">
        <v>2448</v>
      </c>
      <c r="G163" s="106" t="s">
        <v>2994</v>
      </c>
      <c r="H163" s="106" t="s">
        <v>538</v>
      </c>
      <c r="I163" s="106" t="s">
        <v>1622</v>
      </c>
      <c r="J163" s="106" t="s">
        <v>3097</v>
      </c>
      <c r="K163" s="106" t="s">
        <v>995</v>
      </c>
      <c r="L163" s="106" t="s">
        <v>1560</v>
      </c>
      <c r="M163" s="106" t="str">
        <f t="shared" si="21"/>
        <v>14/07/1991</v>
      </c>
      <c r="N163" s="106">
        <f t="shared" ca="1" si="22"/>
        <v>35</v>
      </c>
      <c r="O163" s="106" t="s">
        <v>988</v>
      </c>
      <c r="P163" s="106" t="s">
        <v>992</v>
      </c>
      <c r="Q163" s="106" t="s">
        <v>3119</v>
      </c>
      <c r="R163" s="106" t="s">
        <v>994</v>
      </c>
      <c r="S163" s="106"/>
      <c r="T163" s="106"/>
      <c r="U163" s="106"/>
      <c r="V163" s="108"/>
      <c r="W163" s="108"/>
      <c r="X163" s="54">
        <f t="shared" si="17"/>
        <v>10</v>
      </c>
      <c r="Y163" s="54">
        <f t="shared" si="18"/>
        <v>8</v>
      </c>
      <c r="Z163" s="54" t="str">
        <f t="shared" si="19"/>
        <v>Wanjohi Health Centre</v>
      </c>
    </row>
    <row r="164" spans="2:26" ht="20.149999999999999" customHeight="1">
      <c r="B164" s="106" t="s">
        <v>2880</v>
      </c>
      <c r="C164" s="106" t="s">
        <v>1626</v>
      </c>
      <c r="D164" s="119" t="s">
        <v>746</v>
      </c>
      <c r="E164" s="106">
        <v>25132706</v>
      </c>
      <c r="F164" s="182" t="s">
        <v>2447</v>
      </c>
      <c r="G164" s="106" t="s">
        <v>2995</v>
      </c>
      <c r="H164" s="106" t="s">
        <v>538</v>
      </c>
      <c r="I164" s="106" t="s">
        <v>1623</v>
      </c>
      <c r="J164" s="106" t="s">
        <v>3144</v>
      </c>
      <c r="K164" s="106" t="s">
        <v>995</v>
      </c>
      <c r="L164" s="106" t="s">
        <v>1561</v>
      </c>
      <c r="M164" s="106" t="str">
        <f t="shared" si="21"/>
        <v>21/04/1995</v>
      </c>
      <c r="N164" s="106">
        <f t="shared" ca="1" si="22"/>
        <v>31</v>
      </c>
      <c r="O164" s="106" t="s">
        <v>988</v>
      </c>
      <c r="P164" s="106" t="s">
        <v>996</v>
      </c>
      <c r="Q164" s="106" t="s">
        <v>997</v>
      </c>
      <c r="R164" s="106"/>
      <c r="S164" s="81" t="s">
        <v>2328</v>
      </c>
      <c r="T164" s="90" t="s">
        <v>2194</v>
      </c>
      <c r="U164" s="111">
        <v>46326</v>
      </c>
      <c r="V164" s="106"/>
      <c r="W164" s="106"/>
      <c r="X164" s="54">
        <f t="shared" si="17"/>
        <v>10</v>
      </c>
      <c r="Y164" s="54">
        <f t="shared" si="18"/>
        <v>8</v>
      </c>
      <c r="Z164" s="54" t="str">
        <f t="shared" si="19"/>
        <v>Murungaru Health Centre</v>
      </c>
    </row>
    <row r="165" spans="2:26" ht="20.149999999999999" customHeight="1">
      <c r="B165" s="106" t="s">
        <v>2881</v>
      </c>
      <c r="C165" s="106" t="s">
        <v>1626</v>
      </c>
      <c r="D165" s="119" t="s">
        <v>661</v>
      </c>
      <c r="E165" s="106">
        <v>33410894</v>
      </c>
      <c r="F165" s="182" t="s">
        <v>2449</v>
      </c>
      <c r="G165" s="106" t="s">
        <v>2992</v>
      </c>
      <c r="H165" s="106" t="s">
        <v>538</v>
      </c>
      <c r="I165" s="106" t="s">
        <v>1623</v>
      </c>
      <c r="J165" s="106" t="s">
        <v>3061</v>
      </c>
      <c r="K165" s="106" t="s">
        <v>995</v>
      </c>
      <c r="L165" s="106" t="s">
        <v>1558</v>
      </c>
      <c r="M165" s="106" t="str">
        <f t="shared" si="21"/>
        <v>06/03/1997</v>
      </c>
      <c r="N165" s="106">
        <f t="shared" ca="1" si="22"/>
        <v>29</v>
      </c>
      <c r="O165" s="106" t="s">
        <v>998</v>
      </c>
      <c r="P165" s="106" t="s">
        <v>999</v>
      </c>
      <c r="Q165" s="106" t="s">
        <v>1000</v>
      </c>
      <c r="R165" s="106" t="s">
        <v>1001</v>
      </c>
      <c r="S165" s="83" t="s">
        <v>2330</v>
      </c>
      <c r="T165" s="81" t="s">
        <v>2201</v>
      </c>
      <c r="U165" s="84">
        <v>46123</v>
      </c>
      <c r="V165" s="106"/>
      <c r="W165" s="106"/>
      <c r="X165" s="54">
        <f t="shared" si="17"/>
        <v>10</v>
      </c>
      <c r="Y165" s="54">
        <f t="shared" si="18"/>
        <v>8</v>
      </c>
      <c r="Z165" s="54" t="str">
        <f t="shared" si="19"/>
        <v>Engineer County Referral Hospital</v>
      </c>
    </row>
    <row r="166" spans="2:26" ht="20.149999999999999" customHeight="1">
      <c r="B166" s="108" t="s">
        <v>2882</v>
      </c>
      <c r="C166" s="108" t="s">
        <v>1626</v>
      </c>
      <c r="D166" s="170" t="s">
        <v>540</v>
      </c>
      <c r="E166" s="108">
        <v>31792650</v>
      </c>
      <c r="F166" s="247" t="s">
        <v>2517</v>
      </c>
      <c r="G166" s="108" t="s">
        <v>2994</v>
      </c>
      <c r="H166" s="108" t="s">
        <v>538</v>
      </c>
      <c r="I166" s="108" t="s">
        <v>1623</v>
      </c>
      <c r="J166" s="108" t="s">
        <v>3062</v>
      </c>
      <c r="K166" s="108" t="s">
        <v>1005</v>
      </c>
      <c r="L166" s="108" t="s">
        <v>2518</v>
      </c>
      <c r="M166" s="103" t="str">
        <f t="shared" si="21"/>
        <v>03/08/1993</v>
      </c>
      <c r="N166" s="71">
        <f t="shared" ca="1" si="22"/>
        <v>32</v>
      </c>
      <c r="O166" s="108" t="s">
        <v>988</v>
      </c>
      <c r="P166" s="108" t="s">
        <v>1002</v>
      </c>
      <c r="Q166" s="108" t="s">
        <v>1003</v>
      </c>
      <c r="R166" s="108" t="s">
        <v>1004</v>
      </c>
      <c r="S166" s="108"/>
      <c r="T166" s="108"/>
      <c r="U166" s="108"/>
      <c r="V166" s="197">
        <v>45565</v>
      </c>
      <c r="W166" s="108"/>
      <c r="X166" s="54">
        <f t="shared" si="17"/>
        <v>10</v>
      </c>
      <c r="Y166" s="54">
        <f t="shared" si="18"/>
        <v>8</v>
      </c>
      <c r="Z166" s="54" t="str">
        <f t="shared" si="19"/>
        <v>Karagatha Dispensary</v>
      </c>
    </row>
    <row r="167" spans="2:26" ht="20.149999999999999" customHeight="1">
      <c r="B167" s="108" t="s">
        <v>2883</v>
      </c>
      <c r="C167" s="108" t="s">
        <v>1626</v>
      </c>
      <c r="D167" s="170" t="s">
        <v>723</v>
      </c>
      <c r="E167" s="108">
        <v>31751874</v>
      </c>
      <c r="F167" s="247" t="s">
        <v>2516</v>
      </c>
      <c r="G167" s="108" t="s">
        <v>2994</v>
      </c>
      <c r="H167" s="108" t="s">
        <v>538</v>
      </c>
      <c r="I167" s="108" t="s">
        <v>1620</v>
      </c>
      <c r="J167" s="108" t="s">
        <v>3098</v>
      </c>
      <c r="K167" s="108" t="s">
        <v>1005</v>
      </c>
      <c r="L167" s="108" t="s">
        <v>1556</v>
      </c>
      <c r="M167" s="108" t="str">
        <f t="shared" si="21"/>
        <v>22/06/1994</v>
      </c>
      <c r="N167" s="108">
        <f t="shared" ca="1" si="22"/>
        <v>32</v>
      </c>
      <c r="O167" s="108" t="s">
        <v>988</v>
      </c>
      <c r="P167" s="108" t="s">
        <v>1007</v>
      </c>
      <c r="Q167" s="108" t="s">
        <v>1006</v>
      </c>
      <c r="R167" s="108" t="s">
        <v>994</v>
      </c>
      <c r="S167" s="108"/>
      <c r="T167" s="108"/>
      <c r="U167" s="108"/>
      <c r="V167" s="197">
        <v>45596</v>
      </c>
      <c r="W167" s="108"/>
      <c r="X167" s="54">
        <f t="shared" si="17"/>
        <v>10</v>
      </c>
      <c r="Y167" s="54">
        <f t="shared" si="18"/>
        <v>8</v>
      </c>
      <c r="Z167" s="54" t="str">
        <f t="shared" si="19"/>
        <v>New Mawingo Health Centre</v>
      </c>
    </row>
    <row r="168" spans="2:26" ht="20.149999999999999" customHeight="1">
      <c r="B168" s="108" t="s">
        <v>2884</v>
      </c>
      <c r="C168" s="108" t="s">
        <v>1626</v>
      </c>
      <c r="D168" s="170" t="s">
        <v>2519</v>
      </c>
      <c r="E168" s="108">
        <v>11241975</v>
      </c>
      <c r="F168" s="247" t="s">
        <v>2520</v>
      </c>
      <c r="G168" s="108" t="s">
        <v>2994</v>
      </c>
      <c r="H168" s="108" t="s">
        <v>538</v>
      </c>
      <c r="I168" s="108" t="s">
        <v>1624</v>
      </c>
      <c r="J168" s="108" t="s">
        <v>3099</v>
      </c>
      <c r="K168" s="108" t="s">
        <v>1005</v>
      </c>
      <c r="L168" s="108" t="s">
        <v>1557</v>
      </c>
      <c r="M168" s="103" t="str">
        <f t="shared" si="21"/>
        <v>01/01/1971</v>
      </c>
      <c r="N168" s="71">
        <f t="shared" ca="1" si="22"/>
        <v>55</v>
      </c>
      <c r="O168" s="108" t="s">
        <v>1010</v>
      </c>
      <c r="P168" s="108" t="s">
        <v>1008</v>
      </c>
      <c r="Q168" s="108" t="s">
        <v>1009</v>
      </c>
      <c r="R168" s="108" t="s">
        <v>1011</v>
      </c>
      <c r="S168" s="108"/>
      <c r="T168" s="108"/>
      <c r="U168" s="108"/>
      <c r="V168" s="197">
        <v>45565</v>
      </c>
      <c r="W168" s="108"/>
      <c r="X168" s="208">
        <f t="shared" si="17"/>
        <v>11</v>
      </c>
      <c r="Y168" s="54">
        <f t="shared" si="18"/>
        <v>8</v>
      </c>
      <c r="Z168" s="54" t="str">
        <f t="shared" si="19"/>
        <v>Gatimu Health Centre</v>
      </c>
    </row>
    <row r="169" spans="2:26" ht="20.149999999999999" customHeight="1">
      <c r="B169" s="154" t="s">
        <v>2382</v>
      </c>
      <c r="C169" s="154" t="s">
        <v>1627</v>
      </c>
      <c r="D169" s="176" t="s">
        <v>247</v>
      </c>
      <c r="E169" s="81">
        <v>13182463</v>
      </c>
      <c r="F169" s="258" t="s">
        <v>2679</v>
      </c>
      <c r="G169" s="154" t="s">
        <v>2994</v>
      </c>
      <c r="H169" s="154" t="s">
        <v>166</v>
      </c>
      <c r="I169" s="154" t="s">
        <v>3016</v>
      </c>
      <c r="J169" s="154" t="s">
        <v>3046</v>
      </c>
      <c r="K169" s="66" t="s">
        <v>1005</v>
      </c>
      <c r="L169" s="66" t="s">
        <v>1270</v>
      </c>
      <c r="M169" s="71" t="str">
        <f t="shared" si="21"/>
        <v>31/03/1974</v>
      </c>
      <c r="N169" s="50">
        <f t="shared" ca="1" si="22"/>
        <v>52</v>
      </c>
      <c r="O169" s="66" t="s">
        <v>1010</v>
      </c>
      <c r="P169" s="66" t="s">
        <v>1271</v>
      </c>
      <c r="Q169" s="66"/>
      <c r="R169" s="66"/>
      <c r="S169" s="81"/>
      <c r="T169" s="83"/>
      <c r="U169" s="108"/>
      <c r="V169" s="146">
        <v>45504</v>
      </c>
      <c r="W169" s="106" t="s">
        <v>2524</v>
      </c>
      <c r="X169" s="54">
        <f t="shared" si="17"/>
        <v>10</v>
      </c>
      <c r="Y169" s="54">
        <f t="shared" si="18"/>
        <v>8</v>
      </c>
      <c r="Z169" s="54" t="str">
        <f t="shared" si="19"/>
        <v>Nthambiro Dispensary</v>
      </c>
    </row>
    <row r="170" spans="2:26" ht="20.149999999999999" customHeight="1">
      <c r="B170" s="154" t="s">
        <v>2339</v>
      </c>
      <c r="C170" s="154" t="s">
        <v>1627</v>
      </c>
      <c r="D170" s="113" t="s">
        <v>329</v>
      </c>
      <c r="E170" s="113">
        <v>28273408</v>
      </c>
      <c r="F170" s="223" t="s">
        <v>2668</v>
      </c>
      <c r="G170" s="154" t="s">
        <v>2996</v>
      </c>
      <c r="H170" s="154" t="s">
        <v>166</v>
      </c>
      <c r="I170" s="154" t="s">
        <v>3016</v>
      </c>
      <c r="J170" s="154" t="s">
        <v>3135</v>
      </c>
      <c r="K170" s="66" t="s">
        <v>1005</v>
      </c>
      <c r="L170" s="66" t="s">
        <v>1204</v>
      </c>
      <c r="M170" s="71" t="str">
        <f t="shared" si="21"/>
        <v>28/02/1988</v>
      </c>
      <c r="N170" s="50">
        <f t="shared" ca="1" si="22"/>
        <v>38</v>
      </c>
      <c r="O170" s="66" t="s">
        <v>988</v>
      </c>
      <c r="P170" s="66" t="s">
        <v>996</v>
      </c>
      <c r="Q170" s="66" t="s">
        <v>1142</v>
      </c>
      <c r="R170" s="66"/>
      <c r="S170" s="66"/>
      <c r="T170" s="66"/>
      <c r="U170" s="147"/>
      <c r="V170" s="106"/>
      <c r="W170" s="106"/>
      <c r="X170" s="54">
        <f t="shared" si="17"/>
        <v>10</v>
      </c>
      <c r="Y170" s="54">
        <f t="shared" si="18"/>
        <v>8</v>
      </c>
      <c r="Z170" s="54" t="str">
        <f t="shared" si="19"/>
        <v>Nthambiro Dispensaryensary</v>
      </c>
    </row>
    <row r="171" spans="2:26" ht="20.149999999999999" customHeight="1">
      <c r="B171" s="108" t="s">
        <v>2887</v>
      </c>
      <c r="C171" s="108" t="s">
        <v>1626</v>
      </c>
      <c r="D171" s="170" t="s">
        <v>633</v>
      </c>
      <c r="E171" s="108">
        <v>33350560</v>
      </c>
      <c r="F171" s="108" t="s">
        <v>2525</v>
      </c>
      <c r="G171" s="108" t="s">
        <v>2994</v>
      </c>
      <c r="H171" s="108" t="s">
        <v>538</v>
      </c>
      <c r="I171" s="108" t="s">
        <v>1620</v>
      </c>
      <c r="J171" s="108" t="s">
        <v>3101</v>
      </c>
      <c r="K171" s="108" t="s">
        <v>1005</v>
      </c>
      <c r="L171" s="108" t="s">
        <v>1017</v>
      </c>
      <c r="M171" s="108" t="str">
        <f t="shared" si="21"/>
        <v>31/05/1996</v>
      </c>
      <c r="N171" s="108">
        <f t="shared" ca="1" si="22"/>
        <v>30</v>
      </c>
      <c r="O171" s="108" t="s">
        <v>998</v>
      </c>
      <c r="P171" s="108" t="s">
        <v>1018</v>
      </c>
      <c r="Q171" s="108" t="s">
        <v>1019</v>
      </c>
      <c r="R171" s="108" t="s">
        <v>1020</v>
      </c>
      <c r="S171" s="81"/>
      <c r="T171" s="83"/>
      <c r="U171" s="84"/>
      <c r="V171" s="108"/>
      <c r="W171" s="108"/>
      <c r="X171" s="54">
        <f t="shared" si="17"/>
        <v>10</v>
      </c>
      <c r="Y171" s="54">
        <f t="shared" si="18"/>
        <v>8</v>
      </c>
      <c r="Z171" s="54" t="str">
        <f t="shared" si="19"/>
        <v xml:space="preserve">Ngorika Health Centre </v>
      </c>
    </row>
    <row r="172" spans="2:26" ht="20.149999999999999" customHeight="1">
      <c r="B172" s="106" t="s">
        <v>2888</v>
      </c>
      <c r="C172" s="106" t="s">
        <v>1626</v>
      </c>
      <c r="D172" s="117" t="s">
        <v>613</v>
      </c>
      <c r="E172" s="117" t="s">
        <v>2165</v>
      </c>
      <c r="F172" s="180" t="s">
        <v>2450</v>
      </c>
      <c r="G172" s="106" t="s">
        <v>2998</v>
      </c>
      <c r="H172" s="106" t="s">
        <v>538</v>
      </c>
      <c r="I172" s="106" t="s">
        <v>1623</v>
      </c>
      <c r="J172" s="106" t="s">
        <v>3102</v>
      </c>
      <c r="K172" s="106" t="s">
        <v>1005</v>
      </c>
      <c r="L172" s="106" t="s">
        <v>1021</v>
      </c>
      <c r="M172" s="106" t="str">
        <f t="shared" si="21"/>
        <v>22/10/1996</v>
      </c>
      <c r="N172" s="106">
        <f t="shared" ca="1" si="22"/>
        <v>29</v>
      </c>
      <c r="O172" s="106" t="s">
        <v>988</v>
      </c>
      <c r="P172" s="106" t="s">
        <v>2451</v>
      </c>
      <c r="Q172" s="106" t="s">
        <v>1013</v>
      </c>
      <c r="R172" s="106"/>
      <c r="S172" s="81" t="s">
        <v>2329</v>
      </c>
      <c r="T172" s="83">
        <v>510404</v>
      </c>
      <c r="U172" s="84">
        <v>46265</v>
      </c>
      <c r="V172" s="106"/>
      <c r="W172" s="106"/>
      <c r="X172" s="54">
        <f t="shared" si="17"/>
        <v>10</v>
      </c>
      <c r="Y172" s="54">
        <f t="shared" si="18"/>
        <v>8</v>
      </c>
      <c r="Z172" s="54" t="str">
        <f t="shared" si="19"/>
        <v>Bamboo Health Centre</v>
      </c>
    </row>
    <row r="173" spans="2:26" ht="20.149999999999999" customHeight="1">
      <c r="B173" s="154" t="s">
        <v>2373</v>
      </c>
      <c r="C173" s="154" t="s">
        <v>1627</v>
      </c>
      <c r="D173" s="176" t="s">
        <v>337</v>
      </c>
      <c r="E173" s="113">
        <v>32980865</v>
      </c>
      <c r="F173" s="258" t="s">
        <v>2585</v>
      </c>
      <c r="G173" s="154" t="s">
        <v>2996</v>
      </c>
      <c r="H173" s="154" t="s">
        <v>166</v>
      </c>
      <c r="I173" s="154" t="s">
        <v>3022</v>
      </c>
      <c r="J173" s="154" t="s">
        <v>3126</v>
      </c>
      <c r="K173" s="66" t="s">
        <v>1005</v>
      </c>
      <c r="L173" s="66" t="s">
        <v>1259</v>
      </c>
      <c r="M173" s="71" t="str">
        <f t="shared" si="21"/>
        <v>21/06/1996</v>
      </c>
      <c r="N173" s="71">
        <f t="shared" ca="1" si="22"/>
        <v>30</v>
      </c>
      <c r="O173" s="66" t="s">
        <v>988</v>
      </c>
      <c r="P173" s="66" t="s">
        <v>996</v>
      </c>
      <c r="Q173" s="66" t="s">
        <v>1013</v>
      </c>
      <c r="R173" s="66"/>
      <c r="S173" s="66" t="s">
        <v>3155</v>
      </c>
      <c r="T173" s="66"/>
      <c r="U173" s="106"/>
      <c r="V173" s="108"/>
      <c r="W173" s="108"/>
      <c r="X173" s="54">
        <f t="shared" si="17"/>
        <v>10</v>
      </c>
      <c r="Y173" s="54">
        <f t="shared" si="18"/>
        <v>8</v>
      </c>
      <c r="Z173" s="54" t="str">
        <f t="shared" si="19"/>
        <v>Mutuati Sub County Hospital</v>
      </c>
    </row>
    <row r="174" spans="2:26" ht="20.149999999999999" customHeight="1">
      <c r="B174" s="108" t="s">
        <v>2890</v>
      </c>
      <c r="C174" s="108" t="s">
        <v>1626</v>
      </c>
      <c r="D174" s="170" t="s">
        <v>603</v>
      </c>
      <c r="E174" s="108">
        <v>27324353</v>
      </c>
      <c r="F174" s="247" t="s">
        <v>2526</v>
      </c>
      <c r="G174" s="108" t="s">
        <v>2994</v>
      </c>
      <c r="H174" s="108" t="s">
        <v>538</v>
      </c>
      <c r="I174" s="108" t="s">
        <v>1621</v>
      </c>
      <c r="J174" s="108" t="s">
        <v>1891</v>
      </c>
      <c r="K174" s="108" t="s">
        <v>1005</v>
      </c>
      <c r="L174" s="108" t="s">
        <v>1025</v>
      </c>
      <c r="M174" s="108" t="str">
        <f t="shared" si="21"/>
        <v>24/09/1982</v>
      </c>
      <c r="N174" s="108">
        <f t="shared" ca="1" si="22"/>
        <v>43</v>
      </c>
      <c r="O174" s="108" t="s">
        <v>988</v>
      </c>
      <c r="P174" s="108" t="s">
        <v>992</v>
      </c>
      <c r="Q174" s="108" t="s">
        <v>3119</v>
      </c>
      <c r="R174" s="108" t="s">
        <v>1026</v>
      </c>
      <c r="S174" s="108"/>
      <c r="T174" s="108"/>
      <c r="U174" s="108"/>
      <c r="V174" s="146">
        <v>45565</v>
      </c>
      <c r="W174" s="106"/>
      <c r="X174" s="54">
        <f t="shared" si="17"/>
        <v>10</v>
      </c>
      <c r="Y174" s="54">
        <f t="shared" si="18"/>
        <v>8</v>
      </c>
      <c r="Z174" s="54" t="str">
        <f t="shared" si="19"/>
        <v>Ndaragwa Health Centre</v>
      </c>
    </row>
    <row r="175" spans="2:26" ht="20.149999999999999" customHeight="1">
      <c r="B175" s="106" t="s">
        <v>2891</v>
      </c>
      <c r="C175" s="106" t="s">
        <v>1626</v>
      </c>
      <c r="D175" s="121" t="s">
        <v>2183</v>
      </c>
      <c r="E175" s="106">
        <v>28320065</v>
      </c>
      <c r="F175" s="182" t="s">
        <v>2458</v>
      </c>
      <c r="G175" s="106" t="s">
        <v>3007</v>
      </c>
      <c r="H175" s="106" t="s">
        <v>538</v>
      </c>
      <c r="I175" s="106" t="s">
        <v>1620</v>
      </c>
      <c r="J175" s="106" t="s">
        <v>3060</v>
      </c>
      <c r="K175" s="106" t="s">
        <v>1028</v>
      </c>
      <c r="L175" s="106" t="s">
        <v>1027</v>
      </c>
      <c r="M175" s="106" t="str">
        <f t="shared" si="21"/>
        <v>17/05/1990</v>
      </c>
      <c r="N175" s="106">
        <f t="shared" ca="1" si="22"/>
        <v>36</v>
      </c>
      <c r="O175" s="106" t="s">
        <v>988</v>
      </c>
      <c r="P175" s="106" t="s">
        <v>1029</v>
      </c>
      <c r="Q175" s="106" t="s">
        <v>1030</v>
      </c>
      <c r="R175" s="106"/>
      <c r="S175" s="81" t="s">
        <v>2459</v>
      </c>
      <c r="T175" s="83" t="s">
        <v>2460</v>
      </c>
      <c r="U175" s="84">
        <v>46022</v>
      </c>
      <c r="V175" s="108"/>
      <c r="W175" s="108"/>
      <c r="X175" s="54">
        <f t="shared" si="17"/>
        <v>10</v>
      </c>
      <c r="Y175" s="54">
        <f t="shared" si="18"/>
        <v>8</v>
      </c>
      <c r="Z175" s="54" t="str">
        <f t="shared" si="19"/>
        <v>Jm County Referral Hospital</v>
      </c>
    </row>
    <row r="176" spans="2:26" ht="20.149999999999999" customHeight="1">
      <c r="B176" s="106" t="s">
        <v>2892</v>
      </c>
      <c r="C176" s="106" t="s">
        <v>1626</v>
      </c>
      <c r="D176" s="119" t="s">
        <v>684</v>
      </c>
      <c r="E176" s="106">
        <v>33333579</v>
      </c>
      <c r="F176" s="182" t="s">
        <v>2461</v>
      </c>
      <c r="G176" s="106" t="s">
        <v>2994</v>
      </c>
      <c r="H176" s="106" t="s">
        <v>538</v>
      </c>
      <c r="I176" s="106" t="s">
        <v>1620</v>
      </c>
      <c r="J176" s="106" t="s">
        <v>3060</v>
      </c>
      <c r="K176" s="106" t="s">
        <v>1060</v>
      </c>
      <c r="L176" s="106" t="s">
        <v>1031</v>
      </c>
      <c r="M176" s="106" t="str">
        <f t="shared" si="21"/>
        <v>24/05/1996</v>
      </c>
      <c r="N176" s="106">
        <f t="shared" ca="1" si="22"/>
        <v>30</v>
      </c>
      <c r="O176" s="106" t="s">
        <v>998</v>
      </c>
      <c r="P176" s="106" t="s">
        <v>2462</v>
      </c>
      <c r="Q176" s="106" t="s">
        <v>1024</v>
      </c>
      <c r="R176" s="106" t="s">
        <v>994</v>
      </c>
      <c r="S176" s="106"/>
      <c r="T176" s="106"/>
      <c r="U176" s="106"/>
      <c r="V176" s="108"/>
      <c r="W176" s="108"/>
      <c r="X176" s="54">
        <f t="shared" si="17"/>
        <v>10</v>
      </c>
      <c r="Y176" s="54">
        <f t="shared" si="18"/>
        <v>8</v>
      </c>
      <c r="Z176" s="54" t="str">
        <f t="shared" si="19"/>
        <v>Jm County Referral Hospital</v>
      </c>
    </row>
    <row r="177" spans="2:26" ht="20.149999999999999" customHeight="1">
      <c r="B177" s="108" t="s">
        <v>2893</v>
      </c>
      <c r="C177" s="108" t="s">
        <v>1626</v>
      </c>
      <c r="D177" s="170" t="s">
        <v>548</v>
      </c>
      <c r="E177" s="108">
        <v>36941690</v>
      </c>
      <c r="F177" s="247" t="s">
        <v>2527</v>
      </c>
      <c r="G177" s="108" t="s">
        <v>2994</v>
      </c>
      <c r="H177" s="108" t="s">
        <v>538</v>
      </c>
      <c r="I177" s="108" t="s">
        <v>1621</v>
      </c>
      <c r="J177" s="108" t="s">
        <v>1891</v>
      </c>
      <c r="K177" s="108" t="s">
        <v>1005</v>
      </c>
      <c r="L177" s="108" t="s">
        <v>1095</v>
      </c>
      <c r="M177" s="103" t="str">
        <f t="shared" si="21"/>
        <v>17/09/1999</v>
      </c>
      <c r="N177" s="71">
        <f t="shared" ca="1" si="22"/>
        <v>26</v>
      </c>
      <c r="O177" s="108" t="s">
        <v>1010</v>
      </c>
      <c r="P177" s="108" t="s">
        <v>1032</v>
      </c>
      <c r="Q177" s="108" t="s">
        <v>1033</v>
      </c>
      <c r="R177" s="108" t="s">
        <v>1034</v>
      </c>
      <c r="S177" s="108"/>
      <c r="T177" s="108"/>
      <c r="U177" s="108"/>
      <c r="V177" s="197">
        <v>45565</v>
      </c>
      <c r="W177" s="108"/>
      <c r="X177" s="54">
        <f t="shared" si="17"/>
        <v>10</v>
      </c>
      <c r="Y177" s="54">
        <f t="shared" si="18"/>
        <v>8</v>
      </c>
      <c r="Z177" s="54" t="str">
        <f t="shared" si="19"/>
        <v>Ndaragwa Health Centre</v>
      </c>
    </row>
    <row r="178" spans="2:26" ht="20.149999999999999" customHeight="1">
      <c r="B178" s="154" t="s">
        <v>2429</v>
      </c>
      <c r="C178" s="154" t="s">
        <v>1627</v>
      </c>
      <c r="D178" s="176" t="s">
        <v>271</v>
      </c>
      <c r="E178" s="113">
        <v>28211736</v>
      </c>
      <c r="F178" s="304" t="s">
        <v>2825</v>
      </c>
      <c r="G178" s="154" t="s">
        <v>2994</v>
      </c>
      <c r="H178" s="154" t="s">
        <v>166</v>
      </c>
      <c r="I178" s="154" t="s">
        <v>3021</v>
      </c>
      <c r="J178" s="154" t="s">
        <v>3124</v>
      </c>
      <c r="K178" s="66" t="s">
        <v>1005</v>
      </c>
      <c r="L178" s="66" t="s">
        <v>1353</v>
      </c>
      <c r="M178" s="71" t="str">
        <f t="shared" si="21"/>
        <v>28/12/1989</v>
      </c>
      <c r="N178" s="71">
        <f t="shared" ca="1" si="22"/>
        <v>36</v>
      </c>
      <c r="O178" s="66" t="s">
        <v>988</v>
      </c>
      <c r="P178" s="66" t="s">
        <v>2826</v>
      </c>
      <c r="Q178" s="66" t="s">
        <v>1256</v>
      </c>
      <c r="R178" s="66" t="s">
        <v>1539</v>
      </c>
      <c r="S178" s="66"/>
      <c r="T178" s="66"/>
      <c r="U178" s="84"/>
      <c r="V178" s="106"/>
      <c r="W178" s="106"/>
      <c r="X178" s="54">
        <f t="shared" si="17"/>
        <v>10</v>
      </c>
      <c r="Y178" s="54">
        <f t="shared" si="18"/>
        <v>8</v>
      </c>
      <c r="Z178" s="54" t="str">
        <f t="shared" si="19"/>
        <v>Githongo Sub County Hospital</v>
      </c>
    </row>
    <row r="179" spans="2:26" ht="20.149999999999999" customHeight="1">
      <c r="B179" s="108" t="s">
        <v>2895</v>
      </c>
      <c r="C179" s="108" t="s">
        <v>1626</v>
      </c>
      <c r="D179" s="170" t="s">
        <v>778</v>
      </c>
      <c r="E179" s="108">
        <v>30846801</v>
      </c>
      <c r="F179" s="247" t="s">
        <v>2528</v>
      </c>
      <c r="G179" s="108" t="s">
        <v>2992</v>
      </c>
      <c r="H179" s="108" t="s">
        <v>538</v>
      </c>
      <c r="I179" s="108" t="s">
        <v>1623</v>
      </c>
      <c r="J179" s="108" t="s">
        <v>3102</v>
      </c>
      <c r="K179" s="108" t="s">
        <v>1036</v>
      </c>
      <c r="L179" s="108" t="s">
        <v>1035</v>
      </c>
      <c r="M179" s="108" t="str">
        <f t="shared" si="21"/>
        <v>30/05/1994</v>
      </c>
      <c r="N179" s="108">
        <f t="shared" ca="1" si="22"/>
        <v>32</v>
      </c>
      <c r="O179" s="108" t="s">
        <v>988</v>
      </c>
      <c r="P179" s="108" t="s">
        <v>983</v>
      </c>
      <c r="Q179" s="108" t="s">
        <v>1142</v>
      </c>
      <c r="R179" s="108"/>
      <c r="S179" s="108"/>
      <c r="T179" s="108"/>
      <c r="U179" s="108"/>
      <c r="V179" s="146">
        <v>45565</v>
      </c>
      <c r="W179" s="106"/>
      <c r="X179" s="54">
        <f t="shared" si="17"/>
        <v>10</v>
      </c>
      <c r="Y179" s="54">
        <f t="shared" si="18"/>
        <v>8</v>
      </c>
      <c r="Z179" s="54" t="str">
        <f t="shared" si="19"/>
        <v>Bamboo Health Centre</v>
      </c>
    </row>
    <row r="180" spans="2:26" ht="20.149999999999999" customHeight="1">
      <c r="B180" s="108" t="s">
        <v>2896</v>
      </c>
      <c r="C180" s="108" t="s">
        <v>1626</v>
      </c>
      <c r="D180" s="170" t="s">
        <v>711</v>
      </c>
      <c r="E180" s="108">
        <v>29312165</v>
      </c>
      <c r="F180" s="247" t="s">
        <v>2529</v>
      </c>
      <c r="G180" s="108" t="s">
        <v>2994</v>
      </c>
      <c r="H180" s="108" t="s">
        <v>538</v>
      </c>
      <c r="I180" s="108" t="s">
        <v>1620</v>
      </c>
      <c r="J180" s="108" t="s">
        <v>3060</v>
      </c>
      <c r="K180" s="108" t="s">
        <v>1039</v>
      </c>
      <c r="L180" s="108" t="s">
        <v>1037</v>
      </c>
      <c r="M180" s="108" t="str">
        <f t="shared" si="21"/>
        <v>07/07/1992</v>
      </c>
      <c r="N180" s="108">
        <f t="shared" ca="1" si="22"/>
        <v>34</v>
      </c>
      <c r="O180" s="108" t="s">
        <v>988</v>
      </c>
      <c r="P180" s="108" t="s">
        <v>1038</v>
      </c>
      <c r="Q180" s="108" t="s">
        <v>3119</v>
      </c>
      <c r="R180" s="108" t="s">
        <v>994</v>
      </c>
      <c r="S180" s="108"/>
      <c r="T180" s="108"/>
      <c r="U180" s="108"/>
      <c r="V180" s="146">
        <v>45565</v>
      </c>
      <c r="W180" s="106"/>
      <c r="X180" s="54">
        <f t="shared" si="17"/>
        <v>10</v>
      </c>
      <c r="Y180" s="54">
        <f t="shared" si="18"/>
        <v>8</v>
      </c>
      <c r="Z180" s="54" t="str">
        <f t="shared" si="19"/>
        <v>Jm County Referral Hospital</v>
      </c>
    </row>
    <row r="181" spans="2:26" ht="20.149999999999999" customHeight="1">
      <c r="B181" s="154" t="s">
        <v>2431</v>
      </c>
      <c r="C181" s="154" t="s">
        <v>1627</v>
      </c>
      <c r="D181" s="176" t="s">
        <v>303</v>
      </c>
      <c r="E181" s="113">
        <v>32726476</v>
      </c>
      <c r="F181" s="258" t="s">
        <v>2666</v>
      </c>
      <c r="G181" s="154" t="s">
        <v>2994</v>
      </c>
      <c r="H181" s="154" t="s">
        <v>166</v>
      </c>
      <c r="I181" s="154" t="s">
        <v>3024</v>
      </c>
      <c r="J181" s="154" t="s">
        <v>512</v>
      </c>
      <c r="K181" s="66" t="s">
        <v>1005</v>
      </c>
      <c r="L181" s="66" t="s">
        <v>1356</v>
      </c>
      <c r="M181" s="71" t="str">
        <f t="shared" si="21"/>
        <v>13/07/1993</v>
      </c>
      <c r="N181" s="71">
        <f t="shared" ca="1" si="22"/>
        <v>33</v>
      </c>
      <c r="O181" s="66" t="s">
        <v>988</v>
      </c>
      <c r="P181" s="66" t="s">
        <v>1282</v>
      </c>
      <c r="Q181" s="66" t="s">
        <v>1355</v>
      </c>
      <c r="R181" s="66" t="s">
        <v>1539</v>
      </c>
      <c r="S181" s="66"/>
      <c r="T181" s="66"/>
      <c r="U181" s="108"/>
      <c r="V181" s="146">
        <v>45565</v>
      </c>
      <c r="W181" s="106"/>
      <c r="X181" s="54">
        <f t="shared" si="17"/>
        <v>10</v>
      </c>
      <c r="Y181" s="54">
        <f t="shared" si="18"/>
        <v>8</v>
      </c>
      <c r="Z181" s="54" t="str">
        <f t="shared" si="19"/>
        <v>Miathene Hospital</v>
      </c>
    </row>
    <row r="182" spans="2:26" ht="20.149999999999999" customHeight="1">
      <c r="B182" s="64" t="s">
        <v>3162</v>
      </c>
      <c r="C182" s="64" t="s">
        <v>1627</v>
      </c>
      <c r="D182" s="286" t="s">
        <v>3284</v>
      </c>
      <c r="E182" s="64" t="s">
        <v>3283</v>
      </c>
      <c r="F182" s="294" t="s">
        <v>3279</v>
      </c>
      <c r="G182" s="64" t="s">
        <v>2999</v>
      </c>
      <c r="H182" s="64" t="s">
        <v>166</v>
      </c>
      <c r="I182" s="64" t="s">
        <v>3015</v>
      </c>
      <c r="J182" s="65" t="s">
        <v>3142</v>
      </c>
      <c r="K182" s="50" t="s">
        <v>3163</v>
      </c>
      <c r="L182" s="50" t="s">
        <v>3280</v>
      </c>
      <c r="M182" s="50" t="str">
        <f t="shared" si="21"/>
        <v>24/07/1993</v>
      </c>
      <c r="N182" s="50">
        <f t="shared" ca="1" si="22"/>
        <v>33</v>
      </c>
      <c r="O182" s="50" t="s">
        <v>998</v>
      </c>
      <c r="P182" s="50" t="s">
        <v>3281</v>
      </c>
      <c r="Q182" s="50" t="s">
        <v>3282</v>
      </c>
      <c r="R182" s="50"/>
      <c r="S182" s="50"/>
      <c r="T182" s="50"/>
      <c r="U182" s="108"/>
      <c r="V182" s="197"/>
      <c r="W182" s="108"/>
      <c r="X182" s="54">
        <f t="shared" si="17"/>
        <v>10</v>
      </c>
      <c r="Y182" s="54">
        <f t="shared" si="18"/>
        <v>8</v>
      </c>
      <c r="Z182" s="54" t="str">
        <f t="shared" si="19"/>
        <v>Meru Teaching And Referral Hospital</v>
      </c>
    </row>
    <row r="183" spans="2:26" ht="20.149999999999999" customHeight="1">
      <c r="B183" s="106" t="s">
        <v>2899</v>
      </c>
      <c r="C183" s="106" t="s">
        <v>1626</v>
      </c>
      <c r="D183" s="117" t="s">
        <v>552</v>
      </c>
      <c r="E183" s="117" t="s">
        <v>2159</v>
      </c>
      <c r="F183" s="180" t="s">
        <v>2467</v>
      </c>
      <c r="G183" s="106" t="s">
        <v>2994</v>
      </c>
      <c r="H183" s="106" t="s">
        <v>538</v>
      </c>
      <c r="I183" s="106" t="s">
        <v>1620</v>
      </c>
      <c r="J183" s="106" t="s">
        <v>3145</v>
      </c>
      <c r="K183" s="106" t="s">
        <v>1005</v>
      </c>
      <c r="L183" s="106" t="s">
        <v>1050</v>
      </c>
      <c r="M183" s="106" t="str">
        <f t="shared" si="21"/>
        <v>27/09/1985</v>
      </c>
      <c r="N183" s="106">
        <f t="shared" ca="1" si="22"/>
        <v>40</v>
      </c>
      <c r="O183" s="106" t="s">
        <v>988</v>
      </c>
      <c r="P183" s="106" t="s">
        <v>1002</v>
      </c>
      <c r="Q183" s="106" t="s">
        <v>1051</v>
      </c>
      <c r="R183" s="106" t="s">
        <v>1055</v>
      </c>
      <c r="S183" s="106"/>
      <c r="T183" s="106"/>
      <c r="U183" s="106"/>
      <c r="V183" s="108"/>
      <c r="W183" s="108"/>
      <c r="X183" s="54">
        <f t="shared" si="17"/>
        <v>10</v>
      </c>
      <c r="Y183" s="54">
        <f t="shared" si="18"/>
        <v>8</v>
      </c>
      <c r="Z183" s="54" t="str">
        <f t="shared" si="19"/>
        <v>Mirangine Health Centre</v>
      </c>
    </row>
    <row r="184" spans="2:26" ht="20.149999999999999" customHeight="1">
      <c r="B184" s="106" t="s">
        <v>2900</v>
      </c>
      <c r="C184" s="106" t="s">
        <v>1626</v>
      </c>
      <c r="D184" s="119" t="s">
        <v>707</v>
      </c>
      <c r="E184" s="106">
        <v>28548632</v>
      </c>
      <c r="F184" s="182" t="s">
        <v>2466</v>
      </c>
      <c r="G184" s="106" t="s">
        <v>2994</v>
      </c>
      <c r="H184" s="106" t="s">
        <v>538</v>
      </c>
      <c r="I184" s="106" t="s">
        <v>1623</v>
      </c>
      <c r="J184" s="106" t="s">
        <v>3061</v>
      </c>
      <c r="K184" s="106" t="s">
        <v>1039</v>
      </c>
      <c r="L184" s="106" t="s">
        <v>1046</v>
      </c>
      <c r="M184" s="106" t="str">
        <f t="shared" si="21"/>
        <v>15/02/1991</v>
      </c>
      <c r="N184" s="106">
        <f t="shared" ca="1" si="22"/>
        <v>35</v>
      </c>
      <c r="O184" s="106" t="s">
        <v>988</v>
      </c>
      <c r="P184" s="106" t="s">
        <v>1047</v>
      </c>
      <c r="Q184" s="106" t="s">
        <v>1048</v>
      </c>
      <c r="R184" s="106" t="s">
        <v>1049</v>
      </c>
      <c r="S184" s="106"/>
      <c r="T184" s="106"/>
      <c r="U184" s="106"/>
      <c r="V184" s="106"/>
      <c r="W184" s="106"/>
      <c r="X184" s="54">
        <f t="shared" si="17"/>
        <v>10</v>
      </c>
      <c r="Y184" s="54">
        <f t="shared" si="18"/>
        <v>8</v>
      </c>
      <c r="Z184" s="54" t="str">
        <f t="shared" si="19"/>
        <v>Engineer County Referral Hospital</v>
      </c>
    </row>
    <row r="185" spans="2:26" ht="20.149999999999999" customHeight="1">
      <c r="B185" s="106" t="s">
        <v>2901</v>
      </c>
      <c r="C185" s="106" t="s">
        <v>1626</v>
      </c>
      <c r="D185" s="123" t="s">
        <v>3087</v>
      </c>
      <c r="E185" s="117">
        <v>37792378</v>
      </c>
      <c r="F185" s="180" t="s">
        <v>2468</v>
      </c>
      <c r="G185" s="106" t="s">
        <v>2996</v>
      </c>
      <c r="H185" s="106" t="s">
        <v>538</v>
      </c>
      <c r="I185" s="106" t="s">
        <v>1623</v>
      </c>
      <c r="J185" s="106" t="s">
        <v>3144</v>
      </c>
      <c r="K185" s="106" t="s">
        <v>1585</v>
      </c>
      <c r="L185" s="106" t="s">
        <v>2469</v>
      </c>
      <c r="M185" s="106" t="str">
        <f t="shared" si="21"/>
        <v>22/03/2000</v>
      </c>
      <c r="N185" s="106">
        <f t="shared" ca="1" si="22"/>
        <v>26</v>
      </c>
      <c r="O185" s="106" t="s">
        <v>988</v>
      </c>
      <c r="P185" s="106" t="s">
        <v>996</v>
      </c>
      <c r="Q185" s="106" t="s">
        <v>1334</v>
      </c>
      <c r="R185" s="106"/>
      <c r="S185" s="81" t="s">
        <v>2328</v>
      </c>
      <c r="T185" s="83" t="s">
        <v>2198</v>
      </c>
      <c r="U185" s="84">
        <v>46326</v>
      </c>
      <c r="V185" s="106"/>
      <c r="W185" s="106"/>
      <c r="X185" s="208">
        <f t="shared" si="17"/>
        <v>10</v>
      </c>
      <c r="Y185" s="54">
        <f t="shared" si="18"/>
        <v>8</v>
      </c>
      <c r="Z185" s="54" t="str">
        <f t="shared" si="19"/>
        <v>Murungaru Health Centre</v>
      </c>
    </row>
    <row r="186" spans="2:26" ht="20.149999999999999" customHeight="1">
      <c r="B186" s="108" t="s">
        <v>2902</v>
      </c>
      <c r="C186" s="108" t="s">
        <v>1626</v>
      </c>
      <c r="D186" s="170" t="s">
        <v>610</v>
      </c>
      <c r="E186" s="108">
        <v>30085903</v>
      </c>
      <c r="F186" s="247" t="s">
        <v>2567</v>
      </c>
      <c r="G186" s="108" t="s">
        <v>2994</v>
      </c>
      <c r="H186" s="108" t="s">
        <v>538</v>
      </c>
      <c r="I186" s="108" t="s">
        <v>1620</v>
      </c>
      <c r="J186" s="108" t="s">
        <v>3060</v>
      </c>
      <c r="K186" s="108" t="s">
        <v>1005</v>
      </c>
      <c r="L186" s="108" t="s">
        <v>1052</v>
      </c>
      <c r="M186" s="108" t="str">
        <f t="shared" si="21"/>
        <v>03/11/1992</v>
      </c>
      <c r="N186" s="108">
        <f t="shared" ca="1" si="22"/>
        <v>33</v>
      </c>
      <c r="O186" s="108" t="s">
        <v>988</v>
      </c>
      <c r="P186" s="108" t="s">
        <v>1053</v>
      </c>
      <c r="Q186" s="108" t="s">
        <v>1054</v>
      </c>
      <c r="R186" s="108" t="s">
        <v>994</v>
      </c>
      <c r="S186" s="108"/>
      <c r="T186" s="108"/>
      <c r="U186" s="108"/>
      <c r="V186" s="197">
        <v>45565</v>
      </c>
      <c r="W186" s="108"/>
      <c r="X186" s="54">
        <f t="shared" si="17"/>
        <v>10</v>
      </c>
      <c r="Y186" s="54">
        <f t="shared" si="18"/>
        <v>8</v>
      </c>
      <c r="Z186" s="54" t="str">
        <f t="shared" si="19"/>
        <v>Jm County Referral Hospital</v>
      </c>
    </row>
    <row r="187" spans="2:26" ht="20.149999999999999" customHeight="1">
      <c r="B187" s="108" t="s">
        <v>3086</v>
      </c>
      <c r="C187" s="108" t="s">
        <v>1626</v>
      </c>
      <c r="D187" s="170" t="s">
        <v>556</v>
      </c>
      <c r="E187" s="108">
        <v>33384264</v>
      </c>
      <c r="F187" s="247" t="s">
        <v>3083</v>
      </c>
      <c r="G187" s="108" t="s">
        <v>2994</v>
      </c>
      <c r="H187" s="108" t="s">
        <v>538</v>
      </c>
      <c r="I187" s="108" t="s">
        <v>1622</v>
      </c>
      <c r="J187" s="108" t="s">
        <v>3065</v>
      </c>
      <c r="K187" s="108" t="s">
        <v>1005</v>
      </c>
      <c r="L187" s="108" t="s">
        <v>3084</v>
      </c>
      <c r="M187" s="108" t="str">
        <f t="shared" si="21"/>
        <v>09/09/1996</v>
      </c>
      <c r="N187" s="108">
        <f t="shared" ca="1" si="22"/>
        <v>29</v>
      </c>
      <c r="O187" s="49" t="s">
        <v>988</v>
      </c>
      <c r="P187" s="108" t="s">
        <v>3085</v>
      </c>
      <c r="Q187" s="108" t="s">
        <v>3119</v>
      </c>
      <c r="R187" s="108" t="s">
        <v>2718</v>
      </c>
      <c r="S187" s="108"/>
      <c r="T187" s="108"/>
      <c r="U187" s="108"/>
      <c r="V187" s="197">
        <v>45199</v>
      </c>
      <c r="W187" s="108"/>
      <c r="X187" s="54">
        <f t="shared" ref="X187" si="23">LEN(D187)</f>
        <v>10</v>
      </c>
      <c r="Y187" s="54">
        <f t="shared" ref="Y187" si="24">LEN(E187)</f>
        <v>8</v>
      </c>
    </row>
    <row r="188" spans="2:26" ht="20.149999999999999" customHeight="1">
      <c r="B188" s="106" t="s">
        <v>2903</v>
      </c>
      <c r="C188" s="106" t="s">
        <v>1626</v>
      </c>
      <c r="D188" s="119" t="s">
        <v>693</v>
      </c>
      <c r="E188" s="106">
        <v>28971833</v>
      </c>
      <c r="F188" s="182" t="s">
        <v>2568</v>
      </c>
      <c r="G188" s="106" t="s">
        <v>2994</v>
      </c>
      <c r="H188" s="106" t="s">
        <v>538</v>
      </c>
      <c r="I188" s="106" t="s">
        <v>1620</v>
      </c>
      <c r="J188" s="106" t="s">
        <v>3060</v>
      </c>
      <c r="K188" s="106" t="s">
        <v>1059</v>
      </c>
      <c r="L188" s="106" t="s">
        <v>1058</v>
      </c>
      <c r="M188" s="106" t="str">
        <f t="shared" si="21"/>
        <v>15/11/1991</v>
      </c>
      <c r="N188" s="106">
        <f t="shared" ca="1" si="22"/>
        <v>34</v>
      </c>
      <c r="O188" s="106" t="s">
        <v>988</v>
      </c>
      <c r="P188" s="106" t="s">
        <v>1056</v>
      </c>
      <c r="Q188" s="106" t="s">
        <v>1057</v>
      </c>
      <c r="R188" s="106" t="s">
        <v>1203</v>
      </c>
      <c r="S188" s="106"/>
      <c r="T188" s="106"/>
      <c r="U188" s="106"/>
      <c r="V188" s="108"/>
      <c r="W188" s="108"/>
      <c r="X188" s="54">
        <f t="shared" si="17"/>
        <v>10</v>
      </c>
      <c r="Y188" s="54">
        <f t="shared" si="18"/>
        <v>8</v>
      </c>
      <c r="Z188" s="54" t="str">
        <f t="shared" si="19"/>
        <v>Jm County Referral Hospital</v>
      </c>
    </row>
    <row r="189" spans="2:26" ht="20.149999999999999" customHeight="1">
      <c r="B189" s="106" t="s">
        <v>2877</v>
      </c>
      <c r="C189" s="106" t="s">
        <v>1627</v>
      </c>
      <c r="D189" s="206" t="s">
        <v>2179</v>
      </c>
      <c r="E189" s="117" t="s">
        <v>2180</v>
      </c>
      <c r="F189" s="180" t="s">
        <v>2445</v>
      </c>
      <c r="G189" s="106" t="s">
        <v>3006</v>
      </c>
      <c r="H189" s="106" t="s">
        <v>538</v>
      </c>
      <c r="I189" s="106" t="s">
        <v>1620</v>
      </c>
      <c r="J189" s="106" t="s">
        <v>3060</v>
      </c>
      <c r="K189" s="106"/>
      <c r="L189" s="106" t="s">
        <v>1564</v>
      </c>
      <c r="M189" s="106" t="str">
        <f t="shared" si="21"/>
        <v>12/12/1993</v>
      </c>
      <c r="N189" s="106">
        <f t="shared" ca="1" si="22"/>
        <v>32</v>
      </c>
      <c r="O189" s="106" t="s">
        <v>988</v>
      </c>
      <c r="P189" s="106" t="s">
        <v>983</v>
      </c>
      <c r="Q189" s="106" t="s">
        <v>3119</v>
      </c>
      <c r="R189" s="106"/>
      <c r="S189" s="106"/>
      <c r="T189" s="106"/>
      <c r="U189" s="84"/>
      <c r="V189" s="108"/>
      <c r="W189" s="108"/>
      <c r="X189" s="54">
        <f t="shared" si="17"/>
        <v>10</v>
      </c>
      <c r="Y189" s="54">
        <f t="shared" si="18"/>
        <v>8</v>
      </c>
      <c r="Z189" s="54" t="str">
        <f t="shared" si="19"/>
        <v>Jm County Referral Hospital</v>
      </c>
    </row>
    <row r="190" spans="2:26" ht="20.149999999999999" customHeight="1">
      <c r="B190" s="108" t="s">
        <v>2885</v>
      </c>
      <c r="C190" s="108" t="s">
        <v>1627</v>
      </c>
      <c r="D190" s="118" t="s">
        <v>790</v>
      </c>
      <c r="E190" s="106">
        <v>33117422</v>
      </c>
      <c r="F190" s="182" t="s">
        <v>2523</v>
      </c>
      <c r="G190" s="108" t="s">
        <v>2996</v>
      </c>
      <c r="H190" s="108" t="s">
        <v>538</v>
      </c>
      <c r="I190" s="108" t="s">
        <v>1621</v>
      </c>
      <c r="J190" s="108" t="s">
        <v>1891</v>
      </c>
      <c r="K190" s="108" t="s">
        <v>1012</v>
      </c>
      <c r="L190" s="108" t="s">
        <v>1562</v>
      </c>
      <c r="M190" s="108" t="str">
        <f t="shared" si="21"/>
        <v>06/10/1996</v>
      </c>
      <c r="N190" s="108">
        <f t="shared" ca="1" si="22"/>
        <v>29</v>
      </c>
      <c r="O190" s="108" t="s">
        <v>988</v>
      </c>
      <c r="P190" s="108" t="s">
        <v>996</v>
      </c>
      <c r="Q190" s="108" t="s">
        <v>1013</v>
      </c>
      <c r="R190" s="108"/>
      <c r="S190" s="108"/>
      <c r="T190" s="108"/>
      <c r="U190" s="108"/>
      <c r="V190" s="146">
        <v>45565</v>
      </c>
      <c r="W190" s="106"/>
      <c r="X190" s="54">
        <f t="shared" si="17"/>
        <v>10</v>
      </c>
      <c r="Y190" s="54">
        <f t="shared" si="18"/>
        <v>8</v>
      </c>
      <c r="Z190" s="54" t="str">
        <f t="shared" si="19"/>
        <v>Ndaragwa Health Centre</v>
      </c>
    </row>
    <row r="191" spans="2:26" ht="20.149999999999999" customHeight="1">
      <c r="B191" s="108" t="s">
        <v>2905</v>
      </c>
      <c r="C191" s="108" t="s">
        <v>1626</v>
      </c>
      <c r="D191" s="170" t="s">
        <v>2532</v>
      </c>
      <c r="E191" s="108">
        <v>32624116</v>
      </c>
      <c r="F191" s="247" t="s">
        <v>2533</v>
      </c>
      <c r="G191" s="108" t="s">
        <v>2994</v>
      </c>
      <c r="H191" s="108" t="s">
        <v>538</v>
      </c>
      <c r="I191" s="108" t="s">
        <v>1624</v>
      </c>
      <c r="J191" s="108" t="s">
        <v>3063</v>
      </c>
      <c r="K191" s="108" t="s">
        <v>1005</v>
      </c>
      <c r="L191" s="108" t="s">
        <v>1066</v>
      </c>
      <c r="M191" s="108" t="str">
        <f t="shared" ref="M191:M222" si="25">IF(L191="","",TEXT(DATEVALUE(SUBSTITUTE(SUBSTITUTE(SUBSTITUTE(SUBSTITUTE(SUBSTITUTE(L191,"st",""),"nd",""),"rd",""),"th",""),"TH","")),"dd/mm/yyyy"))</f>
        <v>26/12/1995</v>
      </c>
      <c r="N191" s="108">
        <f t="shared" ref="N191:N222" ca="1" si="26">IF(M191="","",DATEDIF(M191,TODAY(),"Y"))</f>
        <v>30</v>
      </c>
      <c r="O191" s="108" t="s">
        <v>998</v>
      </c>
      <c r="P191" s="108" t="s">
        <v>1067</v>
      </c>
      <c r="Q191" s="108" t="s">
        <v>1068</v>
      </c>
      <c r="R191" s="108" t="s">
        <v>1069</v>
      </c>
      <c r="S191" s="108"/>
      <c r="T191" s="108"/>
      <c r="U191" s="108"/>
      <c r="V191" s="197">
        <v>45565</v>
      </c>
      <c r="W191" s="106"/>
      <c r="X191" s="54">
        <f t="shared" si="17"/>
        <v>10</v>
      </c>
      <c r="Y191" s="54">
        <f t="shared" si="18"/>
        <v>8</v>
      </c>
      <c r="Z191" s="54" t="str">
        <f t="shared" si="19"/>
        <v>Ngano Health Centre</v>
      </c>
    </row>
    <row r="192" spans="2:26" ht="20.149999999999999" customHeight="1">
      <c r="B192" s="108" t="s">
        <v>2906</v>
      </c>
      <c r="C192" s="108" t="s">
        <v>1626</v>
      </c>
      <c r="D192" s="170" t="s">
        <v>2534</v>
      </c>
      <c r="E192" s="108">
        <v>26459476</v>
      </c>
      <c r="F192" s="247" t="s">
        <v>2535</v>
      </c>
      <c r="G192" s="108" t="s">
        <v>2994</v>
      </c>
      <c r="H192" s="108" t="s">
        <v>538</v>
      </c>
      <c r="I192" s="108" t="s">
        <v>1620</v>
      </c>
      <c r="J192" s="108" t="s">
        <v>3060</v>
      </c>
      <c r="K192" s="108" t="s">
        <v>1028</v>
      </c>
      <c r="L192" s="108" t="s">
        <v>1071</v>
      </c>
      <c r="M192" s="108" t="str">
        <f t="shared" si="25"/>
        <v>05/11/1987</v>
      </c>
      <c r="N192" s="108">
        <f t="shared" ca="1" si="26"/>
        <v>38</v>
      </c>
      <c r="O192" s="108" t="s">
        <v>988</v>
      </c>
      <c r="P192" s="108" t="s">
        <v>1072</v>
      </c>
      <c r="Q192" s="108" t="s">
        <v>1073</v>
      </c>
      <c r="R192" s="108" t="s">
        <v>1074</v>
      </c>
      <c r="S192" s="108"/>
      <c r="T192" s="108"/>
      <c r="U192" s="108"/>
      <c r="V192" s="146">
        <v>45565</v>
      </c>
      <c r="W192" s="106"/>
      <c r="X192" s="54">
        <f t="shared" si="17"/>
        <v>10</v>
      </c>
      <c r="Y192" s="54">
        <f t="shared" si="18"/>
        <v>8</v>
      </c>
      <c r="Z192" s="54" t="str">
        <f t="shared" si="19"/>
        <v>Jm County Referral Hospital</v>
      </c>
    </row>
    <row r="193" spans="2:26" ht="20.149999999999999" customHeight="1">
      <c r="B193" s="106" t="s">
        <v>2907</v>
      </c>
      <c r="C193" s="106" t="s">
        <v>1626</v>
      </c>
      <c r="D193" s="119" t="s">
        <v>739</v>
      </c>
      <c r="E193" s="106">
        <v>32816744</v>
      </c>
      <c r="F193" s="182" t="s">
        <v>2481</v>
      </c>
      <c r="G193" s="106" t="s">
        <v>2996</v>
      </c>
      <c r="H193" s="106" t="s">
        <v>538</v>
      </c>
      <c r="I193" s="106" t="s">
        <v>1620</v>
      </c>
      <c r="J193" s="106" t="s">
        <v>3060</v>
      </c>
      <c r="K193" s="106" t="s">
        <v>1039</v>
      </c>
      <c r="L193" s="106" t="s">
        <v>1070</v>
      </c>
      <c r="M193" s="106" t="str">
        <f t="shared" si="25"/>
        <v>18/06/1996</v>
      </c>
      <c r="N193" s="106">
        <f t="shared" ca="1" si="26"/>
        <v>30</v>
      </c>
      <c r="O193" s="106" t="s">
        <v>988</v>
      </c>
      <c r="P193" s="106" t="s">
        <v>996</v>
      </c>
      <c r="Q193" s="106" t="s">
        <v>1013</v>
      </c>
      <c r="R193" s="106"/>
      <c r="S193" s="81" t="s">
        <v>2328</v>
      </c>
      <c r="T193" s="83" t="s">
        <v>2192</v>
      </c>
      <c r="U193" s="111">
        <v>46326</v>
      </c>
      <c r="V193" s="108"/>
      <c r="W193" s="108"/>
      <c r="X193" s="54">
        <f t="shared" si="17"/>
        <v>10</v>
      </c>
      <c r="Y193" s="54">
        <f t="shared" si="18"/>
        <v>8</v>
      </c>
      <c r="Z193" s="54" t="str">
        <f t="shared" si="19"/>
        <v>Jm County Referral Hospital</v>
      </c>
    </row>
    <row r="194" spans="2:26" ht="20.149999999999999" customHeight="1">
      <c r="B194" s="106" t="s">
        <v>2908</v>
      </c>
      <c r="C194" s="106" t="s">
        <v>1626</v>
      </c>
      <c r="D194" s="117" t="s">
        <v>560</v>
      </c>
      <c r="E194" s="117" t="s">
        <v>2160</v>
      </c>
      <c r="F194" s="180" t="s">
        <v>2482</v>
      </c>
      <c r="G194" s="106" t="s">
        <v>2994</v>
      </c>
      <c r="H194" s="106" t="s">
        <v>538</v>
      </c>
      <c r="I194" s="106" t="s">
        <v>1621</v>
      </c>
      <c r="J194" s="106" t="s">
        <v>3108</v>
      </c>
      <c r="K194" s="106" t="s">
        <v>1005</v>
      </c>
      <c r="L194" s="106" t="s">
        <v>1075</v>
      </c>
      <c r="M194" s="106" t="str">
        <f t="shared" si="25"/>
        <v>24/09/1991</v>
      </c>
      <c r="N194" s="106">
        <f t="shared" ca="1" si="26"/>
        <v>34</v>
      </c>
      <c r="O194" s="106" t="s">
        <v>988</v>
      </c>
      <c r="P194" s="106" t="s">
        <v>1076</v>
      </c>
      <c r="Q194" s="106" t="s">
        <v>989</v>
      </c>
      <c r="R194" s="106" t="s">
        <v>1049</v>
      </c>
      <c r="S194" s="106"/>
      <c r="T194" s="106"/>
      <c r="U194" s="106"/>
      <c r="V194" s="106"/>
      <c r="W194" s="106"/>
      <c r="X194" s="54">
        <f t="shared" si="17"/>
        <v>10</v>
      </c>
      <c r="Y194" s="54">
        <f t="shared" si="18"/>
        <v>8</v>
      </c>
      <c r="Z194" s="54" t="str">
        <f t="shared" si="19"/>
        <v>Baari Health Centre</v>
      </c>
    </row>
    <row r="195" spans="2:26" ht="20.149999999999999" customHeight="1">
      <c r="B195" s="108" t="s">
        <v>2909</v>
      </c>
      <c r="C195" s="108" t="s">
        <v>1626</v>
      </c>
      <c r="D195" s="117" t="s">
        <v>564</v>
      </c>
      <c r="E195" s="117" t="s">
        <v>2479</v>
      </c>
      <c r="F195" s="249" t="s">
        <v>2478</v>
      </c>
      <c r="G195" s="108" t="s">
        <v>2994</v>
      </c>
      <c r="H195" s="108" t="s">
        <v>538</v>
      </c>
      <c r="I195" s="108" t="s">
        <v>1624</v>
      </c>
      <c r="J195" s="108" t="s">
        <v>3105</v>
      </c>
      <c r="K195" s="108" t="s">
        <v>1005</v>
      </c>
      <c r="L195" s="108" t="s">
        <v>1077</v>
      </c>
      <c r="M195" s="108" t="str">
        <f t="shared" si="25"/>
        <v>04/01/1991</v>
      </c>
      <c r="N195" s="108">
        <f t="shared" ca="1" si="26"/>
        <v>35</v>
      </c>
      <c r="O195" s="108" t="s">
        <v>988</v>
      </c>
      <c r="P195" s="108" t="s">
        <v>1078</v>
      </c>
      <c r="Q195" s="108" t="s">
        <v>1051</v>
      </c>
      <c r="R195" s="108" t="s">
        <v>1049</v>
      </c>
      <c r="S195" s="108"/>
      <c r="T195" s="108"/>
      <c r="U195" s="108"/>
      <c r="V195" s="197">
        <v>45565</v>
      </c>
      <c r="W195" s="108"/>
      <c r="X195" s="54">
        <f t="shared" si="17"/>
        <v>10</v>
      </c>
      <c r="Y195" s="54">
        <f t="shared" si="18"/>
        <v>8</v>
      </c>
      <c r="Z195" s="54" t="str">
        <f t="shared" si="19"/>
        <v>Chamuka Health Centre</v>
      </c>
    </row>
    <row r="196" spans="2:26" ht="20.149999999999999" customHeight="1">
      <c r="B196" s="108" t="s">
        <v>2910</v>
      </c>
      <c r="C196" s="108" t="s">
        <v>1626</v>
      </c>
      <c r="D196" s="170" t="s">
        <v>704</v>
      </c>
      <c r="E196" s="108">
        <v>31790869</v>
      </c>
      <c r="F196" s="247" t="s">
        <v>2536</v>
      </c>
      <c r="G196" s="108" t="s">
        <v>2994</v>
      </c>
      <c r="H196" s="108" t="s">
        <v>538</v>
      </c>
      <c r="I196" s="108" t="s">
        <v>1623</v>
      </c>
      <c r="J196" s="108" t="s">
        <v>3061</v>
      </c>
      <c r="K196" s="108" t="s">
        <v>995</v>
      </c>
      <c r="L196" s="108" t="s">
        <v>1079</v>
      </c>
      <c r="M196" s="108" t="str">
        <f t="shared" si="25"/>
        <v>24/08/1993</v>
      </c>
      <c r="N196" s="108">
        <f t="shared" ca="1" si="26"/>
        <v>32</v>
      </c>
      <c r="O196" s="108" t="s">
        <v>988</v>
      </c>
      <c r="P196" s="108" t="s">
        <v>1080</v>
      </c>
      <c r="Q196" s="108" t="s">
        <v>1082</v>
      </c>
      <c r="R196" s="108" t="s">
        <v>1081</v>
      </c>
      <c r="S196" s="108"/>
      <c r="T196" s="108"/>
      <c r="U196" s="108"/>
      <c r="V196" s="146">
        <v>45565</v>
      </c>
      <c r="W196" s="106"/>
      <c r="X196" s="54">
        <f t="shared" si="17"/>
        <v>10</v>
      </c>
      <c r="Y196" s="54">
        <f t="shared" si="18"/>
        <v>8</v>
      </c>
      <c r="Z196" s="54" t="str">
        <f t="shared" si="19"/>
        <v>Engineer County Referral Hospital</v>
      </c>
    </row>
    <row r="197" spans="2:26" ht="20.149999999999999" customHeight="1">
      <c r="B197" s="108" t="s">
        <v>3090</v>
      </c>
      <c r="C197" s="108" t="s">
        <v>1626</v>
      </c>
      <c r="D197" s="170" t="s">
        <v>616</v>
      </c>
      <c r="E197" s="108">
        <v>28197480</v>
      </c>
      <c r="F197" s="247" t="s">
        <v>3088</v>
      </c>
      <c r="G197" s="108" t="s">
        <v>2998</v>
      </c>
      <c r="H197" s="108" t="s">
        <v>538</v>
      </c>
      <c r="I197" s="108" t="s">
        <v>1622</v>
      </c>
      <c r="J197" s="108" t="s">
        <v>3091</v>
      </c>
      <c r="K197" s="108" t="s">
        <v>1005</v>
      </c>
      <c r="L197" s="108" t="s">
        <v>3089</v>
      </c>
      <c r="M197" s="108" t="str">
        <f t="shared" si="25"/>
        <v>09/10/1990</v>
      </c>
      <c r="N197" s="108">
        <f t="shared" ca="1" si="26"/>
        <v>35</v>
      </c>
      <c r="O197" s="108" t="s">
        <v>988</v>
      </c>
      <c r="P197" s="108" t="s">
        <v>2121</v>
      </c>
      <c r="Q197" s="108" t="s">
        <v>1399</v>
      </c>
      <c r="R197" s="108"/>
      <c r="S197" s="108"/>
      <c r="T197" s="108"/>
      <c r="U197" s="108"/>
      <c r="V197" s="146">
        <v>45232</v>
      </c>
      <c r="W197" s="106"/>
    </row>
    <row r="198" spans="2:26" ht="20.149999999999999" customHeight="1">
      <c r="B198" s="108" t="s">
        <v>2886</v>
      </c>
      <c r="C198" s="108" t="s">
        <v>1627</v>
      </c>
      <c r="D198" s="170" t="s">
        <v>630</v>
      </c>
      <c r="E198" s="108">
        <v>32149698</v>
      </c>
      <c r="F198" s="247" t="s">
        <v>2521</v>
      </c>
      <c r="G198" s="108" t="s">
        <v>2994</v>
      </c>
      <c r="H198" s="108" t="s">
        <v>538</v>
      </c>
      <c r="I198" s="108" t="s">
        <v>1621</v>
      </c>
      <c r="J198" s="108" t="s">
        <v>3100</v>
      </c>
      <c r="K198" s="108" t="s">
        <v>1005</v>
      </c>
      <c r="L198" s="108" t="s">
        <v>2522</v>
      </c>
      <c r="M198" s="108" t="str">
        <f t="shared" si="25"/>
        <v>03/09/1995</v>
      </c>
      <c r="N198" s="108">
        <f t="shared" ca="1" si="26"/>
        <v>30</v>
      </c>
      <c r="O198" s="108" t="s">
        <v>1010</v>
      </c>
      <c r="P198" s="108" t="s">
        <v>1014</v>
      </c>
      <c r="Q198" s="108" t="s">
        <v>1015</v>
      </c>
      <c r="R198" s="108" t="s">
        <v>1016</v>
      </c>
      <c r="S198" s="81"/>
      <c r="T198" s="83"/>
      <c r="U198" s="108"/>
      <c r="V198" s="146">
        <v>45565</v>
      </c>
      <c r="W198" s="106"/>
      <c r="X198" s="54">
        <f t="shared" si="17"/>
        <v>10</v>
      </c>
      <c r="Y198" s="54">
        <f t="shared" si="18"/>
        <v>8</v>
      </c>
      <c r="Z198" s="54" t="str">
        <f t="shared" si="19"/>
        <v>Shamata Health Centre</v>
      </c>
    </row>
    <row r="199" spans="2:26" ht="20.149999999999999" customHeight="1">
      <c r="B199" s="106" t="s">
        <v>2889</v>
      </c>
      <c r="C199" s="106" t="s">
        <v>1627</v>
      </c>
      <c r="D199" s="118" t="s">
        <v>647</v>
      </c>
      <c r="E199" s="117" t="s">
        <v>2454</v>
      </c>
      <c r="F199" s="180" t="s">
        <v>2453</v>
      </c>
      <c r="G199" s="106" t="s">
        <v>2994</v>
      </c>
      <c r="H199" s="106" t="s">
        <v>538</v>
      </c>
      <c r="I199" s="106" t="s">
        <v>1621</v>
      </c>
      <c r="J199" s="106" t="s">
        <v>1891</v>
      </c>
      <c r="K199" s="106" t="s">
        <v>1005</v>
      </c>
      <c r="L199" s="106" t="s">
        <v>2455</v>
      </c>
      <c r="M199" s="106" t="str">
        <f t="shared" si="25"/>
        <v>16/04/1988</v>
      </c>
      <c r="N199" s="106">
        <f t="shared" ca="1" si="26"/>
        <v>38</v>
      </c>
      <c r="O199" s="106" t="s">
        <v>988</v>
      </c>
      <c r="P199" s="108" t="s">
        <v>2456</v>
      </c>
      <c r="Q199" s="106" t="s">
        <v>2452</v>
      </c>
      <c r="R199" s="106" t="s">
        <v>2457</v>
      </c>
      <c r="S199" s="106"/>
      <c r="T199" s="106"/>
      <c r="U199" s="108"/>
      <c r="V199" s="146">
        <v>45565</v>
      </c>
      <c r="W199" s="106"/>
      <c r="X199" s="54">
        <f t="shared" si="17"/>
        <v>10</v>
      </c>
      <c r="Y199" s="54">
        <f t="shared" si="18"/>
        <v>8</v>
      </c>
      <c r="Z199" s="54" t="str">
        <f t="shared" si="19"/>
        <v>Ndaragwa Health Centre</v>
      </c>
    </row>
    <row r="200" spans="2:26" ht="20.149999999999999" customHeight="1">
      <c r="B200" s="108" t="s">
        <v>2913</v>
      </c>
      <c r="C200" s="108" t="s">
        <v>1626</v>
      </c>
      <c r="D200" s="250" t="s">
        <v>568</v>
      </c>
      <c r="E200" s="248" t="s">
        <v>2539</v>
      </c>
      <c r="F200" s="249" t="s">
        <v>2540</v>
      </c>
      <c r="G200" s="108" t="s">
        <v>2994</v>
      </c>
      <c r="H200" s="108" t="s">
        <v>538</v>
      </c>
      <c r="I200" s="108" t="s">
        <v>1621</v>
      </c>
      <c r="J200" s="108" t="s">
        <v>3108</v>
      </c>
      <c r="K200" s="108" t="s">
        <v>1005</v>
      </c>
      <c r="L200" s="108" t="s">
        <v>1091</v>
      </c>
      <c r="M200" s="108" t="str">
        <f t="shared" si="25"/>
        <v>14/07/1968</v>
      </c>
      <c r="N200" s="108">
        <f t="shared" ca="1" si="26"/>
        <v>58</v>
      </c>
      <c r="O200" s="108" t="s">
        <v>998</v>
      </c>
      <c r="P200" s="108" t="s">
        <v>1092</v>
      </c>
      <c r="Q200" s="108" t="s">
        <v>1093</v>
      </c>
      <c r="R200" s="108" t="s">
        <v>1094</v>
      </c>
      <c r="S200" s="108"/>
      <c r="T200" s="108"/>
      <c r="U200" s="108"/>
      <c r="V200" s="197">
        <v>45565</v>
      </c>
      <c r="W200" s="108"/>
      <c r="X200" s="54">
        <f t="shared" ref="X200:X263" si="27">LEN(D200)</f>
        <v>10</v>
      </c>
      <c r="Y200" s="208">
        <f t="shared" ref="Y200:Y263" si="28">LEN(E200)</f>
        <v>7</v>
      </c>
      <c r="Z200" s="54" t="str">
        <f t="shared" ref="Z200:Z263" si="29">PROPER(J200)</f>
        <v>Baari Health Centre</v>
      </c>
    </row>
    <row r="201" spans="2:26" ht="20.149999999999999" customHeight="1">
      <c r="B201" s="108" t="s">
        <v>2914</v>
      </c>
      <c r="C201" s="108" t="s">
        <v>1626</v>
      </c>
      <c r="D201" s="170" t="s">
        <v>2542</v>
      </c>
      <c r="E201" s="108">
        <v>31642719</v>
      </c>
      <c r="F201" s="247" t="s">
        <v>2541</v>
      </c>
      <c r="G201" s="108" t="s">
        <v>2996</v>
      </c>
      <c r="H201" s="108" t="s">
        <v>538</v>
      </c>
      <c r="I201" s="108" t="s">
        <v>1623</v>
      </c>
      <c r="J201" s="108" t="s">
        <v>3144</v>
      </c>
      <c r="K201" s="108" t="s">
        <v>1097</v>
      </c>
      <c r="L201" s="108" t="s">
        <v>1099</v>
      </c>
      <c r="M201" s="108" t="str">
        <f t="shared" si="25"/>
        <v>09/04/1994</v>
      </c>
      <c r="N201" s="108">
        <f t="shared" ca="1" si="26"/>
        <v>32</v>
      </c>
      <c r="O201" s="108" t="s">
        <v>988</v>
      </c>
      <c r="P201" s="108" t="s">
        <v>996</v>
      </c>
      <c r="Q201" s="108" t="s">
        <v>1098</v>
      </c>
      <c r="R201" s="108"/>
      <c r="S201" s="108"/>
      <c r="T201" s="108"/>
      <c r="U201" s="108"/>
      <c r="V201" s="146">
        <v>45504</v>
      </c>
      <c r="W201" s="106" t="s">
        <v>2524</v>
      </c>
      <c r="X201" s="54">
        <f t="shared" si="27"/>
        <v>10</v>
      </c>
      <c r="Y201" s="54">
        <f t="shared" si="28"/>
        <v>8</v>
      </c>
      <c r="Z201" s="54" t="str">
        <f t="shared" si="29"/>
        <v>Murungaru Health Centre</v>
      </c>
    </row>
    <row r="202" spans="2:26" ht="20.149999999999999" customHeight="1">
      <c r="B202" s="108" t="s">
        <v>2915</v>
      </c>
      <c r="C202" s="108" t="s">
        <v>1626</v>
      </c>
      <c r="D202" s="170" t="s">
        <v>606</v>
      </c>
      <c r="E202" s="108">
        <v>25480801</v>
      </c>
      <c r="F202" s="247" t="s">
        <v>2543</v>
      </c>
      <c r="G202" s="108" t="s">
        <v>2994</v>
      </c>
      <c r="H202" s="108" t="s">
        <v>538</v>
      </c>
      <c r="I202" s="108" t="s">
        <v>1623</v>
      </c>
      <c r="J202" s="108" t="s">
        <v>3102</v>
      </c>
      <c r="K202" s="108" t="s">
        <v>1005</v>
      </c>
      <c r="L202" s="108" t="s">
        <v>1100</v>
      </c>
      <c r="M202" s="108" t="str">
        <f t="shared" si="25"/>
        <v>20/11/1986</v>
      </c>
      <c r="N202" s="108">
        <f t="shared" ca="1" si="26"/>
        <v>39</v>
      </c>
      <c r="O202" s="108" t="s">
        <v>1010</v>
      </c>
      <c r="P202" s="108" t="s">
        <v>1101</v>
      </c>
      <c r="Q202" s="108" t="s">
        <v>1051</v>
      </c>
      <c r="R202" s="108" t="s">
        <v>1049</v>
      </c>
      <c r="S202" s="108"/>
      <c r="T202" s="108"/>
      <c r="U202" s="108"/>
      <c r="V202" s="197">
        <v>45565</v>
      </c>
      <c r="W202" s="108"/>
      <c r="X202" s="54">
        <f t="shared" si="27"/>
        <v>10</v>
      </c>
      <c r="Y202" s="54">
        <f t="shared" si="28"/>
        <v>8</v>
      </c>
      <c r="Z202" s="54" t="str">
        <f t="shared" si="29"/>
        <v>Bamboo Health Centre</v>
      </c>
    </row>
    <row r="203" spans="2:26" ht="20.149999999999999" customHeight="1">
      <c r="B203" s="106" t="s">
        <v>2916</v>
      </c>
      <c r="C203" s="106" t="s">
        <v>1626</v>
      </c>
      <c r="D203" s="119" t="s">
        <v>715</v>
      </c>
      <c r="E203" s="106">
        <v>28658688</v>
      </c>
      <c r="F203" s="182" t="s">
        <v>2483</v>
      </c>
      <c r="G203" s="106" t="s">
        <v>2994</v>
      </c>
      <c r="H203" s="106" t="s">
        <v>538</v>
      </c>
      <c r="I203" s="106" t="s">
        <v>1624</v>
      </c>
      <c r="J203" s="106" t="s">
        <v>3106</v>
      </c>
      <c r="K203" s="106" t="s">
        <v>995</v>
      </c>
      <c r="L203" s="106" t="s">
        <v>1103</v>
      </c>
      <c r="M203" s="106" t="str">
        <f t="shared" si="25"/>
        <v>20/10/1991</v>
      </c>
      <c r="N203" s="106">
        <f t="shared" ca="1" si="26"/>
        <v>34</v>
      </c>
      <c r="O203" s="106" t="s">
        <v>1010</v>
      </c>
      <c r="P203" s="106" t="s">
        <v>1104</v>
      </c>
      <c r="Q203" s="106" t="s">
        <v>3119</v>
      </c>
      <c r="R203" s="106" t="s">
        <v>1049</v>
      </c>
      <c r="S203" s="106"/>
      <c r="T203" s="106"/>
      <c r="U203" s="106"/>
      <c r="V203" s="108"/>
      <c r="W203" s="108"/>
      <c r="X203" s="54">
        <f t="shared" si="27"/>
        <v>10</v>
      </c>
      <c r="Y203" s="54">
        <f t="shared" si="28"/>
        <v>8</v>
      </c>
      <c r="Z203" s="54" t="str">
        <f t="shared" si="29"/>
        <v>Kasuku Health Centre</v>
      </c>
    </row>
    <row r="204" spans="2:26" ht="20.149999999999999" customHeight="1">
      <c r="B204" s="106" t="s">
        <v>2917</v>
      </c>
      <c r="C204" s="106" t="s">
        <v>1626</v>
      </c>
      <c r="D204" s="119" t="s">
        <v>719</v>
      </c>
      <c r="E204" s="106">
        <v>22008468</v>
      </c>
      <c r="F204" s="182" t="s">
        <v>2486</v>
      </c>
      <c r="G204" s="106" t="s">
        <v>2994</v>
      </c>
      <c r="H204" s="106" t="s">
        <v>538</v>
      </c>
      <c r="I204" s="106" t="s">
        <v>1624</v>
      </c>
      <c r="J204" s="106" t="s">
        <v>3107</v>
      </c>
      <c r="K204" s="106" t="s">
        <v>995</v>
      </c>
      <c r="L204" s="106" t="s">
        <v>2487</v>
      </c>
      <c r="M204" s="106" t="str">
        <f t="shared" si="25"/>
        <v>24/10/1980</v>
      </c>
      <c r="N204" s="106">
        <f t="shared" ca="1" si="26"/>
        <v>45</v>
      </c>
      <c r="O204" s="106" t="s">
        <v>988</v>
      </c>
      <c r="P204" s="106" t="s">
        <v>1105</v>
      </c>
      <c r="Q204" s="106" t="s">
        <v>1106</v>
      </c>
      <c r="R204" s="106" t="s">
        <v>1049</v>
      </c>
      <c r="S204" s="106"/>
      <c r="T204" s="106"/>
      <c r="U204" s="106"/>
      <c r="V204" s="108"/>
      <c r="W204" s="108"/>
      <c r="X204" s="54">
        <f t="shared" si="27"/>
        <v>10</v>
      </c>
      <c r="Y204" s="54">
        <f t="shared" si="28"/>
        <v>8</v>
      </c>
      <c r="Z204" s="54" t="str">
        <f t="shared" si="29"/>
        <v>Silibwet Health Centre</v>
      </c>
    </row>
    <row r="205" spans="2:26" ht="20.149999999999999" customHeight="1">
      <c r="B205" s="108" t="s">
        <v>2918</v>
      </c>
      <c r="C205" s="108" t="s">
        <v>1626</v>
      </c>
      <c r="D205" s="250" t="s">
        <v>572</v>
      </c>
      <c r="E205" s="248" t="s">
        <v>2544</v>
      </c>
      <c r="F205" s="249" t="s">
        <v>2545</v>
      </c>
      <c r="G205" s="108" t="s">
        <v>2994</v>
      </c>
      <c r="H205" s="108" t="s">
        <v>538</v>
      </c>
      <c r="I205" s="108" t="s">
        <v>1623</v>
      </c>
      <c r="J205" s="108" t="s">
        <v>3144</v>
      </c>
      <c r="K205" s="108" t="s">
        <v>1005</v>
      </c>
      <c r="L205" s="108" t="s">
        <v>1107</v>
      </c>
      <c r="M205" s="108" t="str">
        <f t="shared" si="25"/>
        <v>12/09/1982</v>
      </c>
      <c r="N205" s="108">
        <f t="shared" ca="1" si="26"/>
        <v>43</v>
      </c>
      <c r="O205" s="108" t="s">
        <v>1010</v>
      </c>
      <c r="P205" s="108" t="s">
        <v>1108</v>
      </c>
      <c r="Q205" s="108" t="s">
        <v>1106</v>
      </c>
      <c r="R205" s="108" t="s">
        <v>1109</v>
      </c>
      <c r="S205" s="108"/>
      <c r="T205" s="108"/>
      <c r="U205" s="108"/>
      <c r="V205" s="146">
        <v>45565</v>
      </c>
      <c r="W205" s="106"/>
      <c r="X205" s="54">
        <f t="shared" si="27"/>
        <v>10</v>
      </c>
      <c r="Y205" s="54">
        <f t="shared" si="28"/>
        <v>8</v>
      </c>
      <c r="Z205" s="54" t="str">
        <f t="shared" si="29"/>
        <v>Murungaru Health Centre</v>
      </c>
    </row>
    <row r="206" spans="2:26" ht="20.149999999999999" customHeight="1">
      <c r="B206" s="106" t="s">
        <v>2919</v>
      </c>
      <c r="C206" s="106" t="s">
        <v>1626</v>
      </c>
      <c r="D206" s="117" t="s">
        <v>636</v>
      </c>
      <c r="E206" s="117" t="s">
        <v>2169</v>
      </c>
      <c r="F206" s="180" t="s">
        <v>2484</v>
      </c>
      <c r="G206" s="106" t="s">
        <v>2994</v>
      </c>
      <c r="H206" s="106" t="s">
        <v>538</v>
      </c>
      <c r="I206" s="106" t="s">
        <v>1620</v>
      </c>
      <c r="J206" s="106" t="s">
        <v>3060</v>
      </c>
      <c r="K206" s="106" t="s">
        <v>1005</v>
      </c>
      <c r="L206" s="106" t="s">
        <v>1110</v>
      </c>
      <c r="M206" s="106" t="str">
        <f t="shared" si="25"/>
        <v>25/10/1989</v>
      </c>
      <c r="N206" s="106">
        <f t="shared" ca="1" si="26"/>
        <v>36</v>
      </c>
      <c r="O206" s="106" t="s">
        <v>988</v>
      </c>
      <c r="P206" s="106" t="s">
        <v>1111</v>
      </c>
      <c r="Q206" s="106" t="s">
        <v>1112</v>
      </c>
      <c r="R206" s="106" t="s">
        <v>2485</v>
      </c>
      <c r="S206" s="106"/>
      <c r="T206" s="106"/>
      <c r="U206" s="106"/>
      <c r="V206" s="106"/>
      <c r="W206" s="106"/>
      <c r="X206" s="54">
        <f t="shared" si="27"/>
        <v>10</v>
      </c>
      <c r="Y206" s="54">
        <f t="shared" si="28"/>
        <v>8</v>
      </c>
      <c r="Z206" s="54" t="str">
        <f t="shared" si="29"/>
        <v>Jm County Referral Hospital</v>
      </c>
    </row>
    <row r="207" spans="2:26" ht="20.149999999999999" customHeight="1">
      <c r="B207" s="108" t="s">
        <v>2920</v>
      </c>
      <c r="C207" s="108" t="s">
        <v>1626</v>
      </c>
      <c r="D207" s="170" t="s">
        <v>640</v>
      </c>
      <c r="E207" s="108">
        <v>20198029</v>
      </c>
      <c r="F207" s="247" t="s">
        <v>2548</v>
      </c>
      <c r="G207" s="108" t="s">
        <v>2994</v>
      </c>
      <c r="H207" s="108" t="s">
        <v>538</v>
      </c>
      <c r="I207" s="108" t="s">
        <v>1623</v>
      </c>
      <c r="J207" s="108" t="s">
        <v>3144</v>
      </c>
      <c r="K207" s="108" t="s">
        <v>1005</v>
      </c>
      <c r="L207" s="108" t="s">
        <v>1113</v>
      </c>
      <c r="M207" s="108" t="str">
        <f t="shared" si="25"/>
        <v>07/05/1976</v>
      </c>
      <c r="N207" s="108">
        <f t="shared" ca="1" si="26"/>
        <v>50</v>
      </c>
      <c r="O207" s="108" t="s">
        <v>1115</v>
      </c>
      <c r="P207" s="108" t="s">
        <v>1116</v>
      </c>
      <c r="Q207" s="108" t="s">
        <v>1117</v>
      </c>
      <c r="R207" s="108"/>
      <c r="S207" s="108"/>
      <c r="T207" s="108"/>
      <c r="U207" s="108"/>
      <c r="V207" s="197">
        <v>45565</v>
      </c>
      <c r="W207" s="108"/>
      <c r="X207" s="54">
        <f t="shared" si="27"/>
        <v>10</v>
      </c>
      <c r="Y207" s="54">
        <f t="shared" si="28"/>
        <v>8</v>
      </c>
      <c r="Z207" s="54" t="str">
        <f t="shared" si="29"/>
        <v>Murungaru Health Centre</v>
      </c>
    </row>
    <row r="208" spans="2:26" ht="20.149999999999999" customHeight="1">
      <c r="B208" s="106" t="s">
        <v>2921</v>
      </c>
      <c r="C208" s="106" t="s">
        <v>1626</v>
      </c>
      <c r="D208" s="118" t="s">
        <v>2186</v>
      </c>
      <c r="E208" s="117">
        <v>39348782</v>
      </c>
      <c r="F208" s="180" t="s">
        <v>2488</v>
      </c>
      <c r="G208" s="106" t="s">
        <v>2998</v>
      </c>
      <c r="H208" s="106" t="s">
        <v>538</v>
      </c>
      <c r="I208" s="106" t="s">
        <v>1622</v>
      </c>
      <c r="J208" s="106" t="s">
        <v>3091</v>
      </c>
      <c r="K208" s="106" t="s">
        <v>1588</v>
      </c>
      <c r="L208" s="106" t="s">
        <v>1590</v>
      </c>
      <c r="M208" s="106" t="str">
        <f t="shared" si="25"/>
        <v>07/07/2000</v>
      </c>
      <c r="N208" s="106">
        <f t="shared" ca="1" si="26"/>
        <v>26</v>
      </c>
      <c r="O208" s="106" t="s">
        <v>988</v>
      </c>
      <c r="P208" s="106" t="s">
        <v>1591</v>
      </c>
      <c r="Q208" s="106" t="s">
        <v>1592</v>
      </c>
      <c r="R208" s="106"/>
      <c r="S208" s="81" t="s">
        <v>2329</v>
      </c>
      <c r="T208" s="83">
        <v>484530</v>
      </c>
      <c r="U208" s="84">
        <v>46112</v>
      </c>
      <c r="V208" s="106"/>
      <c r="W208" s="106"/>
      <c r="X208" s="54">
        <f t="shared" si="27"/>
        <v>10</v>
      </c>
      <c r="Y208" s="54">
        <f t="shared" si="28"/>
        <v>8</v>
      </c>
      <c r="Z208" s="54" t="str">
        <f t="shared" si="29"/>
        <v>Manunga Health Centre</v>
      </c>
    </row>
    <row r="209" spans="2:26" ht="20.149999999999999" customHeight="1">
      <c r="B209" s="106" t="s">
        <v>2922</v>
      </c>
      <c r="C209" s="106" t="s">
        <v>1626</v>
      </c>
      <c r="D209" s="119" t="s">
        <v>681</v>
      </c>
      <c r="E209" s="106" t="s">
        <v>2170</v>
      </c>
      <c r="F209" s="182" t="s">
        <v>2489</v>
      </c>
      <c r="G209" s="106" t="s">
        <v>2994</v>
      </c>
      <c r="H209" s="106" t="s">
        <v>538</v>
      </c>
      <c r="I209" s="106" t="s">
        <v>1623</v>
      </c>
      <c r="J209" s="106" t="s">
        <v>3102</v>
      </c>
      <c r="K209" s="106" t="s">
        <v>995</v>
      </c>
      <c r="L209" s="106" t="s">
        <v>1118</v>
      </c>
      <c r="M209" s="106" t="str">
        <f t="shared" si="25"/>
        <v>01/06/1996</v>
      </c>
      <c r="N209" s="106">
        <f t="shared" ca="1" si="26"/>
        <v>30</v>
      </c>
      <c r="O209" s="106" t="s">
        <v>988</v>
      </c>
      <c r="P209" s="106" t="s">
        <v>1119</v>
      </c>
      <c r="Q209" s="106" t="s">
        <v>1093</v>
      </c>
      <c r="R209" s="106" t="s">
        <v>1120</v>
      </c>
      <c r="S209" s="106"/>
      <c r="T209" s="106"/>
      <c r="U209" s="106"/>
      <c r="V209" s="106"/>
      <c r="W209" s="106"/>
      <c r="X209" s="54">
        <f t="shared" si="27"/>
        <v>10</v>
      </c>
      <c r="Y209" s="54">
        <f t="shared" si="28"/>
        <v>8</v>
      </c>
      <c r="Z209" s="54" t="str">
        <f t="shared" si="29"/>
        <v>Bamboo Health Centre</v>
      </c>
    </row>
    <row r="210" spans="2:26" ht="20.149999999999999" customHeight="1">
      <c r="B210" s="106" t="s">
        <v>2894</v>
      </c>
      <c r="C210" s="106" t="s">
        <v>1627</v>
      </c>
      <c r="D210" s="123" t="s">
        <v>2184</v>
      </c>
      <c r="E210" s="117" t="s">
        <v>2463</v>
      </c>
      <c r="F210" s="180" t="s">
        <v>2464</v>
      </c>
      <c r="G210" s="106" t="s">
        <v>2996</v>
      </c>
      <c r="H210" s="106" t="s">
        <v>538</v>
      </c>
      <c r="I210" s="106" t="s">
        <v>1621</v>
      </c>
      <c r="J210" s="106" t="s">
        <v>1891</v>
      </c>
      <c r="K210" s="106" t="s">
        <v>1585</v>
      </c>
      <c r="L210" s="106" t="s">
        <v>1589</v>
      </c>
      <c r="M210" s="106" t="str">
        <f t="shared" si="25"/>
        <v>24/04/1993</v>
      </c>
      <c r="N210" s="106">
        <f t="shared" ca="1" si="26"/>
        <v>33</v>
      </c>
      <c r="O210" s="106" t="s">
        <v>988</v>
      </c>
      <c r="P210" s="106" t="s">
        <v>996</v>
      </c>
      <c r="Q210" s="106" t="s">
        <v>1334</v>
      </c>
      <c r="R210" s="106"/>
      <c r="S210" s="81" t="s">
        <v>2328</v>
      </c>
      <c r="T210" s="83" t="s">
        <v>2530</v>
      </c>
      <c r="U210" s="84">
        <v>46356</v>
      </c>
      <c r="V210" s="108"/>
      <c r="W210" s="108"/>
      <c r="X210" s="54">
        <f t="shared" si="27"/>
        <v>10</v>
      </c>
      <c r="Y210" s="54">
        <f t="shared" si="28"/>
        <v>8</v>
      </c>
      <c r="Z210" s="54" t="str">
        <f t="shared" si="29"/>
        <v>Ndaragwa Health Centre</v>
      </c>
    </row>
    <row r="211" spans="2:26" ht="20.149999999999999" customHeight="1">
      <c r="B211" s="108" t="s">
        <v>2897</v>
      </c>
      <c r="C211" s="108" t="s">
        <v>1627</v>
      </c>
      <c r="D211" s="170" t="s">
        <v>761</v>
      </c>
      <c r="E211" s="108">
        <v>27059662</v>
      </c>
      <c r="F211" s="108" t="s">
        <v>2531</v>
      </c>
      <c r="G211" s="108" t="s">
        <v>3001</v>
      </c>
      <c r="H211" s="108" t="s">
        <v>538</v>
      </c>
      <c r="I211" s="108" t="s">
        <v>1623</v>
      </c>
      <c r="J211" s="108" t="s">
        <v>3061</v>
      </c>
      <c r="K211" s="108" t="s">
        <v>1039</v>
      </c>
      <c r="L211" s="108" t="s">
        <v>1045</v>
      </c>
      <c r="M211" s="108" t="str">
        <f t="shared" si="25"/>
        <v>15/05/1989</v>
      </c>
      <c r="N211" s="108">
        <f t="shared" ca="1" si="26"/>
        <v>37</v>
      </c>
      <c r="O211" s="108" t="s">
        <v>988</v>
      </c>
      <c r="P211" s="108" t="s">
        <v>1040</v>
      </c>
      <c r="Q211" s="108" t="s">
        <v>1041</v>
      </c>
      <c r="R211" s="108" t="s">
        <v>994</v>
      </c>
      <c r="S211" s="108"/>
      <c r="T211" s="108"/>
      <c r="U211" s="106"/>
      <c r="V211" s="108"/>
      <c r="W211" s="108"/>
      <c r="X211" s="54">
        <f t="shared" si="27"/>
        <v>10</v>
      </c>
      <c r="Y211" s="54">
        <f t="shared" si="28"/>
        <v>8</v>
      </c>
      <c r="Z211" s="54" t="str">
        <f t="shared" si="29"/>
        <v>Engineer County Referral Hospital</v>
      </c>
    </row>
    <row r="212" spans="2:26" ht="20.149999999999999" customHeight="1">
      <c r="B212" s="106" t="s">
        <v>2925</v>
      </c>
      <c r="C212" s="106" t="s">
        <v>1626</v>
      </c>
      <c r="D212" s="118" t="s">
        <v>2171</v>
      </c>
      <c r="E212" s="106">
        <v>28737252</v>
      </c>
      <c r="F212" s="182" t="s">
        <v>2492</v>
      </c>
      <c r="G212" s="106" t="s">
        <v>2996</v>
      </c>
      <c r="H212" s="106" t="s">
        <v>538</v>
      </c>
      <c r="I212" s="106" t="s">
        <v>1623</v>
      </c>
      <c r="J212" s="106" t="s">
        <v>3061</v>
      </c>
      <c r="K212" s="106" t="s">
        <v>1128</v>
      </c>
      <c r="L212" s="106" t="s">
        <v>1127</v>
      </c>
      <c r="M212" s="106" t="str">
        <f t="shared" si="25"/>
        <v>29/03/1992</v>
      </c>
      <c r="N212" s="106">
        <f t="shared" ca="1" si="26"/>
        <v>34</v>
      </c>
      <c r="O212" s="106" t="s">
        <v>988</v>
      </c>
      <c r="P212" s="106" t="s">
        <v>1124</v>
      </c>
      <c r="Q212" s="106" t="s">
        <v>1125</v>
      </c>
      <c r="R212" s="106" t="s">
        <v>1126</v>
      </c>
      <c r="S212" s="81" t="s">
        <v>2328</v>
      </c>
      <c r="T212" s="83" t="s">
        <v>2195</v>
      </c>
      <c r="U212" s="84">
        <v>46112</v>
      </c>
      <c r="V212" s="108"/>
      <c r="W212" s="108"/>
      <c r="X212" s="54">
        <f t="shared" si="27"/>
        <v>10</v>
      </c>
      <c r="Y212" s="54">
        <f t="shared" si="28"/>
        <v>8</v>
      </c>
      <c r="Z212" s="54" t="str">
        <f t="shared" si="29"/>
        <v>Engineer County Referral Hospital</v>
      </c>
    </row>
    <row r="213" spans="2:26" ht="20.149999999999999" customHeight="1">
      <c r="B213" s="106" t="s">
        <v>2926</v>
      </c>
      <c r="C213" s="106" t="s">
        <v>1626</v>
      </c>
      <c r="D213" s="121" t="s">
        <v>2493</v>
      </c>
      <c r="E213" s="106">
        <v>34472524</v>
      </c>
      <c r="F213" s="182" t="s">
        <v>2494</v>
      </c>
      <c r="G213" s="106" t="s">
        <v>2996</v>
      </c>
      <c r="H213" s="106" t="s">
        <v>538</v>
      </c>
      <c r="I213" s="106" t="s">
        <v>1620</v>
      </c>
      <c r="J213" s="106" t="s">
        <v>3060</v>
      </c>
      <c r="K213" s="106" t="s">
        <v>1129</v>
      </c>
      <c r="L213" s="106" t="s">
        <v>1130</v>
      </c>
      <c r="M213" s="106" t="str">
        <f t="shared" si="25"/>
        <v>24/02/1998</v>
      </c>
      <c r="N213" s="106">
        <f t="shared" ca="1" si="26"/>
        <v>28</v>
      </c>
      <c r="O213" s="106" t="s">
        <v>988</v>
      </c>
      <c r="P213" s="106" t="s">
        <v>1124</v>
      </c>
      <c r="Q213" s="106" t="s">
        <v>1131</v>
      </c>
      <c r="R213" s="106"/>
      <c r="S213" s="81" t="s">
        <v>2328</v>
      </c>
      <c r="T213" s="83" t="s">
        <v>3307</v>
      </c>
      <c r="U213" s="84">
        <v>46446</v>
      </c>
      <c r="V213" s="106"/>
      <c r="W213" s="106"/>
      <c r="X213" s="54">
        <f t="shared" si="27"/>
        <v>10</v>
      </c>
      <c r="Y213" s="54">
        <f t="shared" si="28"/>
        <v>8</v>
      </c>
      <c r="Z213" s="54" t="str">
        <f t="shared" si="29"/>
        <v>Jm County Referral Hospital</v>
      </c>
    </row>
    <row r="214" spans="2:26" ht="20.149999999999999" customHeight="1">
      <c r="B214" s="108" t="s">
        <v>2927</v>
      </c>
      <c r="C214" s="108" t="s">
        <v>1626</v>
      </c>
      <c r="D214" s="170" t="s">
        <v>2546</v>
      </c>
      <c r="E214" s="108">
        <v>27448459</v>
      </c>
      <c r="F214" s="247" t="s">
        <v>2547</v>
      </c>
      <c r="G214" s="108" t="s">
        <v>2998</v>
      </c>
      <c r="H214" s="108" t="s">
        <v>538</v>
      </c>
      <c r="I214" s="108" t="s">
        <v>1622</v>
      </c>
      <c r="J214" s="108" t="s">
        <v>3091</v>
      </c>
      <c r="K214" s="108" t="s">
        <v>1028</v>
      </c>
      <c r="L214" s="108" t="s">
        <v>1132</v>
      </c>
      <c r="M214" s="108" t="str">
        <f t="shared" si="25"/>
        <v>04/06/1989</v>
      </c>
      <c r="N214" s="108">
        <f t="shared" ca="1" si="26"/>
        <v>37</v>
      </c>
      <c r="O214" s="108" t="s">
        <v>988</v>
      </c>
      <c r="P214" s="108" t="s">
        <v>1022</v>
      </c>
      <c r="Q214" s="108" t="s">
        <v>1133</v>
      </c>
      <c r="R214" s="108"/>
      <c r="S214" s="108"/>
      <c r="T214" s="108"/>
      <c r="U214" s="108"/>
      <c r="V214" s="146">
        <v>45869</v>
      </c>
      <c r="W214" s="106" t="s">
        <v>2524</v>
      </c>
      <c r="X214" s="54">
        <f t="shared" si="27"/>
        <v>10</v>
      </c>
      <c r="Y214" s="54">
        <f t="shared" si="28"/>
        <v>8</v>
      </c>
      <c r="Z214" s="54" t="str">
        <f t="shared" si="29"/>
        <v>Manunga Health Centre</v>
      </c>
    </row>
    <row r="215" spans="2:26" ht="20.149999999999999" customHeight="1">
      <c r="B215" s="106" t="s">
        <v>2928</v>
      </c>
      <c r="C215" s="106" t="s">
        <v>1626</v>
      </c>
      <c r="D215" s="117" t="s">
        <v>576</v>
      </c>
      <c r="E215" s="117" t="s">
        <v>2161</v>
      </c>
      <c r="F215" s="180" t="s">
        <v>2495</v>
      </c>
      <c r="G215" s="106" t="s">
        <v>2994</v>
      </c>
      <c r="H215" s="106" t="s">
        <v>538</v>
      </c>
      <c r="I215" s="106" t="s">
        <v>1622</v>
      </c>
      <c r="J215" s="106" t="s">
        <v>3091</v>
      </c>
      <c r="K215" s="106" t="s">
        <v>1005</v>
      </c>
      <c r="L215" s="106" t="s">
        <v>1136</v>
      </c>
      <c r="M215" s="106" t="str">
        <f t="shared" si="25"/>
        <v>01/01/1987</v>
      </c>
      <c r="N215" s="106">
        <f t="shared" ca="1" si="26"/>
        <v>39</v>
      </c>
      <c r="O215" s="106" t="s">
        <v>988</v>
      </c>
      <c r="P215" s="106" t="s">
        <v>1134</v>
      </c>
      <c r="Q215" s="106" t="s">
        <v>1082</v>
      </c>
      <c r="R215" s="106" t="s">
        <v>1135</v>
      </c>
      <c r="S215" s="106"/>
      <c r="T215" s="106"/>
      <c r="U215" s="106"/>
      <c r="V215" s="106"/>
      <c r="W215" s="106"/>
      <c r="X215" s="54">
        <f t="shared" si="27"/>
        <v>10</v>
      </c>
      <c r="Y215" s="54">
        <f t="shared" si="28"/>
        <v>8</v>
      </c>
      <c r="Z215" s="54" t="str">
        <f t="shared" si="29"/>
        <v>Manunga Health Centre</v>
      </c>
    </row>
    <row r="216" spans="2:26" ht="20.149999999999999" customHeight="1">
      <c r="B216" s="106" t="s">
        <v>2929</v>
      </c>
      <c r="C216" s="106" t="s">
        <v>1626</v>
      </c>
      <c r="D216" s="121" t="s">
        <v>2181</v>
      </c>
      <c r="E216" s="106">
        <v>25094277</v>
      </c>
      <c r="F216" s="182" t="s">
        <v>2496</v>
      </c>
      <c r="G216" s="106" t="s">
        <v>2996</v>
      </c>
      <c r="H216" s="106" t="s">
        <v>538</v>
      </c>
      <c r="I216" s="106" t="s">
        <v>1624</v>
      </c>
      <c r="J216" s="106" t="s">
        <v>3139</v>
      </c>
      <c r="K216" s="106" t="s">
        <v>1028</v>
      </c>
      <c r="L216" s="106" t="s">
        <v>1563</v>
      </c>
      <c r="M216" s="106" t="str">
        <f t="shared" si="25"/>
        <v>21/04/1987</v>
      </c>
      <c r="N216" s="106">
        <f t="shared" ca="1" si="26"/>
        <v>39</v>
      </c>
      <c r="O216" s="106" t="s">
        <v>988</v>
      </c>
      <c r="P216" s="106" t="s">
        <v>1124</v>
      </c>
      <c r="Q216" s="106" t="s">
        <v>997</v>
      </c>
      <c r="R216" s="106" t="s">
        <v>1137</v>
      </c>
      <c r="S216" s="81" t="s">
        <v>2328</v>
      </c>
      <c r="T216" s="83" t="s">
        <v>2197</v>
      </c>
      <c r="U216" s="84">
        <v>46173</v>
      </c>
      <c r="V216" s="106"/>
      <c r="W216" s="106"/>
      <c r="X216" s="54">
        <f t="shared" si="27"/>
        <v>10</v>
      </c>
      <c r="Y216" s="54">
        <f t="shared" si="28"/>
        <v>8</v>
      </c>
      <c r="Z216" s="54" t="str">
        <f t="shared" si="29"/>
        <v>Olbolosat Dispensaryensary</v>
      </c>
    </row>
    <row r="217" spans="2:26" ht="20.149999999999999" customHeight="1">
      <c r="B217" s="108" t="s">
        <v>2930</v>
      </c>
      <c r="C217" s="108" t="s">
        <v>1626</v>
      </c>
      <c r="D217" s="170" t="s">
        <v>751</v>
      </c>
      <c r="E217" s="108">
        <v>22244319</v>
      </c>
      <c r="F217" s="247" t="s">
        <v>2549</v>
      </c>
      <c r="G217" s="108" t="s">
        <v>3001</v>
      </c>
      <c r="H217" s="108" t="s">
        <v>538</v>
      </c>
      <c r="I217" s="108" t="s">
        <v>1624</v>
      </c>
      <c r="J217" s="108" t="s">
        <v>3106</v>
      </c>
      <c r="K217" s="108" t="s">
        <v>995</v>
      </c>
      <c r="L217" s="108" t="s">
        <v>1140</v>
      </c>
      <c r="M217" s="108" t="str">
        <f t="shared" si="25"/>
        <v>30/08/1980</v>
      </c>
      <c r="N217" s="108">
        <f t="shared" ca="1" si="26"/>
        <v>45</v>
      </c>
      <c r="O217" s="108" t="s">
        <v>998</v>
      </c>
      <c r="P217" s="108" t="s">
        <v>1138</v>
      </c>
      <c r="Q217" s="108" t="s">
        <v>1041</v>
      </c>
      <c r="R217" s="108" t="s">
        <v>1139</v>
      </c>
      <c r="S217" s="108"/>
      <c r="T217" s="108"/>
      <c r="U217" s="108"/>
      <c r="V217" s="146">
        <v>45565</v>
      </c>
      <c r="W217" s="106"/>
      <c r="X217" s="54">
        <f t="shared" si="27"/>
        <v>10</v>
      </c>
      <c r="Y217" s="54">
        <f t="shared" si="28"/>
        <v>8</v>
      </c>
      <c r="Z217" s="54" t="str">
        <f t="shared" si="29"/>
        <v>Kasuku Health Centre</v>
      </c>
    </row>
    <row r="218" spans="2:26" ht="20.149999999999999" customHeight="1">
      <c r="B218" s="106" t="s">
        <v>2931</v>
      </c>
      <c r="C218" s="106" t="s">
        <v>1626</v>
      </c>
      <c r="D218" s="119" t="s">
        <v>736</v>
      </c>
      <c r="E218" s="106">
        <v>27758689</v>
      </c>
      <c r="F218" s="182" t="s">
        <v>2500</v>
      </c>
      <c r="G218" s="106" t="s">
        <v>2996</v>
      </c>
      <c r="H218" s="106" t="s">
        <v>538</v>
      </c>
      <c r="I218" s="106" t="s">
        <v>1624</v>
      </c>
      <c r="J218" s="106" t="s">
        <v>3106</v>
      </c>
      <c r="K218" s="106" t="s">
        <v>995</v>
      </c>
      <c r="L218" s="106" t="s">
        <v>1141</v>
      </c>
      <c r="M218" s="106" t="str">
        <f t="shared" si="25"/>
        <v>14/08/1989</v>
      </c>
      <c r="N218" s="106">
        <f t="shared" ca="1" si="26"/>
        <v>36</v>
      </c>
      <c r="O218" s="106" t="s">
        <v>988</v>
      </c>
      <c r="P218" s="106" t="s">
        <v>1124</v>
      </c>
      <c r="Q218" s="106" t="s">
        <v>1142</v>
      </c>
      <c r="R218" s="106"/>
      <c r="S218" s="81" t="s">
        <v>2328</v>
      </c>
      <c r="T218" s="83" t="s">
        <v>2191</v>
      </c>
      <c r="U218" s="84">
        <v>46356</v>
      </c>
      <c r="V218" s="106"/>
      <c r="W218" s="106"/>
      <c r="X218" s="54">
        <f t="shared" si="27"/>
        <v>10</v>
      </c>
      <c r="Y218" s="54">
        <f t="shared" si="28"/>
        <v>8</v>
      </c>
      <c r="Z218" s="54" t="str">
        <f t="shared" si="29"/>
        <v>Kasuku Health Centre</v>
      </c>
    </row>
    <row r="219" spans="2:26" ht="20.149999999999999" customHeight="1">
      <c r="B219" s="106" t="s">
        <v>2932</v>
      </c>
      <c r="C219" s="106" t="s">
        <v>1626</v>
      </c>
      <c r="D219" s="121" t="s">
        <v>782</v>
      </c>
      <c r="E219" s="106">
        <v>29176685</v>
      </c>
      <c r="F219" s="182" t="s">
        <v>2497</v>
      </c>
      <c r="G219" s="106" t="s">
        <v>2994</v>
      </c>
      <c r="H219" s="106" t="s">
        <v>538</v>
      </c>
      <c r="I219" s="106" t="s">
        <v>1621</v>
      </c>
      <c r="J219" s="106" t="s">
        <v>3100</v>
      </c>
      <c r="K219" s="106" t="s">
        <v>2205</v>
      </c>
      <c r="L219" s="106" t="s">
        <v>2498</v>
      </c>
      <c r="M219" s="106" t="str">
        <f t="shared" si="25"/>
        <v>03/03/1992</v>
      </c>
      <c r="N219" s="106">
        <f t="shared" ca="1" si="26"/>
        <v>34</v>
      </c>
      <c r="O219" s="106" t="s">
        <v>988</v>
      </c>
      <c r="P219" s="106" t="s">
        <v>2158</v>
      </c>
      <c r="Q219" s="106" t="s">
        <v>1143</v>
      </c>
      <c r="R219" s="106" t="s">
        <v>2499</v>
      </c>
      <c r="S219" s="106"/>
      <c r="T219" s="106"/>
      <c r="U219" s="106"/>
      <c r="V219" s="108"/>
      <c r="W219" s="108"/>
      <c r="X219" s="54">
        <f t="shared" si="27"/>
        <v>10</v>
      </c>
      <c r="Y219" s="54">
        <f t="shared" si="28"/>
        <v>8</v>
      </c>
      <c r="Z219" s="54" t="str">
        <f t="shared" si="29"/>
        <v>Shamata Health Centre</v>
      </c>
    </row>
    <row r="220" spans="2:26" ht="20.149999999999999" customHeight="1">
      <c r="B220" s="108" t="s">
        <v>2898</v>
      </c>
      <c r="C220" s="108" t="s">
        <v>1627</v>
      </c>
      <c r="D220" s="170" t="s">
        <v>701</v>
      </c>
      <c r="E220" s="108">
        <v>29331892</v>
      </c>
      <c r="F220" s="247" t="s">
        <v>2465</v>
      </c>
      <c r="G220" s="108" t="s">
        <v>2994</v>
      </c>
      <c r="H220" s="108" t="s">
        <v>538</v>
      </c>
      <c r="I220" s="108" t="s">
        <v>1623</v>
      </c>
      <c r="J220" s="108" t="s">
        <v>3103</v>
      </c>
      <c r="K220" s="108" t="s">
        <v>1039</v>
      </c>
      <c r="L220" s="108" t="s">
        <v>1044</v>
      </c>
      <c r="M220" s="108" t="str">
        <f t="shared" si="25"/>
        <v>13/03/1992</v>
      </c>
      <c r="N220" s="108">
        <f t="shared" ca="1" si="26"/>
        <v>34</v>
      </c>
      <c r="O220" s="108" t="s">
        <v>998</v>
      </c>
      <c r="P220" s="108" t="s">
        <v>1042</v>
      </c>
      <c r="Q220" s="108" t="s">
        <v>1043</v>
      </c>
      <c r="R220" s="108" t="s">
        <v>994</v>
      </c>
      <c r="S220" s="108"/>
      <c r="T220" s="108"/>
      <c r="U220" s="106"/>
      <c r="V220" s="108"/>
      <c r="W220" s="108"/>
      <c r="X220" s="54">
        <f t="shared" si="27"/>
        <v>10</v>
      </c>
      <c r="Y220" s="54">
        <f t="shared" si="28"/>
        <v>8</v>
      </c>
      <c r="Z220" s="54" t="str">
        <f t="shared" si="29"/>
        <v>Njabini Health Centre</v>
      </c>
    </row>
    <row r="221" spans="2:26" ht="20.149999999999999" customHeight="1">
      <c r="B221" s="106" t="s">
        <v>2934</v>
      </c>
      <c r="C221" s="106" t="s">
        <v>1626</v>
      </c>
      <c r="D221" s="117" t="s">
        <v>620</v>
      </c>
      <c r="E221" s="117" t="s">
        <v>2166</v>
      </c>
      <c r="F221" s="180" t="s">
        <v>2502</v>
      </c>
      <c r="G221" s="106" t="s">
        <v>2996</v>
      </c>
      <c r="H221" s="106" t="s">
        <v>538</v>
      </c>
      <c r="I221" s="106" t="s">
        <v>1621</v>
      </c>
      <c r="J221" s="106" t="s">
        <v>3108</v>
      </c>
      <c r="K221" s="106" t="s">
        <v>1005</v>
      </c>
      <c r="L221" s="106" t="s">
        <v>1149</v>
      </c>
      <c r="M221" s="106" t="str">
        <f t="shared" si="25"/>
        <v>19/06/1991</v>
      </c>
      <c r="N221" s="106">
        <f t="shared" ca="1" si="26"/>
        <v>35</v>
      </c>
      <c r="O221" s="106" t="s">
        <v>988</v>
      </c>
      <c r="P221" s="106" t="s">
        <v>1124</v>
      </c>
      <c r="Q221" s="106" t="s">
        <v>1143</v>
      </c>
      <c r="R221" s="106"/>
      <c r="S221" s="81" t="s">
        <v>2328</v>
      </c>
      <c r="T221" s="83" t="s">
        <v>2187</v>
      </c>
      <c r="U221" s="84">
        <v>46265</v>
      </c>
      <c r="V221" s="108"/>
      <c r="W221" s="108"/>
      <c r="X221" s="54">
        <f t="shared" si="27"/>
        <v>10</v>
      </c>
      <c r="Y221" s="54">
        <f t="shared" si="28"/>
        <v>8</v>
      </c>
      <c r="Z221" s="54" t="str">
        <f t="shared" si="29"/>
        <v>Baari Health Centre</v>
      </c>
    </row>
    <row r="222" spans="2:26" ht="20.149999999999999" customHeight="1">
      <c r="B222" s="106" t="s">
        <v>3082</v>
      </c>
      <c r="C222" s="106" t="s">
        <v>1627</v>
      </c>
      <c r="D222" s="123" t="s">
        <v>2173</v>
      </c>
      <c r="E222" s="117" t="s">
        <v>2174</v>
      </c>
      <c r="F222" s="180" t="s">
        <v>2480</v>
      </c>
      <c r="G222" s="106" t="s">
        <v>3008</v>
      </c>
      <c r="H222" s="106" t="s">
        <v>538</v>
      </c>
      <c r="I222" s="106" t="s">
        <v>1620</v>
      </c>
      <c r="J222" s="106" t="s">
        <v>3060</v>
      </c>
      <c r="K222" s="106" t="s">
        <v>1063</v>
      </c>
      <c r="L222" s="106" t="s">
        <v>1062</v>
      </c>
      <c r="M222" s="106" t="str">
        <f t="shared" si="25"/>
        <v>31/05/1997</v>
      </c>
      <c r="N222" s="106">
        <f t="shared" ca="1" si="26"/>
        <v>29</v>
      </c>
      <c r="O222" s="106" t="s">
        <v>988</v>
      </c>
      <c r="P222" s="106" t="s">
        <v>1029</v>
      </c>
      <c r="Q222" s="106" t="s">
        <v>1065</v>
      </c>
      <c r="R222" s="106"/>
      <c r="S222" s="81" t="s">
        <v>2459</v>
      </c>
      <c r="T222" s="83" t="s">
        <v>3278</v>
      </c>
      <c r="U222" s="84">
        <v>46387</v>
      </c>
      <c r="V222" s="197"/>
      <c r="W222" s="108"/>
      <c r="X222" s="54">
        <f t="shared" si="27"/>
        <v>10</v>
      </c>
      <c r="Y222" s="54">
        <f t="shared" si="28"/>
        <v>8</v>
      </c>
      <c r="Z222" s="54" t="str">
        <f t="shared" si="29"/>
        <v>Jm County Referral Hospital</v>
      </c>
    </row>
    <row r="223" spans="2:26" ht="20.149999999999999" customHeight="1">
      <c r="B223" s="108" t="s">
        <v>2904</v>
      </c>
      <c r="C223" s="108" t="s">
        <v>1627</v>
      </c>
      <c r="D223" s="170" t="s">
        <v>769</v>
      </c>
      <c r="E223" s="108">
        <v>33773201</v>
      </c>
      <c r="F223" s="247" t="s">
        <v>2563</v>
      </c>
      <c r="G223" s="108" t="s">
        <v>3001</v>
      </c>
      <c r="H223" s="108" t="s">
        <v>538</v>
      </c>
      <c r="I223" s="108" t="s">
        <v>1621</v>
      </c>
      <c r="J223" s="108" t="s">
        <v>1891</v>
      </c>
      <c r="K223" s="108" t="s">
        <v>1063</v>
      </c>
      <c r="L223" s="108" t="s">
        <v>2564</v>
      </c>
      <c r="M223" s="108" t="str">
        <f t="shared" ref="M223:M254" si="30">IF(L223="","",TEXT(DATEVALUE(SUBSTITUTE(SUBSTITUTE(SUBSTITUTE(SUBSTITUTE(SUBSTITUTE(L223,"st",""),"nd",""),"rd",""),"th",""),"TH","")),"dd/mm/yyyy"))</f>
        <v>31/05/1997</v>
      </c>
      <c r="N223" s="108">
        <f t="shared" ref="N223:N254" ca="1" si="31">IF(M223="","",DATEDIF(M223,TODAY(),"Y"))</f>
        <v>29</v>
      </c>
      <c r="O223" s="108" t="s">
        <v>988</v>
      </c>
      <c r="P223" s="108" t="s">
        <v>2565</v>
      </c>
      <c r="Q223" s="108" t="s">
        <v>2566</v>
      </c>
      <c r="R223" s="108"/>
      <c r="S223" s="108"/>
      <c r="T223" s="108"/>
      <c r="U223" s="84"/>
      <c r="V223" s="106"/>
      <c r="W223" s="106"/>
      <c r="X223" s="54">
        <f t="shared" si="27"/>
        <v>10</v>
      </c>
      <c r="Y223" s="54">
        <f t="shared" si="28"/>
        <v>8</v>
      </c>
      <c r="Z223" s="54" t="str">
        <f t="shared" si="29"/>
        <v>Ndaragwa Health Centre</v>
      </c>
    </row>
    <row r="224" spans="2:26" ht="20.149999999999999" customHeight="1">
      <c r="B224" s="108" t="s">
        <v>2937</v>
      </c>
      <c r="C224" s="108" t="s">
        <v>1626</v>
      </c>
      <c r="D224" s="170" t="s">
        <v>596</v>
      </c>
      <c r="E224" s="108">
        <v>32478426</v>
      </c>
      <c r="F224" s="247" t="s">
        <v>2551</v>
      </c>
      <c r="G224" s="108" t="s">
        <v>2992</v>
      </c>
      <c r="H224" s="108" t="s">
        <v>538</v>
      </c>
      <c r="I224" s="108" t="s">
        <v>1621</v>
      </c>
      <c r="J224" s="108" t="s">
        <v>3104</v>
      </c>
      <c r="K224" s="108" t="s">
        <v>1005</v>
      </c>
      <c r="L224" s="108" t="s">
        <v>1154</v>
      </c>
      <c r="M224" s="108" t="str">
        <f t="shared" si="30"/>
        <v>20/10/1994</v>
      </c>
      <c r="N224" s="108">
        <f t="shared" ca="1" si="31"/>
        <v>31</v>
      </c>
      <c r="O224" s="108" t="s">
        <v>988</v>
      </c>
      <c r="P224" s="108" t="s">
        <v>983</v>
      </c>
      <c r="Q224" s="108" t="s">
        <v>1155</v>
      </c>
      <c r="R224" s="108"/>
      <c r="S224" s="108"/>
      <c r="T224" s="108"/>
      <c r="U224" s="108"/>
      <c r="V224" s="146">
        <v>45565</v>
      </c>
      <c r="W224" s="106"/>
      <c r="X224" s="54">
        <f t="shared" si="27"/>
        <v>10</v>
      </c>
      <c r="Y224" s="54">
        <f t="shared" si="28"/>
        <v>8</v>
      </c>
      <c r="Z224" s="54" t="str">
        <f t="shared" si="29"/>
        <v>Kahembe Health Centre</v>
      </c>
    </row>
    <row r="225" spans="2:26" ht="20.149999999999999" customHeight="1">
      <c r="B225" s="108" t="s">
        <v>2938</v>
      </c>
      <c r="C225" s="108" t="s">
        <v>1626</v>
      </c>
      <c r="D225" s="170" t="s">
        <v>690</v>
      </c>
      <c r="E225" s="108">
        <v>31444492</v>
      </c>
      <c r="F225" s="108" t="s">
        <v>2802</v>
      </c>
      <c r="G225" s="108" t="s">
        <v>2994</v>
      </c>
      <c r="H225" s="108" t="s">
        <v>538</v>
      </c>
      <c r="I225" s="108" t="s">
        <v>1620</v>
      </c>
      <c r="J225" s="108" t="s">
        <v>3060</v>
      </c>
      <c r="K225" s="108" t="s">
        <v>995</v>
      </c>
      <c r="L225" s="108" t="s">
        <v>1156</v>
      </c>
      <c r="M225" s="108" t="str">
        <f t="shared" si="30"/>
        <v>15/04/1993</v>
      </c>
      <c r="N225" s="108">
        <f t="shared" ca="1" si="31"/>
        <v>33</v>
      </c>
      <c r="O225" s="108" t="s">
        <v>988</v>
      </c>
      <c r="P225" s="108" t="s">
        <v>1002</v>
      </c>
      <c r="Q225" s="108" t="s">
        <v>1089</v>
      </c>
      <c r="R225" s="108" t="s">
        <v>1049</v>
      </c>
      <c r="S225" s="108"/>
      <c r="T225" s="108"/>
      <c r="U225" s="108"/>
      <c r="V225" s="197">
        <v>45565</v>
      </c>
      <c r="W225" s="108"/>
      <c r="X225" s="54">
        <f t="shared" si="27"/>
        <v>10</v>
      </c>
      <c r="Y225" s="54">
        <f t="shared" si="28"/>
        <v>8</v>
      </c>
      <c r="Z225" s="54" t="str">
        <f t="shared" si="29"/>
        <v>Jm County Referral Hospital</v>
      </c>
    </row>
    <row r="226" spans="2:26" ht="20.149999999999999" customHeight="1">
      <c r="B226" s="106" t="s">
        <v>2939</v>
      </c>
      <c r="C226" s="106" t="s">
        <v>1626</v>
      </c>
      <c r="D226" s="117" t="s">
        <v>600</v>
      </c>
      <c r="E226" s="117" t="s">
        <v>2164</v>
      </c>
      <c r="F226" s="182" t="s">
        <v>2504</v>
      </c>
      <c r="G226" s="106" t="s">
        <v>2992</v>
      </c>
      <c r="H226" s="106" t="s">
        <v>538</v>
      </c>
      <c r="I226" s="106" t="s">
        <v>1621</v>
      </c>
      <c r="J226" s="106" t="s">
        <v>1891</v>
      </c>
      <c r="K226" s="106" t="s">
        <v>1005</v>
      </c>
      <c r="L226" s="106" t="s">
        <v>1157</v>
      </c>
      <c r="M226" s="106" t="str">
        <f t="shared" si="30"/>
        <v>05/06/1992</v>
      </c>
      <c r="N226" s="106">
        <f t="shared" ca="1" si="31"/>
        <v>34</v>
      </c>
      <c r="O226" s="106" t="s">
        <v>988</v>
      </c>
      <c r="P226" s="106" t="s">
        <v>983</v>
      </c>
      <c r="Q226" s="106" t="s">
        <v>1334</v>
      </c>
      <c r="R226" s="106"/>
      <c r="S226" s="83" t="s">
        <v>2330</v>
      </c>
      <c r="T226" s="81" t="s">
        <v>2199</v>
      </c>
      <c r="U226" s="84">
        <v>46344</v>
      </c>
      <c r="V226" s="106"/>
      <c r="W226" s="106"/>
      <c r="X226" s="54">
        <f t="shared" si="27"/>
        <v>10</v>
      </c>
      <c r="Y226" s="54">
        <f t="shared" si="28"/>
        <v>8</v>
      </c>
      <c r="Z226" s="54" t="str">
        <f t="shared" si="29"/>
        <v>Ndaragwa Health Centre</v>
      </c>
    </row>
    <row r="227" spans="2:26" ht="20.149999999999999" customHeight="1">
      <c r="B227" s="108" t="s">
        <v>2940</v>
      </c>
      <c r="C227" s="108" t="s">
        <v>1626</v>
      </c>
      <c r="D227" s="170" t="s">
        <v>755</v>
      </c>
      <c r="E227" s="108">
        <v>32389151</v>
      </c>
      <c r="F227" s="247" t="s">
        <v>2552</v>
      </c>
      <c r="G227" s="108" t="s">
        <v>3001</v>
      </c>
      <c r="H227" s="108" t="s">
        <v>538</v>
      </c>
      <c r="I227" s="108" t="s">
        <v>1620</v>
      </c>
      <c r="J227" s="108" t="s">
        <v>3060</v>
      </c>
      <c r="K227" s="108" t="s">
        <v>995</v>
      </c>
      <c r="L227" s="108" t="s">
        <v>1158</v>
      </c>
      <c r="M227" s="108" t="str">
        <f t="shared" si="30"/>
        <v>12/12/1994</v>
      </c>
      <c r="N227" s="108">
        <f t="shared" ca="1" si="31"/>
        <v>31</v>
      </c>
      <c r="O227" s="108" t="s">
        <v>998</v>
      </c>
      <c r="P227" s="108" t="s">
        <v>1159</v>
      </c>
      <c r="Q227" s="108" t="s">
        <v>1160</v>
      </c>
      <c r="R227" s="108"/>
      <c r="S227" s="108"/>
      <c r="T227" s="108"/>
      <c r="U227" s="108"/>
      <c r="V227" s="197">
        <v>45565</v>
      </c>
      <c r="W227" s="108"/>
      <c r="X227" s="54">
        <f t="shared" si="27"/>
        <v>10</v>
      </c>
      <c r="Y227" s="54">
        <f t="shared" si="28"/>
        <v>8</v>
      </c>
      <c r="Z227" s="54" t="str">
        <f t="shared" si="29"/>
        <v>Jm County Referral Hospital</v>
      </c>
    </row>
    <row r="228" spans="2:26" ht="20.149999999999999" customHeight="1">
      <c r="B228" s="108" t="s">
        <v>2941</v>
      </c>
      <c r="C228" s="108" t="s">
        <v>1626</v>
      </c>
      <c r="D228" s="170" t="s">
        <v>774</v>
      </c>
      <c r="E228" s="108">
        <v>22953862</v>
      </c>
      <c r="F228" s="247" t="s">
        <v>2553</v>
      </c>
      <c r="G228" s="108" t="s">
        <v>2992</v>
      </c>
      <c r="H228" s="108" t="s">
        <v>538</v>
      </c>
      <c r="I228" s="108" t="s">
        <v>1624</v>
      </c>
      <c r="J228" s="108" t="s">
        <v>3064</v>
      </c>
      <c r="K228" s="108" t="s">
        <v>1005</v>
      </c>
      <c r="L228" s="108" t="s">
        <v>1161</v>
      </c>
      <c r="M228" s="108" t="str">
        <f t="shared" si="30"/>
        <v>14/02/1983</v>
      </c>
      <c r="N228" s="108">
        <f t="shared" ca="1" si="31"/>
        <v>43</v>
      </c>
      <c r="O228" s="108" t="s">
        <v>988</v>
      </c>
      <c r="P228" s="108" t="s">
        <v>983</v>
      </c>
      <c r="Q228" s="108" t="s">
        <v>1162</v>
      </c>
      <c r="R228" s="108"/>
      <c r="S228" s="108"/>
      <c r="T228" s="108"/>
      <c r="U228" s="108"/>
      <c r="V228" s="197">
        <v>45565</v>
      </c>
      <c r="W228" s="108"/>
      <c r="X228" s="54">
        <f t="shared" si="27"/>
        <v>10</v>
      </c>
      <c r="Y228" s="54">
        <f t="shared" si="28"/>
        <v>8</v>
      </c>
      <c r="Z228" s="54" t="str">
        <f t="shared" si="29"/>
        <v>Oljoro Orok Sub County</v>
      </c>
    </row>
    <row r="229" spans="2:26" ht="20.149999999999999" customHeight="1">
      <c r="B229" s="108" t="s">
        <v>2942</v>
      </c>
      <c r="C229" s="108" t="s">
        <v>1626</v>
      </c>
      <c r="D229" s="170" t="s">
        <v>673</v>
      </c>
      <c r="E229" s="108">
        <v>24654241</v>
      </c>
      <c r="F229" s="247" t="s">
        <v>2554</v>
      </c>
      <c r="G229" s="108" t="s">
        <v>2994</v>
      </c>
      <c r="H229" s="108" t="s">
        <v>538</v>
      </c>
      <c r="I229" s="108" t="s">
        <v>1624</v>
      </c>
      <c r="J229" s="108" t="s">
        <v>3110</v>
      </c>
      <c r="K229" s="108" t="s">
        <v>995</v>
      </c>
      <c r="L229" s="108" t="s">
        <v>1163</v>
      </c>
      <c r="M229" s="108" t="str">
        <f t="shared" si="30"/>
        <v>16/10/1984</v>
      </c>
      <c r="N229" s="108">
        <f t="shared" ca="1" si="31"/>
        <v>41</v>
      </c>
      <c r="O229" s="108" t="s">
        <v>988</v>
      </c>
      <c r="P229" s="108" t="s">
        <v>983</v>
      </c>
      <c r="Q229" s="108" t="s">
        <v>1155</v>
      </c>
      <c r="R229" s="108" t="s">
        <v>1049</v>
      </c>
      <c r="S229" s="108"/>
      <c r="T229" s="108"/>
      <c r="U229" s="108"/>
      <c r="V229" s="197">
        <v>45565</v>
      </c>
      <c r="W229" s="108"/>
      <c r="X229" s="54">
        <f t="shared" si="27"/>
        <v>10</v>
      </c>
      <c r="Y229" s="54">
        <f t="shared" si="28"/>
        <v>8</v>
      </c>
      <c r="Z229" s="54" t="str">
        <f t="shared" si="29"/>
        <v>Silbwet Health Centre</v>
      </c>
    </row>
    <row r="230" spans="2:26" ht="20.149999999999999" customHeight="1">
      <c r="B230" s="108" t="s">
        <v>2911</v>
      </c>
      <c r="C230" s="108" t="s">
        <v>1627</v>
      </c>
      <c r="D230" s="170" t="s">
        <v>657</v>
      </c>
      <c r="E230" s="108">
        <v>30757768</v>
      </c>
      <c r="F230" s="247" t="s">
        <v>2537</v>
      </c>
      <c r="G230" s="108" t="s">
        <v>2992</v>
      </c>
      <c r="H230" s="108" t="s">
        <v>538</v>
      </c>
      <c r="I230" s="108" t="s">
        <v>1623</v>
      </c>
      <c r="J230" s="108" t="s">
        <v>3092</v>
      </c>
      <c r="K230" s="108" t="s">
        <v>995</v>
      </c>
      <c r="L230" s="108" t="s">
        <v>1086</v>
      </c>
      <c r="M230" s="108" t="str">
        <f t="shared" si="30"/>
        <v>03/02/1994</v>
      </c>
      <c r="N230" s="108">
        <f t="shared" ca="1" si="31"/>
        <v>32</v>
      </c>
      <c r="O230" s="108" t="s">
        <v>998</v>
      </c>
      <c r="P230" s="108" t="s">
        <v>1083</v>
      </c>
      <c r="Q230" s="108" t="s">
        <v>1084</v>
      </c>
      <c r="R230" s="108" t="s">
        <v>1085</v>
      </c>
      <c r="S230" s="108"/>
      <c r="T230" s="108"/>
      <c r="U230" s="84"/>
      <c r="V230" s="146">
        <v>45565</v>
      </c>
      <c r="W230" s="106"/>
      <c r="X230" s="54">
        <f t="shared" si="27"/>
        <v>10</v>
      </c>
      <c r="Y230" s="54">
        <f t="shared" si="28"/>
        <v>8</v>
      </c>
      <c r="Z230" s="54" t="str">
        <f t="shared" si="29"/>
        <v>Njabini Health Ceentre</v>
      </c>
    </row>
    <row r="231" spans="2:26" ht="20.149999999999999" customHeight="1">
      <c r="B231" s="108" t="s">
        <v>2943</v>
      </c>
      <c r="C231" s="108" t="s">
        <v>1626</v>
      </c>
      <c r="D231" s="170" t="s">
        <v>726</v>
      </c>
      <c r="E231" s="108">
        <v>30342708</v>
      </c>
      <c r="F231" s="247" t="s">
        <v>2555</v>
      </c>
      <c r="G231" s="108" t="s">
        <v>2994</v>
      </c>
      <c r="H231" s="108" t="s">
        <v>538</v>
      </c>
      <c r="I231" s="108" t="s">
        <v>1623</v>
      </c>
      <c r="J231" s="108" t="s">
        <v>3103</v>
      </c>
      <c r="K231" s="108" t="s">
        <v>995</v>
      </c>
      <c r="L231" s="108" t="s">
        <v>1166</v>
      </c>
      <c r="M231" s="108" t="str">
        <f t="shared" si="30"/>
        <v>18/01/1992</v>
      </c>
      <c r="N231" s="108">
        <f t="shared" ca="1" si="31"/>
        <v>34</v>
      </c>
      <c r="O231" s="108" t="s">
        <v>988</v>
      </c>
      <c r="P231" s="108" t="s">
        <v>1167</v>
      </c>
      <c r="Q231" s="108" t="s">
        <v>1168</v>
      </c>
      <c r="R231" s="108" t="s">
        <v>1049</v>
      </c>
      <c r="S231" s="108"/>
      <c r="T231" s="108"/>
      <c r="U231" s="108"/>
      <c r="V231" s="146">
        <v>45565</v>
      </c>
      <c r="W231" s="106"/>
      <c r="X231" s="54">
        <f t="shared" si="27"/>
        <v>10</v>
      </c>
      <c r="Y231" s="54">
        <f t="shared" si="28"/>
        <v>8</v>
      </c>
      <c r="Z231" s="54" t="str">
        <f t="shared" si="29"/>
        <v>Njabini Health Centre</v>
      </c>
    </row>
    <row r="232" spans="2:26" ht="20.149999999999999" customHeight="1">
      <c r="B232" s="106" t="s">
        <v>2944</v>
      </c>
      <c r="C232" s="106" t="s">
        <v>1626</v>
      </c>
      <c r="D232" s="121" t="s">
        <v>2182</v>
      </c>
      <c r="E232" s="106">
        <v>31231798</v>
      </c>
      <c r="F232" s="172" t="s">
        <v>2803</v>
      </c>
      <c r="G232" s="106" t="s">
        <v>2996</v>
      </c>
      <c r="H232" s="106" t="s">
        <v>538</v>
      </c>
      <c r="I232" s="106" t="s">
        <v>1620</v>
      </c>
      <c r="J232" s="106" t="s">
        <v>3101</v>
      </c>
      <c r="K232" s="106" t="s">
        <v>1028</v>
      </c>
      <c r="L232" s="106" t="s">
        <v>1169</v>
      </c>
      <c r="M232" s="106" t="str">
        <f t="shared" si="30"/>
        <v>17/04/1994</v>
      </c>
      <c r="N232" s="106">
        <f t="shared" ca="1" si="31"/>
        <v>32</v>
      </c>
      <c r="O232" s="106" t="s">
        <v>988</v>
      </c>
      <c r="P232" s="106" t="s">
        <v>996</v>
      </c>
      <c r="Q232" s="106" t="s">
        <v>1170</v>
      </c>
      <c r="R232" s="106"/>
      <c r="S232" s="81" t="s">
        <v>2328</v>
      </c>
      <c r="T232" s="83" t="s">
        <v>2197</v>
      </c>
      <c r="U232" s="84">
        <v>46173</v>
      </c>
      <c r="V232" s="108"/>
      <c r="W232" s="108"/>
      <c r="X232" s="54">
        <f t="shared" si="27"/>
        <v>10</v>
      </c>
      <c r="Y232" s="54">
        <f t="shared" si="28"/>
        <v>8</v>
      </c>
      <c r="Z232" s="54" t="str">
        <f t="shared" si="29"/>
        <v xml:space="preserve">Ngorika Health Centre </v>
      </c>
    </row>
    <row r="233" spans="2:26" ht="20.149999999999999" customHeight="1">
      <c r="B233" s="108" t="s">
        <v>2945</v>
      </c>
      <c r="C233" s="108" t="s">
        <v>1626</v>
      </c>
      <c r="D233" s="170" t="s">
        <v>697</v>
      </c>
      <c r="E233" s="108">
        <v>13398964</v>
      </c>
      <c r="F233" s="247" t="s">
        <v>2556</v>
      </c>
      <c r="G233" s="108" t="s">
        <v>2994</v>
      </c>
      <c r="H233" s="108" t="s">
        <v>538</v>
      </c>
      <c r="I233" s="108" t="s">
        <v>1623</v>
      </c>
      <c r="J233" s="108" t="s">
        <v>3061</v>
      </c>
      <c r="K233" s="108" t="s">
        <v>995</v>
      </c>
      <c r="L233" s="108" t="s">
        <v>1171</v>
      </c>
      <c r="M233" s="108" t="str">
        <f t="shared" si="30"/>
        <v>25/12/1975</v>
      </c>
      <c r="N233" s="108">
        <f t="shared" ca="1" si="31"/>
        <v>50</v>
      </c>
      <c r="O233" s="108" t="s">
        <v>988</v>
      </c>
      <c r="P233" s="108" t="s">
        <v>1172</v>
      </c>
      <c r="Q233" s="108" t="s">
        <v>1173</v>
      </c>
      <c r="R233" s="108" t="s">
        <v>1049</v>
      </c>
      <c r="S233" s="108"/>
      <c r="T233" s="108"/>
      <c r="U233" s="108"/>
      <c r="V233" s="197">
        <v>45565</v>
      </c>
      <c r="W233" s="108"/>
      <c r="X233" s="54">
        <f t="shared" si="27"/>
        <v>10</v>
      </c>
      <c r="Y233" s="54">
        <f t="shared" si="28"/>
        <v>8</v>
      </c>
      <c r="Z233" s="54" t="str">
        <f t="shared" si="29"/>
        <v>Engineer County Referral Hospital</v>
      </c>
    </row>
    <row r="234" spans="2:26" ht="20.149999999999999" customHeight="1">
      <c r="B234" s="106" t="s">
        <v>2946</v>
      </c>
      <c r="C234" s="106" t="s">
        <v>1626</v>
      </c>
      <c r="D234" s="117" t="s">
        <v>627</v>
      </c>
      <c r="E234" s="117" t="s">
        <v>2168</v>
      </c>
      <c r="F234" s="180" t="s">
        <v>2506</v>
      </c>
      <c r="G234" s="106" t="s">
        <v>2995</v>
      </c>
      <c r="H234" s="106" t="s">
        <v>538</v>
      </c>
      <c r="I234" s="106" t="s">
        <v>1620</v>
      </c>
      <c r="J234" s="106" t="s">
        <v>3101</v>
      </c>
      <c r="K234" s="106" t="s">
        <v>1005</v>
      </c>
      <c r="L234" s="106" t="s">
        <v>1175</v>
      </c>
      <c r="M234" s="106" t="str">
        <f t="shared" si="30"/>
        <v>13/05/1993</v>
      </c>
      <c r="N234" s="106">
        <f t="shared" ca="1" si="31"/>
        <v>33</v>
      </c>
      <c r="O234" s="106" t="s">
        <v>988</v>
      </c>
      <c r="P234" s="106" t="s">
        <v>996</v>
      </c>
      <c r="Q234" s="106" t="s">
        <v>1176</v>
      </c>
      <c r="R234" s="106"/>
      <c r="S234" s="81" t="s">
        <v>2328</v>
      </c>
      <c r="T234" s="83" t="s">
        <v>2189</v>
      </c>
      <c r="U234" s="84">
        <v>46142</v>
      </c>
      <c r="V234" s="106"/>
      <c r="W234" s="106"/>
      <c r="X234" s="54">
        <f t="shared" si="27"/>
        <v>10</v>
      </c>
      <c r="Y234" s="54">
        <f t="shared" si="28"/>
        <v>8</v>
      </c>
      <c r="Z234" s="54" t="str">
        <f t="shared" si="29"/>
        <v xml:space="preserve">Ngorika Health Centre </v>
      </c>
    </row>
    <row r="235" spans="2:26" ht="20.149999999999999" customHeight="1">
      <c r="B235" s="106" t="s">
        <v>2947</v>
      </c>
      <c r="C235" s="106" t="s">
        <v>1626</v>
      </c>
      <c r="D235" s="117" t="s">
        <v>584</v>
      </c>
      <c r="E235" s="117" t="s">
        <v>2162</v>
      </c>
      <c r="F235" s="180" t="s">
        <v>2507</v>
      </c>
      <c r="G235" s="106" t="s">
        <v>2994</v>
      </c>
      <c r="H235" s="106" t="s">
        <v>538</v>
      </c>
      <c r="I235" s="106" t="s">
        <v>1623</v>
      </c>
      <c r="J235" s="106" t="s">
        <v>3061</v>
      </c>
      <c r="K235" s="106" t="s">
        <v>1005</v>
      </c>
      <c r="L235" s="106" t="s">
        <v>2508</v>
      </c>
      <c r="M235" s="106" t="str">
        <f t="shared" si="30"/>
        <v>01/03/1988</v>
      </c>
      <c r="N235" s="106">
        <f t="shared" ca="1" si="31"/>
        <v>38</v>
      </c>
      <c r="O235" s="106" t="s">
        <v>988</v>
      </c>
      <c r="P235" s="106" t="s">
        <v>1177</v>
      </c>
      <c r="Q235" s="106" t="s">
        <v>2509</v>
      </c>
      <c r="R235" s="106" t="s">
        <v>1178</v>
      </c>
      <c r="S235" s="106"/>
      <c r="T235" s="106"/>
      <c r="U235" s="106"/>
      <c r="V235" s="108"/>
      <c r="W235" s="108"/>
      <c r="X235" s="54">
        <f t="shared" si="27"/>
        <v>10</v>
      </c>
      <c r="Y235" s="54">
        <f t="shared" si="28"/>
        <v>8</v>
      </c>
      <c r="Z235" s="54" t="str">
        <f t="shared" si="29"/>
        <v>Engineer County Referral Hospital</v>
      </c>
    </row>
    <row r="236" spans="2:26" ht="20.149999999999999" customHeight="1">
      <c r="B236" s="108" t="s">
        <v>2948</v>
      </c>
      <c r="C236" s="108" t="s">
        <v>1626</v>
      </c>
      <c r="D236" s="170" t="s">
        <v>588</v>
      </c>
      <c r="E236" s="108">
        <v>25909544</v>
      </c>
      <c r="F236" s="247" t="s">
        <v>2557</v>
      </c>
      <c r="G236" s="108" t="s">
        <v>2994</v>
      </c>
      <c r="H236" s="108" t="s">
        <v>538</v>
      </c>
      <c r="I236" s="108" t="s">
        <v>1624</v>
      </c>
      <c r="J236" s="108" t="s">
        <v>3139</v>
      </c>
      <c r="K236" s="108" t="s">
        <v>1005</v>
      </c>
      <c r="L236" s="108" t="s">
        <v>1179</v>
      </c>
      <c r="M236" s="108" t="str">
        <f t="shared" si="30"/>
        <v>20/08/1987</v>
      </c>
      <c r="N236" s="108">
        <f t="shared" ca="1" si="31"/>
        <v>38</v>
      </c>
      <c r="O236" s="108" t="s">
        <v>988</v>
      </c>
      <c r="P236" s="108" t="s">
        <v>1072</v>
      </c>
      <c r="Q236" s="108" t="s">
        <v>1180</v>
      </c>
      <c r="R236" s="108" t="s">
        <v>1181</v>
      </c>
      <c r="S236" s="108"/>
      <c r="T236" s="108"/>
      <c r="U236" s="108"/>
      <c r="V236" s="146">
        <v>45565</v>
      </c>
      <c r="W236" s="106"/>
      <c r="X236" s="54">
        <f t="shared" si="27"/>
        <v>10</v>
      </c>
      <c r="Y236" s="54">
        <f t="shared" si="28"/>
        <v>8</v>
      </c>
      <c r="Z236" s="54" t="str">
        <f t="shared" si="29"/>
        <v>Olbolosat Dispensaryensary</v>
      </c>
    </row>
    <row r="237" spans="2:26" ht="20.149999999999999" customHeight="1">
      <c r="B237" s="108" t="s">
        <v>2949</v>
      </c>
      <c r="C237" s="108" t="s">
        <v>1626</v>
      </c>
      <c r="D237" s="170" t="s">
        <v>2559</v>
      </c>
      <c r="E237" s="108">
        <v>31345819</v>
      </c>
      <c r="F237" s="247" t="s">
        <v>2558</v>
      </c>
      <c r="G237" s="108" t="s">
        <v>2994</v>
      </c>
      <c r="H237" s="108" t="s">
        <v>538</v>
      </c>
      <c r="I237" s="108" t="s">
        <v>1622</v>
      </c>
      <c r="J237" s="108" t="s">
        <v>3138</v>
      </c>
      <c r="K237" s="108" t="s">
        <v>1028</v>
      </c>
      <c r="L237" s="108" t="s">
        <v>1182</v>
      </c>
      <c r="M237" s="108" t="str">
        <f t="shared" si="30"/>
        <v>26/10/1994</v>
      </c>
      <c r="N237" s="108">
        <f t="shared" ca="1" si="31"/>
        <v>31</v>
      </c>
      <c r="O237" s="108" t="s">
        <v>988</v>
      </c>
      <c r="P237" s="108" t="s">
        <v>1002</v>
      </c>
      <c r="Q237" s="108" t="s">
        <v>1089</v>
      </c>
      <c r="R237" s="108" t="s">
        <v>1049</v>
      </c>
      <c r="S237" s="108"/>
      <c r="T237" s="108"/>
      <c r="U237" s="108"/>
      <c r="V237" s="146">
        <v>45565</v>
      </c>
      <c r="W237" s="106"/>
      <c r="X237" s="54">
        <f t="shared" si="27"/>
        <v>10</v>
      </c>
      <c r="Y237" s="54">
        <f t="shared" si="28"/>
        <v>8</v>
      </c>
      <c r="Z237" s="54" t="str">
        <f t="shared" si="29"/>
        <v>Getabush Dispensaryensary</v>
      </c>
    </row>
    <row r="238" spans="2:26" ht="20.149999999999999" customHeight="1">
      <c r="B238" s="106" t="s">
        <v>2950</v>
      </c>
      <c r="C238" s="106" t="s">
        <v>1626</v>
      </c>
      <c r="D238" s="117" t="s">
        <v>592</v>
      </c>
      <c r="E238" s="117" t="s">
        <v>2163</v>
      </c>
      <c r="F238" s="180" t="s">
        <v>2511</v>
      </c>
      <c r="G238" s="106" t="s">
        <v>2994</v>
      </c>
      <c r="H238" s="106" t="s">
        <v>538</v>
      </c>
      <c r="I238" s="106" t="s">
        <v>1624</v>
      </c>
      <c r="J238" s="106" t="s">
        <v>3099</v>
      </c>
      <c r="K238" s="106" t="s">
        <v>1005</v>
      </c>
      <c r="L238" s="106" t="s">
        <v>1183</v>
      </c>
      <c r="M238" s="106" t="str">
        <f t="shared" si="30"/>
        <v>09/08/1993</v>
      </c>
      <c r="N238" s="106">
        <f t="shared" ca="1" si="31"/>
        <v>32</v>
      </c>
      <c r="O238" s="106" t="s">
        <v>988</v>
      </c>
      <c r="P238" s="106" t="s">
        <v>1184</v>
      </c>
      <c r="Q238" s="106" t="s">
        <v>1051</v>
      </c>
      <c r="R238" s="106" t="s">
        <v>1049</v>
      </c>
      <c r="S238" s="106"/>
      <c r="T238" s="106"/>
      <c r="U238" s="106"/>
      <c r="V238" s="106"/>
      <c r="W238" s="106"/>
      <c r="X238" s="54">
        <f t="shared" si="27"/>
        <v>10</v>
      </c>
      <c r="Y238" s="54">
        <f t="shared" si="28"/>
        <v>8</v>
      </c>
      <c r="Z238" s="54" t="str">
        <f t="shared" si="29"/>
        <v>Gatimu Health Centre</v>
      </c>
    </row>
    <row r="239" spans="2:26" ht="20.149999999999999" customHeight="1">
      <c r="B239" s="108" t="s">
        <v>2912</v>
      </c>
      <c r="C239" s="108" t="s">
        <v>1627</v>
      </c>
      <c r="D239" s="170" t="s">
        <v>758</v>
      </c>
      <c r="E239" s="108">
        <v>29397492</v>
      </c>
      <c r="F239" s="247" t="s">
        <v>2538</v>
      </c>
      <c r="G239" s="108" t="s">
        <v>3001</v>
      </c>
      <c r="H239" s="108" t="s">
        <v>538</v>
      </c>
      <c r="I239" s="108" t="s">
        <v>1623</v>
      </c>
      <c r="J239" s="108" t="s">
        <v>3103</v>
      </c>
      <c r="K239" s="108" t="s">
        <v>995</v>
      </c>
      <c r="L239" s="108" t="s">
        <v>1087</v>
      </c>
      <c r="M239" s="108" t="str">
        <f t="shared" si="30"/>
        <v>04/05/1992</v>
      </c>
      <c r="N239" s="108">
        <f t="shared" ca="1" si="31"/>
        <v>34</v>
      </c>
      <c r="O239" s="108" t="s">
        <v>988</v>
      </c>
      <c r="P239" s="108" t="s">
        <v>1002</v>
      </c>
      <c r="Q239" s="108" t="s">
        <v>1089</v>
      </c>
      <c r="R239" s="108" t="s">
        <v>1088</v>
      </c>
      <c r="S239" s="108"/>
      <c r="T239" s="108"/>
      <c r="U239" s="84">
        <v>46137</v>
      </c>
      <c r="V239" s="108"/>
      <c r="W239" s="108"/>
      <c r="X239" s="54">
        <f t="shared" si="27"/>
        <v>10</v>
      </c>
      <c r="Y239" s="54">
        <f t="shared" si="28"/>
        <v>8</v>
      </c>
      <c r="Z239" s="54" t="str">
        <f t="shared" si="29"/>
        <v>Njabini Health Centre</v>
      </c>
    </row>
    <row r="240" spans="2:26" ht="20.149999999999999" customHeight="1">
      <c r="B240" s="108" t="s">
        <v>2952</v>
      </c>
      <c r="C240" s="108" t="s">
        <v>1626</v>
      </c>
      <c r="D240" s="170" t="s">
        <v>644</v>
      </c>
      <c r="E240" s="108">
        <v>24661652</v>
      </c>
      <c r="F240" s="305" t="s">
        <v>3305</v>
      </c>
      <c r="G240" s="108" t="s">
        <v>2994</v>
      </c>
      <c r="H240" s="108" t="s">
        <v>538</v>
      </c>
      <c r="I240" s="108" t="s">
        <v>1624</v>
      </c>
      <c r="J240" s="108" t="s">
        <v>3110</v>
      </c>
      <c r="K240" s="108" t="s">
        <v>1005</v>
      </c>
      <c r="L240" s="108" t="s">
        <v>1186</v>
      </c>
      <c r="M240" s="108" t="str">
        <f t="shared" si="30"/>
        <v>05/11/1985</v>
      </c>
      <c r="N240" s="108">
        <f t="shared" ca="1" si="31"/>
        <v>40</v>
      </c>
      <c r="O240" s="108" t="s">
        <v>998</v>
      </c>
      <c r="P240" s="108" t="s">
        <v>1187</v>
      </c>
      <c r="Q240" s="108" t="s">
        <v>1189</v>
      </c>
      <c r="R240" s="108"/>
      <c r="S240" s="108"/>
      <c r="T240" s="108"/>
      <c r="U240" s="108"/>
      <c r="V240" s="146">
        <v>45565</v>
      </c>
      <c r="W240" s="106"/>
      <c r="X240" s="54">
        <f t="shared" si="27"/>
        <v>10</v>
      </c>
      <c r="Y240" s="54">
        <f t="shared" si="28"/>
        <v>8</v>
      </c>
      <c r="Z240" s="54" t="str">
        <f t="shared" si="29"/>
        <v>Silbwet Health Centre</v>
      </c>
    </row>
    <row r="241" spans="2:26" ht="20.149999999999999" customHeight="1">
      <c r="B241" s="106" t="s">
        <v>2923</v>
      </c>
      <c r="C241" s="106" t="s">
        <v>1627</v>
      </c>
      <c r="D241" s="121" t="s">
        <v>794</v>
      </c>
      <c r="E241" s="106" t="s">
        <v>2177</v>
      </c>
      <c r="F241" s="182" t="s">
        <v>2490</v>
      </c>
      <c r="G241" s="106" t="s">
        <v>3005</v>
      </c>
      <c r="H241" s="106" t="s">
        <v>538</v>
      </c>
      <c r="I241" s="106" t="s">
        <v>1623</v>
      </c>
      <c r="J241" s="106" t="s">
        <v>3061</v>
      </c>
      <c r="K241" s="106" t="s">
        <v>1012</v>
      </c>
      <c r="L241" s="106" t="s">
        <v>1121</v>
      </c>
      <c r="M241" s="106" t="str">
        <f t="shared" si="30"/>
        <v>11/07/1994</v>
      </c>
      <c r="N241" s="106">
        <f t="shared" ca="1" si="31"/>
        <v>32</v>
      </c>
      <c r="O241" s="106" t="s">
        <v>988</v>
      </c>
      <c r="P241" s="106" t="s">
        <v>1029</v>
      </c>
      <c r="Q241" s="106" t="s">
        <v>1122</v>
      </c>
      <c r="R241" s="106" t="s">
        <v>1123</v>
      </c>
      <c r="S241" s="81" t="s">
        <v>2459</v>
      </c>
      <c r="T241" s="83" t="s">
        <v>2204</v>
      </c>
      <c r="U241" s="84">
        <v>46387</v>
      </c>
      <c r="V241" s="146"/>
      <c r="W241" s="106"/>
      <c r="X241" s="54">
        <f t="shared" si="27"/>
        <v>10</v>
      </c>
      <c r="Y241" s="54">
        <f t="shared" si="28"/>
        <v>8</v>
      </c>
      <c r="Z241" s="54" t="str">
        <f t="shared" si="29"/>
        <v>Engineer County Referral Hospital</v>
      </c>
    </row>
    <row r="242" spans="2:26" ht="20.149999999999999" customHeight="1">
      <c r="B242" s="106" t="s">
        <v>2924</v>
      </c>
      <c r="C242" s="106" t="s">
        <v>1627</v>
      </c>
      <c r="D242" s="121" t="s">
        <v>2178</v>
      </c>
      <c r="E242" s="106">
        <v>32561960</v>
      </c>
      <c r="F242" s="182" t="s">
        <v>2491</v>
      </c>
      <c r="G242" s="106" t="s">
        <v>2994</v>
      </c>
      <c r="H242" s="106" t="s">
        <v>538</v>
      </c>
      <c r="I242" s="106" t="s">
        <v>1620</v>
      </c>
      <c r="J242" s="106" t="s">
        <v>3103</v>
      </c>
      <c r="K242" s="106" t="s">
        <v>1028</v>
      </c>
      <c r="L242" s="106" t="s">
        <v>1528</v>
      </c>
      <c r="M242" s="106" t="str">
        <f t="shared" si="30"/>
        <v>12/03/1995</v>
      </c>
      <c r="N242" s="106">
        <f t="shared" ca="1" si="31"/>
        <v>31</v>
      </c>
      <c r="O242" s="106" t="s">
        <v>1201</v>
      </c>
      <c r="P242" s="106" t="s">
        <v>1505</v>
      </c>
      <c r="Q242" s="106" t="s">
        <v>1506</v>
      </c>
      <c r="R242" s="106" t="s">
        <v>1507</v>
      </c>
      <c r="S242" s="106"/>
      <c r="T242" s="106"/>
      <c r="U242" s="84">
        <v>46326</v>
      </c>
      <c r="V242" s="106"/>
      <c r="W242" s="106"/>
      <c r="X242" s="54">
        <f t="shared" si="27"/>
        <v>10</v>
      </c>
      <c r="Y242" s="54">
        <f t="shared" si="28"/>
        <v>8</v>
      </c>
      <c r="Z242" s="54" t="str">
        <f t="shared" si="29"/>
        <v>Njabini Health Centre</v>
      </c>
    </row>
    <row r="243" spans="2:26" ht="20.149999999999999" customHeight="1">
      <c r="B243" s="106" t="s">
        <v>2955</v>
      </c>
      <c r="C243" s="106" t="s">
        <v>1626</v>
      </c>
      <c r="D243" s="118" t="s">
        <v>2176</v>
      </c>
      <c r="E243" s="117" t="s">
        <v>2175</v>
      </c>
      <c r="F243" s="180" t="s">
        <v>2515</v>
      </c>
      <c r="G243" s="106" t="s">
        <v>2992</v>
      </c>
      <c r="H243" s="106" t="s">
        <v>538</v>
      </c>
      <c r="I243" s="106" t="s">
        <v>1622</v>
      </c>
      <c r="J243" s="106" t="s">
        <v>3091</v>
      </c>
      <c r="K243" s="106" t="s">
        <v>1193</v>
      </c>
      <c r="L243" s="106" t="s">
        <v>1194</v>
      </c>
      <c r="M243" s="106" t="str">
        <f t="shared" si="30"/>
        <v>14/03/1995</v>
      </c>
      <c r="N243" s="106">
        <f t="shared" ca="1" si="31"/>
        <v>31</v>
      </c>
      <c r="O243" s="106" t="s">
        <v>988</v>
      </c>
      <c r="P243" s="106" t="s">
        <v>983</v>
      </c>
      <c r="Q243" s="106" t="s">
        <v>1131</v>
      </c>
      <c r="R243" s="106"/>
      <c r="S243" s="83" t="s">
        <v>2330</v>
      </c>
      <c r="T243" s="81" t="s">
        <v>2203</v>
      </c>
      <c r="U243" s="84">
        <v>46343</v>
      </c>
      <c r="V243" s="106"/>
      <c r="W243" s="106"/>
      <c r="X243" s="54">
        <f t="shared" si="27"/>
        <v>10</v>
      </c>
      <c r="Y243" s="54">
        <f t="shared" si="28"/>
        <v>8</v>
      </c>
      <c r="Z243" s="54" t="str">
        <f t="shared" si="29"/>
        <v>Manunga Health Centre</v>
      </c>
    </row>
    <row r="244" spans="2:26" ht="20.149999999999999" customHeight="1">
      <c r="B244" s="106" t="s">
        <v>2956</v>
      </c>
      <c r="C244" s="106" t="s">
        <v>1626</v>
      </c>
      <c r="D244" s="119" t="s">
        <v>687</v>
      </c>
      <c r="E244" s="106">
        <v>31834660</v>
      </c>
      <c r="F244" s="182" t="s">
        <v>2514</v>
      </c>
      <c r="G244" s="106" t="s">
        <v>3009</v>
      </c>
      <c r="H244" s="106" t="s">
        <v>538</v>
      </c>
      <c r="I244" s="106" t="s">
        <v>1624</v>
      </c>
      <c r="J244" s="106" t="s">
        <v>3105</v>
      </c>
      <c r="K244" s="106" t="s">
        <v>995</v>
      </c>
      <c r="L244" s="106" t="s">
        <v>1191</v>
      </c>
      <c r="M244" s="106" t="str">
        <f t="shared" si="30"/>
        <v>27/11/1993</v>
      </c>
      <c r="N244" s="106">
        <f t="shared" ca="1" si="31"/>
        <v>32</v>
      </c>
      <c r="O244" s="106" t="s">
        <v>998</v>
      </c>
      <c r="P244" s="106" t="s">
        <v>1192</v>
      </c>
      <c r="Q244" s="106" t="s">
        <v>1041</v>
      </c>
      <c r="R244" s="106" t="s">
        <v>1049</v>
      </c>
      <c r="S244" s="106"/>
      <c r="T244" s="106"/>
      <c r="U244" s="106"/>
      <c r="V244" s="106"/>
      <c r="W244" s="106"/>
      <c r="X244" s="54">
        <f t="shared" si="27"/>
        <v>10</v>
      </c>
      <c r="Y244" s="54">
        <f t="shared" si="28"/>
        <v>8</v>
      </c>
      <c r="Z244" s="54" t="str">
        <f t="shared" si="29"/>
        <v>Chamuka Health Centre</v>
      </c>
    </row>
    <row r="245" spans="2:26" ht="20.149999999999999" customHeight="1">
      <c r="B245" s="106" t="s">
        <v>3287</v>
      </c>
      <c r="C245" s="106" t="s">
        <v>1626</v>
      </c>
      <c r="D245" s="118" t="s">
        <v>3272</v>
      </c>
      <c r="E245" s="106">
        <v>22714059</v>
      </c>
      <c r="F245" s="142" t="s">
        <v>3273</v>
      </c>
      <c r="G245" s="106" t="s">
        <v>2994</v>
      </c>
      <c r="H245" s="106" t="s">
        <v>538</v>
      </c>
      <c r="I245" s="106" t="s">
        <v>1620</v>
      </c>
      <c r="J245" s="106" t="s">
        <v>3101</v>
      </c>
      <c r="K245" s="106" t="s">
        <v>3285</v>
      </c>
      <c r="L245" s="106" t="s">
        <v>3274</v>
      </c>
      <c r="M245" s="106" t="str">
        <f t="shared" si="30"/>
        <v>03/06/1983</v>
      </c>
      <c r="N245" s="106">
        <f t="shared" ca="1" si="31"/>
        <v>43</v>
      </c>
      <c r="O245" s="106" t="s">
        <v>998</v>
      </c>
      <c r="P245" s="106" t="s">
        <v>1362</v>
      </c>
      <c r="Q245" s="106" t="s">
        <v>1043</v>
      </c>
      <c r="R245" s="106" t="s">
        <v>3286</v>
      </c>
      <c r="S245" s="106"/>
      <c r="T245" s="106"/>
      <c r="U245" s="106"/>
      <c r="V245" s="106"/>
      <c r="W245" s="106"/>
      <c r="X245" s="54">
        <f t="shared" si="27"/>
        <v>10</v>
      </c>
      <c r="Y245" s="54">
        <f t="shared" si="28"/>
        <v>8</v>
      </c>
      <c r="Z245" s="54" t="str">
        <f t="shared" si="29"/>
        <v xml:space="preserve">Ngorika Health Centre </v>
      </c>
    </row>
    <row r="246" spans="2:26" ht="20.149999999999999" customHeight="1">
      <c r="B246" s="96" t="s">
        <v>2957</v>
      </c>
      <c r="C246" s="93" t="s">
        <v>1626</v>
      </c>
      <c r="D246" s="129" t="s">
        <v>806</v>
      </c>
      <c r="E246" s="125" t="s">
        <v>3308</v>
      </c>
      <c r="F246" s="187" t="s">
        <v>2742</v>
      </c>
      <c r="G246" s="93" t="s">
        <v>2996</v>
      </c>
      <c r="H246" s="93" t="s">
        <v>800</v>
      </c>
      <c r="I246" s="93" t="s">
        <v>3025</v>
      </c>
      <c r="J246" s="93" t="s">
        <v>3066</v>
      </c>
      <c r="K246" s="62" t="s">
        <v>1005</v>
      </c>
      <c r="L246" s="62" t="s">
        <v>1364</v>
      </c>
      <c r="M246" s="104" t="str">
        <f t="shared" si="30"/>
        <v>12/11/1977</v>
      </c>
      <c r="N246" s="50">
        <f t="shared" ca="1" si="31"/>
        <v>48</v>
      </c>
      <c r="O246" s="62" t="s">
        <v>988</v>
      </c>
      <c r="P246" s="62" t="s">
        <v>2222</v>
      </c>
      <c r="Q246" s="62" t="s">
        <v>3132</v>
      </c>
      <c r="R246" s="62"/>
      <c r="S246" s="81" t="s">
        <v>2328</v>
      </c>
      <c r="T246" s="83" t="s">
        <v>2476</v>
      </c>
      <c r="U246" s="84">
        <v>46356</v>
      </c>
      <c r="X246" s="54">
        <f t="shared" si="27"/>
        <v>10</v>
      </c>
      <c r="Y246" s="54">
        <f t="shared" si="28"/>
        <v>8</v>
      </c>
      <c r="Z246" s="54" t="str">
        <f t="shared" si="29"/>
        <v>Magutuni Sub County Hospital</v>
      </c>
    </row>
    <row r="247" spans="2:26" ht="20.149999999999999" customHeight="1">
      <c r="B247" s="96" t="s">
        <v>2958</v>
      </c>
      <c r="C247" s="93" t="s">
        <v>1626</v>
      </c>
      <c r="D247" s="129" t="s">
        <v>868</v>
      </c>
      <c r="E247" s="125">
        <v>29098742</v>
      </c>
      <c r="F247" s="187" t="s">
        <v>2743</v>
      </c>
      <c r="G247" s="93" t="s">
        <v>2994</v>
      </c>
      <c r="H247" s="93" t="s">
        <v>800</v>
      </c>
      <c r="I247" s="93" t="s">
        <v>3025</v>
      </c>
      <c r="J247" s="93" t="s">
        <v>3066</v>
      </c>
      <c r="K247" s="62" t="s">
        <v>1005</v>
      </c>
      <c r="L247" s="62" t="s">
        <v>1366</v>
      </c>
      <c r="M247" s="104" t="str">
        <f t="shared" si="30"/>
        <v>12/12/1991</v>
      </c>
      <c r="N247" s="50">
        <f t="shared" ca="1" si="31"/>
        <v>34</v>
      </c>
      <c r="O247" s="62" t="s">
        <v>1188</v>
      </c>
      <c r="P247" s="62" t="s">
        <v>2745</v>
      </c>
      <c r="Q247" s="62" t="s">
        <v>1284</v>
      </c>
      <c r="R247" s="62" t="s">
        <v>1365</v>
      </c>
      <c r="S247" s="82"/>
      <c r="T247" s="90"/>
      <c r="U247" s="84"/>
      <c r="X247" s="54">
        <f t="shared" si="27"/>
        <v>10</v>
      </c>
      <c r="Y247" s="54">
        <f t="shared" si="28"/>
        <v>8</v>
      </c>
      <c r="Z247" s="54" t="str">
        <f t="shared" si="29"/>
        <v>Magutuni Sub County Hospital</v>
      </c>
    </row>
    <row r="248" spans="2:26" ht="20.149999999999999" customHeight="1">
      <c r="B248" s="96" t="s">
        <v>2959</v>
      </c>
      <c r="C248" s="93" t="s">
        <v>1626</v>
      </c>
      <c r="D248" s="129" t="s">
        <v>833</v>
      </c>
      <c r="E248" s="125">
        <v>30303410</v>
      </c>
      <c r="F248" s="187" t="s">
        <v>2744</v>
      </c>
      <c r="G248" s="93" t="s">
        <v>2994</v>
      </c>
      <c r="H248" s="93" t="s">
        <v>800</v>
      </c>
      <c r="I248" s="93" t="s">
        <v>3026</v>
      </c>
      <c r="J248" s="93" t="s">
        <v>3067</v>
      </c>
      <c r="K248" s="62" t="s">
        <v>1005</v>
      </c>
      <c r="L248" s="62" t="s">
        <v>1367</v>
      </c>
      <c r="M248" s="104" t="str">
        <f t="shared" si="30"/>
        <v>15/07/1993</v>
      </c>
      <c r="N248" s="50">
        <f t="shared" ca="1" si="31"/>
        <v>33</v>
      </c>
      <c r="O248" s="62" t="s">
        <v>1188</v>
      </c>
      <c r="P248" s="62" t="s">
        <v>2745</v>
      </c>
      <c r="Q248" s="62" t="s">
        <v>989</v>
      </c>
      <c r="R248" s="62" t="s">
        <v>1365</v>
      </c>
      <c r="S248" s="190"/>
      <c r="T248" s="113"/>
      <c r="U248" s="191"/>
      <c r="X248" s="54">
        <f t="shared" si="27"/>
        <v>10</v>
      </c>
      <c r="Y248" s="54">
        <f t="shared" si="28"/>
        <v>8</v>
      </c>
      <c r="Z248" s="54" t="str">
        <f t="shared" si="29"/>
        <v>Kibugua Health Centre</v>
      </c>
    </row>
    <row r="249" spans="2:26" ht="20.149999999999999" customHeight="1">
      <c r="B249" s="96" t="s">
        <v>2960</v>
      </c>
      <c r="C249" s="93" t="s">
        <v>1626</v>
      </c>
      <c r="D249" s="129" t="s">
        <v>2207</v>
      </c>
      <c r="E249" s="129">
        <v>32598273</v>
      </c>
      <c r="F249" s="214" t="s">
        <v>2746</v>
      </c>
      <c r="G249" s="93" t="s">
        <v>2996</v>
      </c>
      <c r="H249" s="93" t="s">
        <v>800</v>
      </c>
      <c r="I249" s="93" t="s">
        <v>3027</v>
      </c>
      <c r="J249" s="93" t="s">
        <v>3068</v>
      </c>
      <c r="K249" s="62" t="s">
        <v>1368</v>
      </c>
      <c r="L249" s="62" t="s">
        <v>1369</v>
      </c>
      <c r="M249" s="104" t="str">
        <f t="shared" si="30"/>
        <v>02/10/1995</v>
      </c>
      <c r="N249" s="50">
        <f t="shared" ca="1" si="31"/>
        <v>30</v>
      </c>
      <c r="O249" s="62" t="s">
        <v>988</v>
      </c>
      <c r="P249" s="62" t="s">
        <v>996</v>
      </c>
      <c r="Q249" s="62" t="s">
        <v>1013</v>
      </c>
      <c r="R249" s="62"/>
      <c r="S249" s="83" t="s">
        <v>2328</v>
      </c>
      <c r="T249" s="81" t="s">
        <v>2212</v>
      </c>
      <c r="U249" s="84">
        <v>46356</v>
      </c>
      <c r="X249" s="54">
        <f t="shared" si="27"/>
        <v>12</v>
      </c>
      <c r="Y249" s="54">
        <f t="shared" si="28"/>
        <v>8</v>
      </c>
      <c r="Z249" s="54" t="str">
        <f t="shared" si="29"/>
        <v>Marimanti Sub County Hospital</v>
      </c>
    </row>
    <row r="250" spans="2:26" ht="20.149999999999999" customHeight="1">
      <c r="B250" s="283" t="s">
        <v>2933</v>
      </c>
      <c r="C250" s="283" t="s">
        <v>1627</v>
      </c>
      <c r="D250" s="285" t="s">
        <v>764</v>
      </c>
      <c r="E250" s="289" t="s">
        <v>2172</v>
      </c>
      <c r="F250" s="293" t="s">
        <v>2501</v>
      </c>
      <c r="G250" s="283" t="s">
        <v>2999</v>
      </c>
      <c r="H250" s="283" t="s">
        <v>538</v>
      </c>
      <c r="I250" s="283" t="s">
        <v>1620</v>
      </c>
      <c r="J250" s="283" t="s">
        <v>3060</v>
      </c>
      <c r="K250" s="283" t="s">
        <v>1144</v>
      </c>
      <c r="L250" s="283" t="s">
        <v>1145</v>
      </c>
      <c r="M250" s="116" t="str">
        <f t="shared" si="30"/>
        <v>13/05/1981</v>
      </c>
      <c r="N250" s="283">
        <f t="shared" ca="1" si="31"/>
        <v>45</v>
      </c>
      <c r="O250" s="283" t="s">
        <v>988</v>
      </c>
      <c r="P250" s="283" t="s">
        <v>1146</v>
      </c>
      <c r="Q250" s="283" t="s">
        <v>1147</v>
      </c>
      <c r="R250" s="283" t="s">
        <v>1148</v>
      </c>
      <c r="S250" s="283"/>
      <c r="T250" s="116"/>
      <c r="U250" s="54"/>
      <c r="X250" s="54">
        <f t="shared" si="27"/>
        <v>10</v>
      </c>
      <c r="Y250" s="54">
        <f t="shared" si="28"/>
        <v>8</v>
      </c>
      <c r="Z250" s="54" t="str">
        <f t="shared" si="29"/>
        <v>Jm County Referral Hospital</v>
      </c>
    </row>
    <row r="251" spans="2:26" ht="20.149999999999999" customHeight="1">
      <c r="B251" s="108" t="s">
        <v>2935</v>
      </c>
      <c r="C251" s="108" t="s">
        <v>1627</v>
      </c>
      <c r="D251" s="170" t="s">
        <v>665</v>
      </c>
      <c r="E251" s="108">
        <v>29351565</v>
      </c>
      <c r="F251" s="108" t="s">
        <v>2550</v>
      </c>
      <c r="G251" s="108" t="s">
        <v>2992</v>
      </c>
      <c r="H251" s="108" t="s">
        <v>538</v>
      </c>
      <c r="I251" s="108" t="s">
        <v>1622</v>
      </c>
      <c r="J251" s="108" t="s">
        <v>3109</v>
      </c>
      <c r="K251" s="108" t="s">
        <v>995</v>
      </c>
      <c r="L251" s="108" t="s">
        <v>1151</v>
      </c>
      <c r="M251" s="108" t="str">
        <f t="shared" si="30"/>
        <v>07/06/1992</v>
      </c>
      <c r="N251" s="108">
        <f t="shared" ca="1" si="31"/>
        <v>34</v>
      </c>
      <c r="O251" s="108" t="s">
        <v>988</v>
      </c>
      <c r="P251" s="108" t="s">
        <v>983</v>
      </c>
      <c r="Q251" s="108" t="s">
        <v>1152</v>
      </c>
      <c r="R251" s="108"/>
      <c r="S251" s="108"/>
      <c r="T251" s="108"/>
      <c r="U251" s="84"/>
      <c r="X251" s="54">
        <f t="shared" si="27"/>
        <v>10</v>
      </c>
      <c r="Y251" s="54">
        <f t="shared" si="28"/>
        <v>8</v>
      </c>
      <c r="Z251" s="54" t="str">
        <f t="shared" si="29"/>
        <v>Old Mawingu Health Centre</v>
      </c>
    </row>
    <row r="252" spans="2:26" ht="20.149999999999999" customHeight="1">
      <c r="B252" s="185" t="s">
        <v>2963</v>
      </c>
      <c r="C252" s="185" t="s">
        <v>1626</v>
      </c>
      <c r="D252" s="195" t="s">
        <v>2790</v>
      </c>
      <c r="E252" s="185">
        <v>35536790</v>
      </c>
      <c r="F252" s="306" t="s">
        <v>2791</v>
      </c>
      <c r="G252" s="185" t="s">
        <v>2994</v>
      </c>
      <c r="H252" s="185" t="s">
        <v>800</v>
      </c>
      <c r="I252" s="185" t="s">
        <v>3027</v>
      </c>
      <c r="J252" s="127" t="s">
        <v>3068</v>
      </c>
      <c r="K252" s="127" t="s">
        <v>1060</v>
      </c>
      <c r="L252" s="127" t="s">
        <v>1373</v>
      </c>
      <c r="M252" s="54" t="str">
        <f t="shared" si="30"/>
        <v>11/09/1997</v>
      </c>
      <c r="N252" s="127">
        <f t="shared" ca="1" si="31"/>
        <v>28</v>
      </c>
      <c r="O252" s="127" t="s">
        <v>1188</v>
      </c>
      <c r="P252" s="127" t="s">
        <v>1184</v>
      </c>
      <c r="Q252" s="127" t="s">
        <v>3119</v>
      </c>
      <c r="R252" s="127"/>
      <c r="S252" s="127"/>
      <c r="T252" s="73"/>
      <c r="U252" s="54"/>
      <c r="X252" s="54">
        <f t="shared" si="27"/>
        <v>10</v>
      </c>
      <c r="Y252" s="54">
        <f t="shared" si="28"/>
        <v>8</v>
      </c>
      <c r="Z252" s="54" t="str">
        <f t="shared" si="29"/>
        <v>Marimanti Sub County Hospital</v>
      </c>
    </row>
    <row r="253" spans="2:26" ht="20.149999999999999" customHeight="1">
      <c r="B253" s="96" t="s">
        <v>2964</v>
      </c>
      <c r="C253" s="93" t="s">
        <v>1626</v>
      </c>
      <c r="D253" s="129" t="s">
        <v>872</v>
      </c>
      <c r="E253" s="125">
        <v>33213735</v>
      </c>
      <c r="F253" s="187" t="s">
        <v>2749</v>
      </c>
      <c r="G253" s="93" t="s">
        <v>2994</v>
      </c>
      <c r="H253" s="93" t="s">
        <v>800</v>
      </c>
      <c r="I253" s="93" t="s">
        <v>3026</v>
      </c>
      <c r="J253" s="93" t="s">
        <v>3111</v>
      </c>
      <c r="K253" s="62" t="s">
        <v>1005</v>
      </c>
      <c r="L253" s="62" t="s">
        <v>1375</v>
      </c>
      <c r="M253" s="104" t="str">
        <f t="shared" si="30"/>
        <v>12/11/1995</v>
      </c>
      <c r="N253" s="50">
        <f t="shared" ca="1" si="31"/>
        <v>30</v>
      </c>
      <c r="O253" s="62" t="s">
        <v>988</v>
      </c>
      <c r="P253" s="62" t="s">
        <v>2220</v>
      </c>
      <c r="Q253" s="62" t="s">
        <v>2221</v>
      </c>
      <c r="R253" s="62" t="s">
        <v>1040</v>
      </c>
      <c r="S253" s="83"/>
      <c r="T253" s="81"/>
      <c r="U253" s="84"/>
      <c r="X253" s="54">
        <f t="shared" si="27"/>
        <v>10</v>
      </c>
      <c r="Y253" s="54">
        <f t="shared" si="28"/>
        <v>8</v>
      </c>
      <c r="Z253" s="54" t="str">
        <f t="shared" si="29"/>
        <v>Mpukoni Health Centre</v>
      </c>
    </row>
    <row r="254" spans="2:26" ht="20.149999999999999" customHeight="1">
      <c r="B254" s="96" t="s">
        <v>2965</v>
      </c>
      <c r="C254" s="93" t="s">
        <v>1626</v>
      </c>
      <c r="D254" s="129" t="s">
        <v>898</v>
      </c>
      <c r="E254" s="129">
        <v>29099933</v>
      </c>
      <c r="F254" s="214" t="s">
        <v>2750</v>
      </c>
      <c r="G254" s="93" t="s">
        <v>3000</v>
      </c>
      <c r="H254" s="93" t="s">
        <v>800</v>
      </c>
      <c r="I254" s="93" t="s">
        <v>3026</v>
      </c>
      <c r="J254" s="93" t="s">
        <v>3071</v>
      </c>
      <c r="K254" s="62" t="s">
        <v>1005</v>
      </c>
      <c r="L254" s="62" t="s">
        <v>1377</v>
      </c>
      <c r="M254" s="104" t="str">
        <f t="shared" si="30"/>
        <v>14/05/1990</v>
      </c>
      <c r="N254" s="50">
        <f t="shared" ca="1" si="31"/>
        <v>36</v>
      </c>
      <c r="O254" s="62" t="s">
        <v>988</v>
      </c>
      <c r="P254" s="50" t="s">
        <v>2751</v>
      </c>
      <c r="Q254" s="50" t="s">
        <v>1284</v>
      </c>
      <c r="R254" s="50" t="s">
        <v>1365</v>
      </c>
      <c r="S254" s="62" t="s">
        <v>3292</v>
      </c>
      <c r="T254" s="62" t="s">
        <v>2217</v>
      </c>
      <c r="U254" s="193">
        <v>46387</v>
      </c>
      <c r="X254" s="54">
        <f t="shared" si="27"/>
        <v>10</v>
      </c>
      <c r="Y254" s="54">
        <f t="shared" si="28"/>
        <v>8</v>
      </c>
      <c r="Z254" s="54" t="str">
        <f t="shared" si="29"/>
        <v>Chuka County Referral Hospital</v>
      </c>
    </row>
    <row r="255" spans="2:26" ht="20.149999999999999" customHeight="1">
      <c r="B255" s="283" t="s">
        <v>2936</v>
      </c>
      <c r="C255" s="283" t="s">
        <v>1627</v>
      </c>
      <c r="D255" s="289" t="s">
        <v>743</v>
      </c>
      <c r="E255" s="283">
        <v>23208654</v>
      </c>
      <c r="F255" s="297" t="s">
        <v>2503</v>
      </c>
      <c r="G255" s="283" t="s">
        <v>2996</v>
      </c>
      <c r="H255" s="283" t="s">
        <v>538</v>
      </c>
      <c r="I255" s="283" t="s">
        <v>1623</v>
      </c>
      <c r="J255" s="283" t="s">
        <v>3103</v>
      </c>
      <c r="K255" s="283" t="s">
        <v>995</v>
      </c>
      <c r="L255" s="283" t="s">
        <v>1153</v>
      </c>
      <c r="M255" s="116" t="str">
        <f t="shared" ref="M255:M278" si="32">IF(L255="","",TEXT(DATEVALUE(SUBSTITUTE(SUBSTITUTE(SUBSTITUTE(SUBSTITUTE(SUBSTITUTE(L255,"st",""),"nd",""),"rd",""),"th",""),"TH","")),"dd/mm/yyyy"))</f>
        <v>20/06/1983</v>
      </c>
      <c r="N255" s="283">
        <f t="shared" ref="N255:N278" ca="1" si="33">IF(M255="","",DATEDIF(M255,TODAY(),"Y"))</f>
        <v>43</v>
      </c>
      <c r="O255" s="283" t="s">
        <v>988</v>
      </c>
      <c r="P255" s="283" t="s">
        <v>996</v>
      </c>
      <c r="Q255" s="283" t="s">
        <v>997</v>
      </c>
      <c r="R255" s="283"/>
      <c r="S255" s="300" t="s">
        <v>2328</v>
      </c>
      <c r="T255" s="302" t="s">
        <v>2193</v>
      </c>
      <c r="U255" s="193">
        <v>46173</v>
      </c>
      <c r="X255" s="54">
        <f t="shared" si="27"/>
        <v>10</v>
      </c>
      <c r="Y255" s="208">
        <f t="shared" si="28"/>
        <v>8</v>
      </c>
      <c r="Z255" s="54" t="str">
        <f t="shared" si="29"/>
        <v>Njabini Health Centre</v>
      </c>
    </row>
    <row r="256" spans="2:26" ht="20.149999999999999" customHeight="1">
      <c r="B256" s="106" t="s">
        <v>3302</v>
      </c>
      <c r="C256" s="106" t="s">
        <v>1627</v>
      </c>
      <c r="D256" s="117" t="s">
        <v>624</v>
      </c>
      <c r="E256" s="117" t="s">
        <v>2167</v>
      </c>
      <c r="F256" s="180" t="s">
        <v>2505</v>
      </c>
      <c r="G256" s="106" t="s">
        <v>2995</v>
      </c>
      <c r="H256" s="106" t="s">
        <v>538</v>
      </c>
      <c r="I256" s="106" t="s">
        <v>1621</v>
      </c>
      <c r="J256" s="106" t="s">
        <v>3336</v>
      </c>
      <c r="K256" s="106" t="s">
        <v>1005</v>
      </c>
      <c r="L256" s="106" t="s">
        <v>1165</v>
      </c>
      <c r="M256" s="106" t="str">
        <f t="shared" si="32"/>
        <v>20/01/1996</v>
      </c>
      <c r="N256" s="106">
        <f t="shared" ca="1" si="33"/>
        <v>30</v>
      </c>
      <c r="O256" s="106" t="s">
        <v>988</v>
      </c>
      <c r="P256" s="106" t="s">
        <v>1124</v>
      </c>
      <c r="Q256" s="106" t="s">
        <v>1013</v>
      </c>
      <c r="R256" s="106"/>
      <c r="S256" s="81" t="s">
        <v>2328</v>
      </c>
      <c r="T256" s="83" t="s">
        <v>2188</v>
      </c>
      <c r="U256" s="193">
        <v>46142</v>
      </c>
      <c r="X256" s="54">
        <f t="shared" si="27"/>
        <v>10</v>
      </c>
      <c r="Y256" s="54">
        <f t="shared" si="28"/>
        <v>8</v>
      </c>
      <c r="Z256" s="54" t="str">
        <f t="shared" si="29"/>
        <v>Lashau Fondo Health Centre</v>
      </c>
    </row>
    <row r="257" spans="1:26" ht="20.149999999999999" customHeight="1">
      <c r="B257" s="185" t="s">
        <v>2968</v>
      </c>
      <c r="C257" s="185" t="s">
        <v>1626</v>
      </c>
      <c r="D257" s="195" t="s">
        <v>841</v>
      </c>
      <c r="E257" s="185">
        <v>29916319</v>
      </c>
      <c r="F257" s="306" t="s">
        <v>2789</v>
      </c>
      <c r="G257" s="185" t="s">
        <v>2994</v>
      </c>
      <c r="H257" s="185" t="s">
        <v>800</v>
      </c>
      <c r="I257" s="185" t="s">
        <v>3028</v>
      </c>
      <c r="J257" s="127" t="s">
        <v>3112</v>
      </c>
      <c r="K257" s="127" t="s">
        <v>1005</v>
      </c>
      <c r="L257" s="127" t="s">
        <v>1385</v>
      </c>
      <c r="M257" s="54" t="str">
        <f t="shared" si="32"/>
        <v>21/08/1993</v>
      </c>
      <c r="N257" s="127">
        <f t="shared" ca="1" si="33"/>
        <v>32</v>
      </c>
      <c r="O257" s="127" t="s">
        <v>988</v>
      </c>
      <c r="P257" s="127" t="s">
        <v>2763</v>
      </c>
      <c r="Q257" s="127" t="s">
        <v>3119</v>
      </c>
      <c r="R257" s="50" t="s">
        <v>1365</v>
      </c>
      <c r="S257" s="127"/>
      <c r="T257" s="73"/>
      <c r="U257" s="54"/>
      <c r="X257" s="54">
        <f t="shared" si="27"/>
        <v>10</v>
      </c>
      <c r="Y257" s="54">
        <f t="shared" si="28"/>
        <v>8</v>
      </c>
      <c r="Z257" s="54" t="str">
        <f t="shared" si="29"/>
        <v>Mukothima Health Centre</v>
      </c>
    </row>
    <row r="258" spans="1:26" s="73" customFormat="1" ht="20.149999999999999" customHeight="1">
      <c r="A258" s="282"/>
      <c r="B258" s="224" t="s">
        <v>2969</v>
      </c>
      <c r="C258" s="154" t="s">
        <v>1626</v>
      </c>
      <c r="D258" s="308" t="s">
        <v>891</v>
      </c>
      <c r="E258" s="309">
        <v>31233470</v>
      </c>
      <c r="F258" s="310" t="s">
        <v>2755</v>
      </c>
      <c r="G258" s="154" t="s">
        <v>2998</v>
      </c>
      <c r="H258" s="154" t="s">
        <v>800</v>
      </c>
      <c r="I258" s="154" t="s">
        <v>3026</v>
      </c>
      <c r="J258" s="154" t="s">
        <v>3071</v>
      </c>
      <c r="K258" s="66" t="s">
        <v>1005</v>
      </c>
      <c r="L258" s="66" t="s">
        <v>1551</v>
      </c>
      <c r="M258" s="103" t="str">
        <f t="shared" si="32"/>
        <v>19/10/1993</v>
      </c>
      <c r="N258" s="71">
        <f t="shared" ca="1" si="33"/>
        <v>32</v>
      </c>
      <c r="O258" s="66" t="s">
        <v>988</v>
      </c>
      <c r="P258" s="71" t="s">
        <v>2756</v>
      </c>
      <c r="Q258" s="71" t="s">
        <v>1273</v>
      </c>
      <c r="R258" s="66"/>
      <c r="S258" s="66" t="s">
        <v>2329</v>
      </c>
      <c r="T258" s="71">
        <v>511301</v>
      </c>
      <c r="U258" s="311">
        <v>46265</v>
      </c>
      <c r="V258" s="163">
        <v>46065</v>
      </c>
      <c r="X258" s="54">
        <f t="shared" si="27"/>
        <v>10</v>
      </c>
      <c r="Y258" s="54">
        <f t="shared" si="28"/>
        <v>8</v>
      </c>
      <c r="Z258" s="54" t="str">
        <f t="shared" si="29"/>
        <v>Chuka County Referral Hospital</v>
      </c>
    </row>
    <row r="259" spans="1:26" ht="20.149999999999999" customHeight="1">
      <c r="B259" s="283" t="s">
        <v>2951</v>
      </c>
      <c r="C259" s="283" t="s">
        <v>1627</v>
      </c>
      <c r="D259" s="289" t="s">
        <v>653</v>
      </c>
      <c r="E259" s="283">
        <v>29101303</v>
      </c>
      <c r="F259" s="297" t="s">
        <v>2512</v>
      </c>
      <c r="G259" s="283" t="s">
        <v>2992</v>
      </c>
      <c r="H259" s="283" t="s">
        <v>538</v>
      </c>
      <c r="I259" s="283" t="s">
        <v>1620</v>
      </c>
      <c r="J259" s="283" t="s">
        <v>3060</v>
      </c>
      <c r="K259" s="283" t="s">
        <v>995</v>
      </c>
      <c r="L259" s="283" t="s">
        <v>1185</v>
      </c>
      <c r="M259" s="116" t="str">
        <f t="shared" si="32"/>
        <v>25/02/1992</v>
      </c>
      <c r="N259" s="283">
        <f t="shared" ca="1" si="33"/>
        <v>34</v>
      </c>
      <c r="O259" s="283" t="s">
        <v>988</v>
      </c>
      <c r="P259" s="283" t="s">
        <v>983</v>
      </c>
      <c r="Q259" s="283" t="s">
        <v>1125</v>
      </c>
      <c r="R259" s="283"/>
      <c r="S259" s="301" t="s">
        <v>2330</v>
      </c>
      <c r="T259" s="150" t="s">
        <v>2200</v>
      </c>
      <c r="U259" s="54"/>
      <c r="X259" s="54">
        <f t="shared" si="27"/>
        <v>10</v>
      </c>
      <c r="Y259" s="54">
        <f t="shared" si="28"/>
        <v>8</v>
      </c>
      <c r="Z259" s="54" t="str">
        <f t="shared" si="29"/>
        <v>Jm County Referral Hospital</v>
      </c>
    </row>
    <row r="260" spans="1:26" ht="20.149999999999999" customHeight="1">
      <c r="B260" s="96" t="s">
        <v>2971</v>
      </c>
      <c r="C260" s="93" t="s">
        <v>1626</v>
      </c>
      <c r="D260" s="129" t="s">
        <v>904</v>
      </c>
      <c r="E260" s="129" t="s">
        <v>2206</v>
      </c>
      <c r="F260" s="214" t="s">
        <v>2757</v>
      </c>
      <c r="G260" s="93" t="s">
        <v>2994</v>
      </c>
      <c r="H260" s="93" t="s">
        <v>800</v>
      </c>
      <c r="I260" s="93" t="s">
        <v>3027</v>
      </c>
      <c r="J260" s="93" t="s">
        <v>3073</v>
      </c>
      <c r="K260" s="62" t="s">
        <v>1063</v>
      </c>
      <c r="L260" s="62" t="s">
        <v>2758</v>
      </c>
      <c r="M260" s="104" t="str">
        <f t="shared" si="32"/>
        <v>06/04/1996</v>
      </c>
      <c r="N260" s="50">
        <f t="shared" ca="1" si="33"/>
        <v>30</v>
      </c>
      <c r="O260" s="62" t="s">
        <v>1010</v>
      </c>
      <c r="P260" s="50" t="s">
        <v>2759</v>
      </c>
      <c r="Q260" s="50" t="s">
        <v>1057</v>
      </c>
      <c r="R260" s="62" t="s">
        <v>1365</v>
      </c>
      <c r="S260" s="62"/>
      <c r="T260" s="62"/>
      <c r="U260" s="62"/>
      <c r="X260" s="54">
        <f t="shared" si="27"/>
        <v>10</v>
      </c>
      <c r="Y260" s="54">
        <f t="shared" si="28"/>
        <v>8</v>
      </c>
      <c r="Z260" s="54" t="str">
        <f t="shared" si="29"/>
        <v>Gatunga Mission Hospital</v>
      </c>
    </row>
    <row r="261" spans="1:26" ht="20.149999999999999" customHeight="1">
      <c r="B261" s="96" t="s">
        <v>2972</v>
      </c>
      <c r="C261" s="93" t="s">
        <v>1626</v>
      </c>
      <c r="D261" s="129" t="s">
        <v>2209</v>
      </c>
      <c r="E261" s="129">
        <v>33817106</v>
      </c>
      <c r="F261" s="214" t="s">
        <v>2761</v>
      </c>
      <c r="G261" s="93" t="s">
        <v>2995</v>
      </c>
      <c r="H261" s="93" t="s">
        <v>800</v>
      </c>
      <c r="I261" s="93" t="s">
        <v>3028</v>
      </c>
      <c r="J261" s="93" t="s">
        <v>3074</v>
      </c>
      <c r="K261" s="62" t="s">
        <v>1383</v>
      </c>
      <c r="L261" s="62" t="s">
        <v>1389</v>
      </c>
      <c r="M261" s="104" t="str">
        <f t="shared" si="32"/>
        <v>25/09/1997</v>
      </c>
      <c r="N261" s="50">
        <f t="shared" ca="1" si="33"/>
        <v>28</v>
      </c>
      <c r="O261" s="62" t="s">
        <v>988</v>
      </c>
      <c r="P261" s="62" t="s">
        <v>2222</v>
      </c>
      <c r="Q261" s="50" t="s">
        <v>1013</v>
      </c>
      <c r="R261" s="50"/>
      <c r="S261" s="62" t="s">
        <v>2328</v>
      </c>
      <c r="T261" s="62" t="s">
        <v>2760</v>
      </c>
      <c r="U261" s="193">
        <v>46295</v>
      </c>
      <c r="X261" s="54">
        <f t="shared" si="27"/>
        <v>10</v>
      </c>
      <c r="Y261" s="54">
        <f t="shared" si="28"/>
        <v>8</v>
      </c>
      <c r="Z261" s="54" t="str">
        <f t="shared" si="29"/>
        <v>Gatunga Model Health Centre</v>
      </c>
    </row>
    <row r="262" spans="1:26" ht="20.149999999999999" customHeight="1">
      <c r="B262" s="108" t="s">
        <v>2953</v>
      </c>
      <c r="C262" s="108" t="s">
        <v>1627</v>
      </c>
      <c r="D262" s="170" t="s">
        <v>729</v>
      </c>
      <c r="E262" s="108">
        <v>271649</v>
      </c>
      <c r="F262" s="247" t="s">
        <v>2561</v>
      </c>
      <c r="G262" s="108" t="s">
        <v>2994</v>
      </c>
      <c r="H262" s="108" t="s">
        <v>538</v>
      </c>
      <c r="I262" s="108" t="s">
        <v>1620</v>
      </c>
      <c r="J262" s="108" t="s">
        <v>3060</v>
      </c>
      <c r="K262" s="108" t="s">
        <v>995</v>
      </c>
      <c r="L262" s="197" t="s">
        <v>2562</v>
      </c>
      <c r="M262" s="108" t="str">
        <f t="shared" si="32"/>
        <v>01/01/1987</v>
      </c>
      <c r="N262" s="108">
        <f t="shared" ca="1" si="33"/>
        <v>39</v>
      </c>
      <c r="O262" s="108" t="s">
        <v>1188</v>
      </c>
      <c r="P262" s="108" t="s">
        <v>1002</v>
      </c>
      <c r="Q262" s="108" t="s">
        <v>1048</v>
      </c>
      <c r="R262" s="201" t="s">
        <v>1049</v>
      </c>
      <c r="S262" s="108"/>
      <c r="T262" s="108"/>
      <c r="U262" s="193"/>
      <c r="X262" s="54">
        <f t="shared" si="27"/>
        <v>10</v>
      </c>
      <c r="Y262" s="54">
        <f t="shared" si="28"/>
        <v>6</v>
      </c>
      <c r="Z262" s="54" t="str">
        <f t="shared" si="29"/>
        <v>Jm County Referral Hospital</v>
      </c>
    </row>
    <row r="263" spans="1:26" ht="20.149999999999999" customHeight="1">
      <c r="B263" s="96" t="s">
        <v>2974</v>
      </c>
      <c r="C263" s="93" t="s">
        <v>1626</v>
      </c>
      <c r="D263" s="129" t="s">
        <v>844</v>
      </c>
      <c r="E263" s="125">
        <v>35338409</v>
      </c>
      <c r="F263" s="187" t="s">
        <v>2764</v>
      </c>
      <c r="G263" s="93" t="s">
        <v>2994</v>
      </c>
      <c r="H263" s="93" t="s">
        <v>800</v>
      </c>
      <c r="I263" s="93" t="s">
        <v>3025</v>
      </c>
      <c r="J263" s="93" t="s">
        <v>3075</v>
      </c>
      <c r="K263" s="62" t="s">
        <v>1005</v>
      </c>
      <c r="L263" s="62" t="s">
        <v>1391</v>
      </c>
      <c r="M263" s="104" t="str">
        <f t="shared" si="32"/>
        <v>21/11/1994</v>
      </c>
      <c r="N263" s="50">
        <f t="shared" ca="1" si="33"/>
        <v>31</v>
      </c>
      <c r="O263" s="62" t="s">
        <v>988</v>
      </c>
      <c r="P263" s="50" t="s">
        <v>2763</v>
      </c>
      <c r="Q263" s="50" t="s">
        <v>3119</v>
      </c>
      <c r="R263" s="62" t="s">
        <v>1365</v>
      </c>
      <c r="S263" s="62"/>
      <c r="T263" s="62"/>
      <c r="U263" s="62"/>
      <c r="X263" s="54">
        <f t="shared" si="27"/>
        <v>10</v>
      </c>
      <c r="Y263" s="54">
        <f t="shared" si="28"/>
        <v>8</v>
      </c>
      <c r="Z263" s="54" t="str">
        <f t="shared" si="29"/>
        <v>Muthambi Health Centre</v>
      </c>
    </row>
    <row r="264" spans="1:26" ht="20.149999999999999" customHeight="1">
      <c r="B264" s="96" t="s">
        <v>2975</v>
      </c>
      <c r="C264" s="93" t="s">
        <v>1626</v>
      </c>
      <c r="D264" s="129" t="s">
        <v>887</v>
      </c>
      <c r="E264" s="125">
        <v>29751163</v>
      </c>
      <c r="F264" s="187" t="s">
        <v>2765</v>
      </c>
      <c r="G264" s="93" t="s">
        <v>2994</v>
      </c>
      <c r="H264" s="93" t="s">
        <v>800</v>
      </c>
      <c r="I264" s="93" t="s">
        <v>3026</v>
      </c>
      <c r="J264" s="93" t="s">
        <v>3337</v>
      </c>
      <c r="K264" s="62" t="s">
        <v>1005</v>
      </c>
      <c r="L264" s="62" t="s">
        <v>1392</v>
      </c>
      <c r="M264" s="104" t="str">
        <f t="shared" si="32"/>
        <v>12/08/1991</v>
      </c>
      <c r="N264" s="50">
        <f t="shared" ca="1" si="33"/>
        <v>34</v>
      </c>
      <c r="O264" s="62" t="s">
        <v>988</v>
      </c>
      <c r="P264" s="62" t="s">
        <v>1282</v>
      </c>
      <c r="Q264" s="62" t="s">
        <v>3119</v>
      </c>
      <c r="R264" s="62" t="s">
        <v>1365</v>
      </c>
      <c r="S264" s="62"/>
      <c r="T264" s="62"/>
      <c r="U264" s="62"/>
      <c r="X264" s="54">
        <f t="shared" ref="X264:X280" si="34">LEN(D264)</f>
        <v>10</v>
      </c>
      <c r="Y264" s="54">
        <f t="shared" ref="Y264:Y280" si="35">LEN(E264)</f>
        <v>8</v>
      </c>
      <c r="Z264" s="54" t="str">
        <f t="shared" ref="Z264:Z283" si="36">PROPER(J264)</f>
        <v>Kambandi Dispensary</v>
      </c>
    </row>
    <row r="265" spans="1:26" ht="20.149999999999999" customHeight="1">
      <c r="B265" s="185" t="s">
        <v>2976</v>
      </c>
      <c r="C265" s="185" t="s">
        <v>1626</v>
      </c>
      <c r="D265" s="128" t="s">
        <v>880</v>
      </c>
      <c r="E265" s="128" t="s">
        <v>2795</v>
      </c>
      <c r="F265" s="215" t="s">
        <v>2796</v>
      </c>
      <c r="G265" s="185" t="s">
        <v>2994</v>
      </c>
      <c r="H265" s="185" t="s">
        <v>800</v>
      </c>
      <c r="I265" s="185" t="s">
        <v>3025</v>
      </c>
      <c r="J265" s="127" t="s">
        <v>3076</v>
      </c>
      <c r="K265" s="127" t="s">
        <v>1005</v>
      </c>
      <c r="L265" s="127" t="s">
        <v>1393</v>
      </c>
      <c r="M265" s="54" t="str">
        <f t="shared" si="32"/>
        <v>28/07/1994</v>
      </c>
      <c r="N265" s="127">
        <f t="shared" ca="1" si="33"/>
        <v>32</v>
      </c>
      <c r="O265" s="127" t="s">
        <v>988</v>
      </c>
      <c r="P265" s="127" t="s">
        <v>1282</v>
      </c>
      <c r="Q265" s="127" t="s">
        <v>989</v>
      </c>
      <c r="R265" s="127"/>
      <c r="S265" s="127"/>
      <c r="T265" s="73"/>
      <c r="U265" s="54"/>
      <c r="X265" s="54">
        <f t="shared" si="34"/>
        <v>10</v>
      </c>
      <c r="Y265" s="54">
        <f t="shared" si="35"/>
        <v>8</v>
      </c>
      <c r="Z265" s="54" t="str">
        <f t="shared" si="36"/>
        <v>Kiamachairu Health Centre</v>
      </c>
    </row>
    <row r="266" spans="1:26" ht="20.149999999999999" customHeight="1">
      <c r="B266" s="106" t="s">
        <v>2954</v>
      </c>
      <c r="C266" s="106" t="s">
        <v>1627</v>
      </c>
      <c r="D266" s="119" t="s">
        <v>733</v>
      </c>
      <c r="E266" s="106">
        <v>28478409</v>
      </c>
      <c r="F266" s="182" t="s">
        <v>2513</v>
      </c>
      <c r="G266" s="106" t="s">
        <v>2995</v>
      </c>
      <c r="H266" s="106" t="s">
        <v>538</v>
      </c>
      <c r="I266" s="106" t="s">
        <v>1620</v>
      </c>
      <c r="J266" s="106" t="s">
        <v>3060</v>
      </c>
      <c r="K266" s="106" t="s">
        <v>1039</v>
      </c>
      <c r="L266" s="106" t="s">
        <v>1190</v>
      </c>
      <c r="M266" s="106" t="str">
        <f t="shared" si="32"/>
        <v>01/07/1991</v>
      </c>
      <c r="N266" s="106">
        <f t="shared" ca="1" si="33"/>
        <v>35</v>
      </c>
      <c r="O266" s="106" t="s">
        <v>988</v>
      </c>
      <c r="P266" s="106" t="s">
        <v>996</v>
      </c>
      <c r="Q266" s="106" t="s">
        <v>1125</v>
      </c>
      <c r="R266" s="106" t="s">
        <v>1049</v>
      </c>
      <c r="S266" s="81" t="s">
        <v>2328</v>
      </c>
      <c r="T266" s="83" t="s">
        <v>2190</v>
      </c>
      <c r="U266" s="193">
        <v>46326</v>
      </c>
      <c r="X266" s="54">
        <f t="shared" si="34"/>
        <v>10</v>
      </c>
      <c r="Y266" s="54">
        <f t="shared" si="35"/>
        <v>8</v>
      </c>
      <c r="Z266" s="54" t="str">
        <f t="shared" si="36"/>
        <v>Jm County Referral Hospital</v>
      </c>
    </row>
    <row r="267" spans="1:26" ht="20.149999999999999" customHeight="1">
      <c r="B267" s="108" t="s">
        <v>2961</v>
      </c>
      <c r="C267" s="108" t="s">
        <v>1627</v>
      </c>
      <c r="D267" s="108"/>
      <c r="E267" s="108"/>
      <c r="F267" s="108"/>
      <c r="G267" s="108" t="s">
        <v>2994</v>
      </c>
      <c r="H267" s="108" t="s">
        <v>800</v>
      </c>
      <c r="I267" s="108" t="s">
        <v>3026</v>
      </c>
      <c r="J267" s="71" t="s">
        <v>3069</v>
      </c>
      <c r="K267" s="71" t="s">
        <v>1005</v>
      </c>
      <c r="L267" s="71" t="s">
        <v>1370</v>
      </c>
      <c r="M267" s="103" t="str">
        <f t="shared" si="32"/>
        <v>10/09/1998</v>
      </c>
      <c r="N267" s="71">
        <f t="shared" ca="1" si="33"/>
        <v>27</v>
      </c>
      <c r="O267" s="71" t="s">
        <v>988</v>
      </c>
      <c r="P267" s="71" t="s">
        <v>1239</v>
      </c>
      <c r="Q267" s="71" t="s">
        <v>1371</v>
      </c>
      <c r="R267" s="71"/>
      <c r="S267" s="71"/>
      <c r="T267" s="71"/>
      <c r="U267" s="84">
        <v>46265</v>
      </c>
      <c r="X267" s="54">
        <f t="shared" si="34"/>
        <v>0</v>
      </c>
      <c r="Y267" s="54">
        <f t="shared" si="35"/>
        <v>0</v>
      </c>
      <c r="Z267" s="54" t="str">
        <f t="shared" si="36"/>
        <v>Chuka Cottage Hospital</v>
      </c>
    </row>
    <row r="268" spans="1:26" ht="20.149999999999999" customHeight="1">
      <c r="B268" s="96" t="s">
        <v>2979</v>
      </c>
      <c r="C268" s="93" t="s">
        <v>1626</v>
      </c>
      <c r="D268" s="129" t="s">
        <v>2210</v>
      </c>
      <c r="E268" s="129">
        <v>34191470</v>
      </c>
      <c r="F268" s="214" t="s">
        <v>2770</v>
      </c>
      <c r="G268" s="93" t="s">
        <v>2996</v>
      </c>
      <c r="H268" s="93" t="s">
        <v>800</v>
      </c>
      <c r="I268" s="93" t="s">
        <v>3029</v>
      </c>
      <c r="J268" s="93" t="s">
        <v>3077</v>
      </c>
      <c r="K268" s="62" t="s">
        <v>1398</v>
      </c>
      <c r="L268" s="62" t="s">
        <v>1389</v>
      </c>
      <c r="M268" s="104" t="str">
        <f t="shared" si="32"/>
        <v>25/09/1997</v>
      </c>
      <c r="N268" s="50">
        <f t="shared" ca="1" si="33"/>
        <v>28</v>
      </c>
      <c r="O268" s="62" t="s">
        <v>988</v>
      </c>
      <c r="P268" s="62" t="s">
        <v>2222</v>
      </c>
      <c r="Q268" s="62" t="s">
        <v>1399</v>
      </c>
      <c r="R268" s="62"/>
      <c r="S268" s="83" t="s">
        <v>2328</v>
      </c>
      <c r="T268" s="83" t="s">
        <v>3301</v>
      </c>
      <c r="U268" s="84">
        <v>46446</v>
      </c>
      <c r="X268" s="54">
        <f t="shared" si="34"/>
        <v>10</v>
      </c>
      <c r="Y268" s="54">
        <f t="shared" si="35"/>
        <v>8</v>
      </c>
      <c r="Z268" s="54" t="str">
        <f t="shared" si="36"/>
        <v>Kajuki Health Centre</v>
      </c>
    </row>
    <row r="269" spans="1:26" ht="20.149999999999999" customHeight="1">
      <c r="B269" s="96" t="s">
        <v>2980</v>
      </c>
      <c r="C269" s="93" t="s">
        <v>1626</v>
      </c>
      <c r="D269" s="129" t="s">
        <v>852</v>
      </c>
      <c r="E269" s="125">
        <v>13873960</v>
      </c>
      <c r="F269" s="187" t="s">
        <v>2771</v>
      </c>
      <c r="G269" s="93" t="s">
        <v>2994</v>
      </c>
      <c r="H269" s="93" t="s">
        <v>800</v>
      </c>
      <c r="I269" s="93" t="s">
        <v>3026</v>
      </c>
      <c r="J269" s="93" t="s">
        <v>3071</v>
      </c>
      <c r="K269" s="62" t="s">
        <v>1005</v>
      </c>
      <c r="L269" s="62" t="s">
        <v>1400</v>
      </c>
      <c r="M269" s="104" t="str">
        <f t="shared" si="32"/>
        <v>18/03/1977</v>
      </c>
      <c r="N269" s="50">
        <f t="shared" ca="1" si="33"/>
        <v>49</v>
      </c>
      <c r="O269" s="62" t="s">
        <v>988</v>
      </c>
      <c r="P269" s="50" t="s">
        <v>1078</v>
      </c>
      <c r="Q269" s="50" t="s">
        <v>2772</v>
      </c>
      <c r="R269" s="50" t="s">
        <v>1365</v>
      </c>
      <c r="S269" s="62"/>
      <c r="T269" s="62"/>
      <c r="U269" s="62"/>
      <c r="X269" s="54">
        <f t="shared" si="34"/>
        <v>10</v>
      </c>
      <c r="Y269" s="54">
        <f t="shared" si="35"/>
        <v>8</v>
      </c>
      <c r="Z269" s="54" t="str">
        <f t="shared" si="36"/>
        <v>Chuka County Referral Hospital</v>
      </c>
    </row>
    <row r="270" spans="1:26" ht="20.149999999999999" customHeight="1">
      <c r="B270" s="185" t="s">
        <v>2981</v>
      </c>
      <c r="C270" s="185" t="s">
        <v>1626</v>
      </c>
      <c r="D270" s="145" t="s">
        <v>837</v>
      </c>
      <c r="E270" s="116">
        <v>33005732</v>
      </c>
      <c r="F270" s="211" t="s">
        <v>2797</v>
      </c>
      <c r="G270" s="185" t="s">
        <v>2994</v>
      </c>
      <c r="H270" s="185" t="s">
        <v>800</v>
      </c>
      <c r="I270" s="185" t="s">
        <v>3025</v>
      </c>
      <c r="J270" s="127" t="s">
        <v>3078</v>
      </c>
      <c r="K270" s="127" t="s">
        <v>1396</v>
      </c>
      <c r="L270" s="127" t="s">
        <v>1402</v>
      </c>
      <c r="M270" s="54" t="str">
        <f t="shared" si="32"/>
        <v>15/05/1996</v>
      </c>
      <c r="N270" s="127">
        <f t="shared" ca="1" si="33"/>
        <v>30</v>
      </c>
      <c r="O270" s="127" t="s">
        <v>988</v>
      </c>
      <c r="P270" s="127" t="s">
        <v>1239</v>
      </c>
      <c r="Q270" s="127" t="s">
        <v>3119</v>
      </c>
      <c r="R270" s="50" t="s">
        <v>1365</v>
      </c>
      <c r="S270" s="127"/>
      <c r="T270" s="73"/>
      <c r="U270" s="54"/>
      <c r="X270" s="54">
        <f t="shared" si="34"/>
        <v>10</v>
      </c>
      <c r="Y270" s="54">
        <f t="shared" si="35"/>
        <v>8</v>
      </c>
      <c r="Z270" s="54" t="str">
        <f t="shared" si="36"/>
        <v>Baragu Health Centre</v>
      </c>
    </row>
    <row r="271" spans="1:26" ht="20.149999999999999" customHeight="1">
      <c r="B271" s="96" t="s">
        <v>2982</v>
      </c>
      <c r="C271" s="93" t="s">
        <v>1626</v>
      </c>
      <c r="D271" s="129" t="s">
        <v>856</v>
      </c>
      <c r="E271" s="125">
        <v>32835526</v>
      </c>
      <c r="F271" s="187" t="s">
        <v>2773</v>
      </c>
      <c r="G271" s="93" t="s">
        <v>2994</v>
      </c>
      <c r="H271" s="93" t="s">
        <v>800</v>
      </c>
      <c r="I271" s="93" t="s">
        <v>3029</v>
      </c>
      <c r="J271" s="93" t="s">
        <v>3077</v>
      </c>
      <c r="K271" s="62" t="s">
        <v>1005</v>
      </c>
      <c r="L271" s="62" t="s">
        <v>1403</v>
      </c>
      <c r="M271" s="104" t="str">
        <f t="shared" si="32"/>
        <v>02/07/1996</v>
      </c>
      <c r="N271" s="50">
        <f t="shared" ca="1" si="33"/>
        <v>30</v>
      </c>
      <c r="O271" s="62" t="s">
        <v>988</v>
      </c>
      <c r="P271" s="62" t="s">
        <v>1038</v>
      </c>
      <c r="Q271" s="62" t="s">
        <v>1057</v>
      </c>
      <c r="R271" s="50" t="s">
        <v>2774</v>
      </c>
      <c r="S271" s="83"/>
      <c r="T271" s="81"/>
      <c r="U271" s="84"/>
      <c r="X271" s="54">
        <f t="shared" si="34"/>
        <v>10</v>
      </c>
      <c r="Y271" s="54">
        <f t="shared" si="35"/>
        <v>8</v>
      </c>
      <c r="Z271" s="54" t="str">
        <f t="shared" si="36"/>
        <v>Kajuki Health Centre</v>
      </c>
    </row>
    <row r="272" spans="1:26" ht="20.149999999999999" customHeight="1">
      <c r="B272" s="96" t="s">
        <v>2983</v>
      </c>
      <c r="C272" s="93" t="s">
        <v>1626</v>
      </c>
      <c r="D272" s="129" t="s">
        <v>883</v>
      </c>
      <c r="E272" s="125">
        <v>36220843</v>
      </c>
      <c r="F272" s="187" t="s">
        <v>2787</v>
      </c>
      <c r="G272" s="93" t="s">
        <v>2994</v>
      </c>
      <c r="H272" s="93" t="s">
        <v>800</v>
      </c>
      <c r="I272" s="93" t="s">
        <v>3027</v>
      </c>
      <c r="J272" s="93" t="s">
        <v>3079</v>
      </c>
      <c r="K272" s="62" t="s">
        <v>1005</v>
      </c>
      <c r="L272" s="62" t="s">
        <v>1404</v>
      </c>
      <c r="M272" s="104" t="str">
        <f t="shared" si="32"/>
        <v>10/07/1998</v>
      </c>
      <c r="N272" s="50">
        <f t="shared" ca="1" si="33"/>
        <v>28</v>
      </c>
      <c r="O272" s="62" t="s">
        <v>988</v>
      </c>
      <c r="P272" s="50" t="s">
        <v>2763</v>
      </c>
      <c r="Q272" s="62"/>
      <c r="R272" s="50" t="s">
        <v>2774</v>
      </c>
      <c r="S272" s="81"/>
      <c r="T272" s="83"/>
      <c r="U272" s="84"/>
      <c r="X272" s="54">
        <f t="shared" si="34"/>
        <v>10</v>
      </c>
      <c r="Y272" s="54">
        <f t="shared" si="35"/>
        <v>8</v>
      </c>
      <c r="Z272" s="54" t="str">
        <f t="shared" si="36"/>
        <v>Kibunga Sub District Hospital</v>
      </c>
    </row>
    <row r="273" spans="1:26" ht="20.149999999999999" customHeight="1">
      <c r="B273" s="96" t="s">
        <v>2984</v>
      </c>
      <c r="C273" s="93" t="s">
        <v>1626</v>
      </c>
      <c r="D273" s="129" t="s">
        <v>3093</v>
      </c>
      <c r="E273" s="129">
        <v>27300674</v>
      </c>
      <c r="F273" s="214" t="s">
        <v>2775</v>
      </c>
      <c r="G273" s="93" t="s">
        <v>2995</v>
      </c>
      <c r="H273" s="93" t="s">
        <v>800</v>
      </c>
      <c r="I273" s="93" t="s">
        <v>3026</v>
      </c>
      <c r="J273" s="93" t="s">
        <v>3338</v>
      </c>
      <c r="K273" s="62" t="s">
        <v>1383</v>
      </c>
      <c r="L273" s="62" t="s">
        <v>1405</v>
      </c>
      <c r="M273" s="104" t="str">
        <f t="shared" si="32"/>
        <v>03/10/1988</v>
      </c>
      <c r="N273" s="50">
        <f t="shared" ca="1" si="33"/>
        <v>37</v>
      </c>
      <c r="O273" s="62" t="s">
        <v>988</v>
      </c>
      <c r="P273" s="61" t="s">
        <v>1522</v>
      </c>
      <c r="Q273" s="62" t="s">
        <v>989</v>
      </c>
      <c r="R273" s="62" t="s">
        <v>2777</v>
      </c>
      <c r="S273" s="81" t="s">
        <v>2328</v>
      </c>
      <c r="T273" s="83" t="s">
        <v>2214</v>
      </c>
      <c r="U273" s="84">
        <v>46173</v>
      </c>
      <c r="X273" s="54">
        <f t="shared" si="34"/>
        <v>10</v>
      </c>
      <c r="Y273" s="54">
        <f t="shared" si="35"/>
        <v>8</v>
      </c>
      <c r="Z273" s="54" t="str">
        <f t="shared" si="36"/>
        <v>Mumbuni Dispensary</v>
      </c>
    </row>
    <row r="274" spans="1:26" ht="20.149999999999999" customHeight="1">
      <c r="B274" s="185" t="s">
        <v>2985</v>
      </c>
      <c r="C274" s="185" t="s">
        <v>1626</v>
      </c>
      <c r="D274" s="128" t="s">
        <v>860</v>
      </c>
      <c r="E274" s="128" t="s">
        <v>2798</v>
      </c>
      <c r="F274" s="215" t="s">
        <v>2799</v>
      </c>
      <c r="G274" s="185" t="s">
        <v>2994</v>
      </c>
      <c r="H274" s="185" t="s">
        <v>800</v>
      </c>
      <c r="I274" s="185" t="s">
        <v>3026</v>
      </c>
      <c r="J274" s="127" t="s">
        <v>3140</v>
      </c>
      <c r="K274" s="127" t="s">
        <v>1005</v>
      </c>
      <c r="L274" s="127" t="s">
        <v>1408</v>
      </c>
      <c r="M274" s="54" t="str">
        <f t="shared" si="32"/>
        <v>23/11/1988</v>
      </c>
      <c r="N274" s="127">
        <f t="shared" ca="1" si="33"/>
        <v>37</v>
      </c>
      <c r="O274" s="127" t="s">
        <v>1010</v>
      </c>
      <c r="P274" s="127" t="s">
        <v>1409</v>
      </c>
      <c r="Q274" s="127" t="s">
        <v>1410</v>
      </c>
      <c r="R274" s="127" t="s">
        <v>1411</v>
      </c>
      <c r="S274" s="127"/>
      <c r="T274" s="73"/>
      <c r="U274" s="54"/>
      <c r="X274" s="54">
        <f t="shared" si="34"/>
        <v>10</v>
      </c>
      <c r="Y274" s="54">
        <f t="shared" si="35"/>
        <v>8</v>
      </c>
      <c r="Z274" s="54" t="str">
        <f t="shared" si="36"/>
        <v>Mukuuni Dispensaryensary</v>
      </c>
    </row>
    <row r="275" spans="1:26" ht="20.149999999999999" customHeight="1">
      <c r="B275" s="108" t="s">
        <v>2966</v>
      </c>
      <c r="C275" s="108" t="s">
        <v>1627</v>
      </c>
      <c r="D275" s="288" t="s">
        <v>895</v>
      </c>
      <c r="E275" s="292">
        <v>9096761</v>
      </c>
      <c r="F275" s="296" t="s">
        <v>2792</v>
      </c>
      <c r="G275" s="108" t="s">
        <v>2994</v>
      </c>
      <c r="H275" s="108" t="s">
        <v>800</v>
      </c>
      <c r="I275" s="108" t="s">
        <v>3026</v>
      </c>
      <c r="J275" s="71" t="s">
        <v>3071</v>
      </c>
      <c r="K275" s="71" t="s">
        <v>1005</v>
      </c>
      <c r="L275" s="71" t="s">
        <v>1380</v>
      </c>
      <c r="M275" s="103" t="str">
        <f t="shared" si="32"/>
        <v>15/06/1968</v>
      </c>
      <c r="N275" s="71">
        <f t="shared" ca="1" si="33"/>
        <v>58</v>
      </c>
      <c r="O275" s="71" t="s">
        <v>988</v>
      </c>
      <c r="P275" s="71" t="s">
        <v>1381</v>
      </c>
      <c r="Q275" s="71" t="s">
        <v>1382</v>
      </c>
      <c r="R275" s="71"/>
      <c r="S275" s="71"/>
      <c r="T275" s="71"/>
      <c r="U275" s="84"/>
      <c r="X275" s="54">
        <f t="shared" si="34"/>
        <v>10</v>
      </c>
      <c r="Y275" s="54">
        <f t="shared" si="35"/>
        <v>7</v>
      </c>
      <c r="Z275" s="54" t="str">
        <f t="shared" si="36"/>
        <v>Chuka County Referral Hospital</v>
      </c>
    </row>
    <row r="276" spans="1:26" ht="20.149999999999999" customHeight="1">
      <c r="B276" s="96" t="s">
        <v>2987</v>
      </c>
      <c r="C276" s="93" t="s">
        <v>1626</v>
      </c>
      <c r="D276" s="129" t="s">
        <v>825</v>
      </c>
      <c r="E276" s="125">
        <v>33888325</v>
      </c>
      <c r="F276" s="187" t="s">
        <v>2781</v>
      </c>
      <c r="G276" s="93" t="s">
        <v>2992</v>
      </c>
      <c r="H276" s="93" t="s">
        <v>800</v>
      </c>
      <c r="I276" s="93" t="s">
        <v>3029</v>
      </c>
      <c r="J276" s="93" t="s">
        <v>3077</v>
      </c>
      <c r="K276" s="62" t="s">
        <v>1005</v>
      </c>
      <c r="L276" s="62" t="s">
        <v>1413</v>
      </c>
      <c r="M276" s="104" t="str">
        <f t="shared" si="32"/>
        <v>16/05/1997</v>
      </c>
      <c r="N276" s="50">
        <f t="shared" ca="1" si="33"/>
        <v>29</v>
      </c>
      <c r="O276" s="62" t="s">
        <v>988</v>
      </c>
      <c r="P276" s="62" t="s">
        <v>1247</v>
      </c>
      <c r="Q276" s="62" t="s">
        <v>1057</v>
      </c>
      <c r="R276" s="62"/>
      <c r="S276" s="113" t="s">
        <v>2330</v>
      </c>
      <c r="T276" s="81" t="s">
        <v>3152</v>
      </c>
      <c r="U276" s="84">
        <v>46360</v>
      </c>
      <c r="X276" s="54">
        <f t="shared" si="34"/>
        <v>10</v>
      </c>
      <c r="Y276" s="54">
        <f t="shared" si="35"/>
        <v>8</v>
      </c>
      <c r="Z276" s="54" t="str">
        <f t="shared" si="36"/>
        <v>Kajuki Health Centre</v>
      </c>
    </row>
    <row r="277" spans="1:26" ht="20.149999999999999" customHeight="1">
      <c r="B277" s="185" t="s">
        <v>2988</v>
      </c>
      <c r="C277" s="185" t="s">
        <v>1626</v>
      </c>
      <c r="D277" s="128" t="s">
        <v>876</v>
      </c>
      <c r="E277" s="128" t="s">
        <v>2800</v>
      </c>
      <c r="F277" s="215" t="s">
        <v>2801</v>
      </c>
      <c r="G277" s="185" t="s">
        <v>2994</v>
      </c>
      <c r="H277" s="185" t="s">
        <v>800</v>
      </c>
      <c r="I277" s="185" t="s">
        <v>3026</v>
      </c>
      <c r="J277" s="127" t="s">
        <v>3071</v>
      </c>
      <c r="K277" s="127" t="s">
        <v>1005</v>
      </c>
      <c r="L277" s="127" t="s">
        <v>1415</v>
      </c>
      <c r="M277" s="54" t="str">
        <f t="shared" si="32"/>
        <v>12/10/1976</v>
      </c>
      <c r="N277" s="127">
        <f t="shared" ca="1" si="33"/>
        <v>49</v>
      </c>
      <c r="O277" s="127" t="s">
        <v>988</v>
      </c>
      <c r="P277" s="127" t="s">
        <v>1002</v>
      </c>
      <c r="Q277" s="127" t="s">
        <v>1416</v>
      </c>
      <c r="R277" s="127"/>
      <c r="S277" s="127"/>
      <c r="T277" s="73"/>
      <c r="U277" s="54"/>
      <c r="X277" s="54">
        <f t="shared" si="34"/>
        <v>10</v>
      </c>
      <c r="Y277" s="54">
        <f t="shared" si="35"/>
        <v>8</v>
      </c>
      <c r="Z277" s="54" t="str">
        <f t="shared" si="36"/>
        <v>Chuka County Referral Hospital</v>
      </c>
    </row>
    <row r="278" spans="1:26" ht="20.149999999999999" customHeight="1">
      <c r="B278" s="108" t="s">
        <v>2970</v>
      </c>
      <c r="C278" s="108" t="s">
        <v>1627</v>
      </c>
      <c r="D278" s="170" t="s">
        <v>813</v>
      </c>
      <c r="E278" s="108">
        <v>31039309</v>
      </c>
      <c r="F278" s="172" t="s">
        <v>2793</v>
      </c>
      <c r="G278" s="108" t="s">
        <v>2992</v>
      </c>
      <c r="H278" s="108" t="s">
        <v>800</v>
      </c>
      <c r="I278" s="108" t="s">
        <v>3027</v>
      </c>
      <c r="J278" s="71" t="s">
        <v>3068</v>
      </c>
      <c r="K278" s="71" t="s">
        <v>1386</v>
      </c>
      <c r="L278" s="71" t="s">
        <v>1387</v>
      </c>
      <c r="M278" s="103" t="str">
        <f t="shared" si="32"/>
        <v>09/04/1993</v>
      </c>
      <c r="N278" s="71">
        <f t="shared" ca="1" si="33"/>
        <v>33</v>
      </c>
      <c r="O278" s="71" t="s">
        <v>988</v>
      </c>
      <c r="P278" s="71" t="s">
        <v>2794</v>
      </c>
      <c r="Q278" s="71" t="s">
        <v>989</v>
      </c>
      <c r="R278" s="71"/>
      <c r="S278" s="71"/>
      <c r="T278" s="71"/>
      <c r="U278" s="84">
        <v>46350</v>
      </c>
      <c r="X278" s="54">
        <f t="shared" si="34"/>
        <v>10</v>
      </c>
      <c r="Y278" s="54">
        <f t="shared" si="35"/>
        <v>8</v>
      </c>
      <c r="Z278" s="54" t="str">
        <f t="shared" si="36"/>
        <v>Marimanti Sub County Hospital</v>
      </c>
    </row>
    <row r="279" spans="1:26" ht="20.149999999999999" customHeight="1">
      <c r="B279" s="96" t="s">
        <v>2990</v>
      </c>
      <c r="C279" s="93" t="s">
        <v>1626</v>
      </c>
      <c r="D279" s="129" t="s">
        <v>821</v>
      </c>
      <c r="E279" s="125">
        <v>29291063</v>
      </c>
      <c r="F279" s="187" t="s">
        <v>2784</v>
      </c>
      <c r="G279" s="93" t="s">
        <v>2992</v>
      </c>
      <c r="H279" s="93" t="s">
        <v>800</v>
      </c>
      <c r="I279" s="93" t="s">
        <v>3026</v>
      </c>
      <c r="J279" s="93" t="s">
        <v>3071</v>
      </c>
      <c r="K279" s="62" t="s">
        <v>1005</v>
      </c>
      <c r="L279" s="62" t="s">
        <v>1417</v>
      </c>
      <c r="M279" s="104" t="str">
        <f t="shared" ref="M279:M280" si="37">IF(L279="","",TEXT(DATEVALUE(SUBSTITUTE(SUBSTITUTE(SUBSTITUTE(SUBSTITUTE(SUBSTITUTE(L279,"st",""),"nd",""),"rd",""),"th",""),"TH","")),"dd/mm/yyyy"))</f>
        <v>30/07/1990</v>
      </c>
      <c r="N279" s="50">
        <f t="shared" ref="N279:N280" ca="1" si="38">IF(M279="","",DATEDIF(M279,TODAY(),"Y"))</f>
        <v>35</v>
      </c>
      <c r="O279" s="62" t="s">
        <v>988</v>
      </c>
      <c r="P279" s="62" t="s">
        <v>1388</v>
      </c>
      <c r="Q279" s="62" t="s">
        <v>2785</v>
      </c>
      <c r="R279" s="62" t="s">
        <v>2786</v>
      </c>
      <c r="S279" s="81" t="s">
        <v>2330</v>
      </c>
      <c r="T279" s="81" t="s">
        <v>3161</v>
      </c>
      <c r="U279" s="112">
        <v>46360</v>
      </c>
      <c r="X279" s="54">
        <f t="shared" si="34"/>
        <v>10</v>
      </c>
      <c r="Y279" s="54">
        <f t="shared" si="35"/>
        <v>8</v>
      </c>
      <c r="Z279" s="54" t="str">
        <f t="shared" si="36"/>
        <v>Chuka County Referral Hospital</v>
      </c>
    </row>
    <row r="280" spans="1:26" ht="20.149999999999999" customHeight="1">
      <c r="B280" s="96" t="s">
        <v>2991</v>
      </c>
      <c r="C280" s="93" t="s">
        <v>1626</v>
      </c>
      <c r="D280" s="129" t="s">
        <v>503</v>
      </c>
      <c r="E280" s="129">
        <v>36298023</v>
      </c>
      <c r="F280" s="214" t="s">
        <v>2788</v>
      </c>
      <c r="G280" s="93" t="s">
        <v>2992</v>
      </c>
      <c r="H280" s="93" t="s">
        <v>800</v>
      </c>
      <c r="I280" s="93" t="s">
        <v>3027</v>
      </c>
      <c r="J280" s="93" t="s">
        <v>3068</v>
      </c>
      <c r="K280" s="62" t="s">
        <v>1619</v>
      </c>
      <c r="L280" s="62" t="s">
        <v>1618</v>
      </c>
      <c r="M280" s="104" t="str">
        <f t="shared" si="37"/>
        <v>30/11/1998</v>
      </c>
      <c r="N280" s="50">
        <f t="shared" ca="1" si="38"/>
        <v>27</v>
      </c>
      <c r="O280" s="62" t="s">
        <v>988</v>
      </c>
      <c r="P280" s="62" t="s">
        <v>1388</v>
      </c>
      <c r="Q280" s="62" t="s">
        <v>1131</v>
      </c>
      <c r="R280" s="62" t="s">
        <v>2783</v>
      </c>
      <c r="S280" s="81" t="s">
        <v>2330</v>
      </c>
      <c r="T280" s="81" t="s">
        <v>2216</v>
      </c>
      <c r="U280" s="84">
        <v>46123</v>
      </c>
      <c r="X280" s="54">
        <f t="shared" si="34"/>
        <v>10</v>
      </c>
      <c r="Y280" s="54">
        <f t="shared" si="35"/>
        <v>8</v>
      </c>
      <c r="Z280" s="54" t="str">
        <f t="shared" si="36"/>
        <v>Marimanti Sub County Hospital</v>
      </c>
    </row>
    <row r="281" spans="1:26" s="221" customFormat="1" ht="20.149999999999999" customHeight="1">
      <c r="A281" s="312"/>
      <c r="B281" s="283" t="s">
        <v>2864</v>
      </c>
      <c r="C281" s="283" t="s">
        <v>1626</v>
      </c>
      <c r="D281" s="128" t="s">
        <v>2720</v>
      </c>
      <c r="E281" s="321" t="s">
        <v>3325</v>
      </c>
      <c r="F281" s="192" t="s">
        <v>2721</v>
      </c>
      <c r="G281" s="106" t="s">
        <v>3171</v>
      </c>
      <c r="H281" s="283" t="s">
        <v>166</v>
      </c>
      <c r="I281" s="283" t="s">
        <v>3023</v>
      </c>
      <c r="J281" s="313" t="s">
        <v>3127</v>
      </c>
      <c r="K281" s="320">
        <v>46125</v>
      </c>
      <c r="L281" s="313" t="s">
        <v>1440</v>
      </c>
      <c r="M281" s="126"/>
      <c r="N281" s="313"/>
      <c r="O281" s="313" t="s">
        <v>998</v>
      </c>
      <c r="P281" s="50" t="s">
        <v>1441</v>
      </c>
      <c r="Q281" s="313" t="s">
        <v>1068</v>
      </c>
      <c r="R281" s="313"/>
      <c r="S281" s="313"/>
      <c r="U281" s="126"/>
      <c r="X281" s="126"/>
      <c r="Y281" s="126"/>
      <c r="Z281" s="126" t="str">
        <f t="shared" si="36"/>
        <v>Mikinduri Sub County Hospital</v>
      </c>
    </row>
    <row r="282" spans="1:26" s="221" customFormat="1" ht="20.149999999999999" customHeight="1">
      <c r="A282" s="312"/>
      <c r="B282" s="106" t="s">
        <v>3309</v>
      </c>
      <c r="C282" s="106" t="s">
        <v>1626</v>
      </c>
      <c r="D282" s="118" t="s">
        <v>3323</v>
      </c>
      <c r="E282" s="64">
        <v>32796732</v>
      </c>
      <c r="F282" s="322" t="s">
        <v>3324</v>
      </c>
      <c r="G282" s="106" t="s">
        <v>2998</v>
      </c>
      <c r="H282" s="106" t="s">
        <v>166</v>
      </c>
      <c r="I282" s="106" t="s">
        <v>3018</v>
      </c>
      <c r="J282" s="219" t="s">
        <v>3053</v>
      </c>
      <c r="K282" s="303">
        <v>46133</v>
      </c>
      <c r="L282" s="219" t="s">
        <v>3318</v>
      </c>
      <c r="M282" s="104"/>
      <c r="N282" s="219"/>
      <c r="O282" s="219" t="s">
        <v>988</v>
      </c>
      <c r="P282" s="219" t="s">
        <v>2121</v>
      </c>
      <c r="Q282" s="219" t="s">
        <v>1316</v>
      </c>
      <c r="R282" s="219"/>
      <c r="S282" s="219" t="s">
        <v>2329</v>
      </c>
      <c r="T282" s="219">
        <v>51</v>
      </c>
      <c r="U282" s="84">
        <v>46295</v>
      </c>
      <c r="X282" s="126"/>
      <c r="Y282" s="126"/>
      <c r="Z282" s="126" t="str">
        <f t="shared" si="36"/>
        <v xml:space="preserve">St. John Of God </v>
      </c>
    </row>
    <row r="283" spans="1:26" ht="20.149999999999999" customHeight="1">
      <c r="B283" s="96" t="s">
        <v>3310</v>
      </c>
      <c r="C283" s="93" t="s">
        <v>1627</v>
      </c>
      <c r="D283" s="129" t="s">
        <v>3311</v>
      </c>
      <c r="E283" s="125" t="s">
        <v>3312</v>
      </c>
      <c r="F283" s="187" t="s">
        <v>3313</v>
      </c>
      <c r="G283" s="93" t="s">
        <v>2998</v>
      </c>
      <c r="H283" s="93" t="s">
        <v>800</v>
      </c>
      <c r="I283" s="93" t="s">
        <v>3026</v>
      </c>
      <c r="J283" s="93" t="s">
        <v>3071</v>
      </c>
      <c r="K283" s="62" t="s">
        <v>3314</v>
      </c>
      <c r="L283" s="62" t="s">
        <v>3315</v>
      </c>
      <c r="M283" s="104"/>
      <c r="N283" s="50"/>
      <c r="O283" s="62" t="s">
        <v>988</v>
      </c>
      <c r="P283" s="62" t="s">
        <v>3316</v>
      </c>
      <c r="Q283" s="62" t="s">
        <v>3317</v>
      </c>
      <c r="R283" s="62"/>
      <c r="S283" s="81"/>
      <c r="T283" s="81"/>
      <c r="U283" s="112"/>
      <c r="X283" s="54"/>
      <c r="Y283" s="54"/>
      <c r="Z283" s="54" t="str">
        <f t="shared" si="36"/>
        <v>Chuka County Referral Hospital</v>
      </c>
    </row>
  </sheetData>
  <autoFilter ref="A2:T283" xr:uid="{00000000-0001-0000-0100-000000000000}">
    <sortState xmlns:xlrd2="http://schemas.microsoft.com/office/spreadsheetml/2017/richdata2" ref="A4:T278">
      <sortCondition sortBy="fontColor" ref="B2:B280" dxfId="15"/>
    </sortState>
  </autoFilter>
  <mergeCells count="1">
    <mergeCell ref="B1:G1"/>
  </mergeCells>
  <dataValidations count="1">
    <dataValidation type="date" allowBlank="1" showInputMessage="1" showErrorMessage="1" error="Enter correct date format" promptTitle="Date" prompt="Enter date as (dd/mm/yyyy)" sqref="U3 U17 U20:U21 U24 U26:U30 U34:U35 U39 U267:U268 U48:U50 U46 U79:U81 U83:U88 U131:U134 U149:U155 U96:U99 U101 U103 U105:U106 U109:U111 U114 U54 U92:U94 U42:U44 U136 U142 U147 U178:U183 U213:U218 U234 U237:U238 U240:U243 U174 U190 U192 U194 U226 U224 U230 U246:U249 U275:U276 U278:U280 U251 U253 U271:U273 U120:U121" xr:uid="{DB605DB6-16F6-405B-A63B-CC19DECD4DAE}">
      <formula1>45292</formula1>
      <formula2>47848</formula2>
    </dataValidation>
  </dataValidations>
  <hyperlinks>
    <hyperlink ref="F22" r:id="rId1" xr:uid="{30ED2293-DC1C-4B93-A980-DA0CEC22F8CF}"/>
    <hyperlink ref="F135" r:id="rId2" xr:uid="{FA92ADBC-3D26-4BB4-A9E3-E80092274302}"/>
    <hyperlink ref="F23" r:id="rId3" xr:uid="{6C9D412A-C07B-4E09-A18E-3111E64D3ADB}"/>
    <hyperlink ref="F24" r:id="rId4" xr:uid="{569BC6A3-01CA-4A01-A3E1-0EB2970BD8DA}"/>
    <hyperlink ref="F25" r:id="rId5" xr:uid="{A62FF8CD-3C42-4DAF-A01F-3B578A91694F}"/>
    <hyperlink ref="F136" r:id="rId6" xr:uid="{C551B58D-A1A4-44D0-9AEB-D9BA55EAD2A5}"/>
    <hyperlink ref="F29" r:id="rId7" xr:uid="{392B5BE7-CA1E-42D3-9038-DEF5DFC123D1}"/>
    <hyperlink ref="F30" r:id="rId8" xr:uid="{0AFBB5D6-EB73-4BC7-A286-696D6E0AEB1E}"/>
    <hyperlink ref="F31" r:id="rId9" xr:uid="{110D05B0-2ED3-47B6-8719-1AA45B0DBAFD}"/>
    <hyperlink ref="F138" r:id="rId10" xr:uid="{6DE25DBF-B171-46E5-A228-FDF8AED971B9}"/>
    <hyperlink ref="F141" r:id="rId11" xr:uid="{54A6C9E9-53FB-4277-8A0E-FDEA96E6BD18}"/>
    <hyperlink ref="F142" r:id="rId12" xr:uid="{9E376CAF-7AA2-4683-9F7A-E57F98268AE2}"/>
    <hyperlink ref="F40" r:id="rId13" xr:uid="{1C922A84-7BF0-45BC-9F7E-CAE66CB668B7}"/>
    <hyperlink ref="F45" r:id="rId14" xr:uid="{6AFA353F-DA6F-420F-B81D-9426F57B33F4}"/>
    <hyperlink ref="F47" r:id="rId15" xr:uid="{D67311B0-565B-4C40-AFEE-24DD911F1DE5}"/>
    <hyperlink ref="F48" r:id="rId16" xr:uid="{4209E0EA-BA62-45BB-A4CA-19AF71B8D82C}"/>
    <hyperlink ref="F27" r:id="rId17" xr:uid="{04516B10-D28D-4E01-BAB0-12B2FD72667B}"/>
    <hyperlink ref="F36" r:id="rId18" xr:uid="{68243A18-95E8-4DD5-ABED-D9AE9795E9DD}"/>
    <hyperlink ref="F38" r:id="rId19" xr:uid="{226FD09F-6B6C-4AC0-BFD3-3093C03185C2}"/>
    <hyperlink ref="F41" r:id="rId20" xr:uid="{43136BC2-BCD4-4942-BF4A-3317EDA504AE}"/>
    <hyperlink ref="F154" r:id="rId21" xr:uid="{80A969D8-5522-4200-9680-BA3323BF8BC5}"/>
    <hyperlink ref="F44" r:id="rId22" xr:uid="{D08F38DD-86F8-4F79-BCEB-4813F7406692}"/>
    <hyperlink ref="F46" r:id="rId23" xr:uid="{CA359F1C-D126-439E-BCC9-CA93178464F3}"/>
    <hyperlink ref="F51" r:id="rId24" xr:uid="{0752B947-2330-4E3D-AD9B-40F0D7D2070C}"/>
    <hyperlink ref="F35" r:id="rId25" xr:uid="{264F8216-18A0-4D4E-99EA-4A1895D63CF5}"/>
    <hyperlink ref="F20" r:id="rId26" xr:uid="{1BE3FD26-9075-418C-83A2-BFB96CF15AF0}"/>
    <hyperlink ref="F132" r:id="rId27" xr:uid="{A4E6732D-B10D-46F0-9794-6444B9408AE8}"/>
    <hyperlink ref="F14" r:id="rId28" xr:uid="{C4661FDA-32B3-4328-AD35-40AA11486DC0}"/>
    <hyperlink ref="F115" r:id="rId29" xr:uid="{6902F41E-5E15-4B8F-8CF0-70279630A031}"/>
    <hyperlink ref="F116" r:id="rId30" xr:uid="{E5F51D89-D8ED-4B2D-8152-22DBDDA988AA}"/>
    <hyperlink ref="F13" r:id="rId31" xr:uid="{2A3F8A6B-0143-4DB9-9FC8-04E55793E37C}"/>
    <hyperlink ref="F137" r:id="rId32" xr:uid="{EE4A1218-CDAA-4BBE-B7AB-52DC479C3762}"/>
    <hyperlink ref="F37" r:id="rId33" xr:uid="{8AB47DFB-5EED-4976-84AE-7255775B225B}"/>
    <hyperlink ref="F152" r:id="rId34" xr:uid="{503CAA0D-B320-484B-8A5B-DC50D4BCF3C9}"/>
    <hyperlink ref="F6" r:id="rId35" xr:uid="{1EBE5CED-B9F8-4507-B7F3-E21CAC7E2CDD}"/>
    <hyperlink ref="F15" r:id="rId36" xr:uid="{D6E84207-18D1-4541-9683-A690967A4BCC}"/>
    <hyperlink ref="F5" r:id="rId37" xr:uid="{509C9D43-F421-4A40-BCBD-2B939BE64DBD}"/>
    <hyperlink ref="F8" r:id="rId38" xr:uid="{E5F79B33-1CED-4FDC-9A28-BA0D0EE8860F}"/>
    <hyperlink ref="F9" r:id="rId39" xr:uid="{08F58C0B-C371-4D02-896B-BCCA40581868}"/>
    <hyperlink ref="F125" r:id="rId40" xr:uid="{6C4294E4-F557-4A72-969F-01359CC34FDD}"/>
    <hyperlink ref="F126" r:id="rId41" xr:uid="{FFDADD9D-C9D4-4508-BEC5-ED2476C8309B}"/>
    <hyperlink ref="F127" r:id="rId42" xr:uid="{7BEFB67A-A70F-41E1-853D-09EA604B8E3B}"/>
    <hyperlink ref="F17" r:id="rId43" xr:uid="{69FCFB08-8369-42D5-BCEA-D172B943A67A}"/>
    <hyperlink ref="F19" r:id="rId44" display="pharesgladyskananu@gmail.com&gt;" xr:uid="{7A8AE4A2-06A7-468F-9A19-F1202572E18A}"/>
    <hyperlink ref="F157" r:id="rId45" xr:uid="{278A7055-8FDB-4497-BAF0-736773140233}"/>
    <hyperlink ref="F79" r:id="rId46" display="dorothyntinyari@gmail.com" xr:uid="{89803A5A-6A70-4C29-93EF-916A5F941628}"/>
    <hyperlink ref="F80" r:id="rId47" xr:uid="{FF2055E2-D1CB-4722-9E81-F3C1465D77CE}"/>
    <hyperlink ref="F26" r:id="rId48" xr:uid="{394245CA-B3AD-40A6-9B36-B59DCB23DD1D}"/>
    <hyperlink ref="F73" r:id="rId49" xr:uid="{902B9E4A-0478-4036-AC84-1A0649E159CC}"/>
    <hyperlink ref="F28" r:id="rId50" xr:uid="{AC4DF2F8-4EEF-483B-8BBB-2F4E924F29C1}"/>
    <hyperlink ref="F85" r:id="rId51" xr:uid="{7853BA26-7361-4ADF-B20B-B02F42B58251}"/>
    <hyperlink ref="F87" r:id="rId52" xr:uid="{86D6240B-ED07-4B38-B258-D9E001C4DDF3}"/>
    <hyperlink ref="F89" r:id="rId53" xr:uid="{808595E2-9044-4ECF-A73D-944AB7E59432}"/>
    <hyperlink ref="F90" r:id="rId54" xr:uid="{F6549830-C65F-4AB8-9988-B23EE9876F2A}"/>
    <hyperlink ref="F91" r:id="rId55" xr:uid="{092BF71D-3164-4BD7-88B7-6E373069F6B2}"/>
    <hyperlink ref="F92" r:id="rId56" xr:uid="{C71C0874-A08D-4436-84AF-0F41FF3CAC0C}"/>
    <hyperlink ref="F94" r:id="rId57" xr:uid="{8D195F1D-380A-455D-A3C8-FB2EC2AB26D3}"/>
    <hyperlink ref="F173" r:id="rId58" xr:uid="{043EA3F4-B29D-4311-BD51-BB8DEB89449A}"/>
    <hyperlink ref="F97" r:id="rId59" xr:uid="{034F480B-E75D-4A21-86E0-71572070176D}"/>
    <hyperlink ref="F98" r:id="rId60" xr:uid="{16925C08-4B0E-40F3-B257-5E8E928FEDFE}"/>
    <hyperlink ref="F101" r:id="rId61" xr:uid="{2979A46F-A1AE-4D8B-94C7-B897595B8149}"/>
    <hyperlink ref="F104" r:id="rId62" xr:uid="{0BA4FD78-FC6A-4938-89D0-0EA6E8190D4E}"/>
    <hyperlink ref="F106" r:id="rId63" xr:uid="{9B2A0533-7049-4ED0-A458-CA399EEFF837}"/>
    <hyperlink ref="F84" r:id="rId64" xr:uid="{6C80FF96-4921-4E85-A7D5-29CB762C4D8C}"/>
    <hyperlink ref="F109" r:id="rId65" xr:uid="{617388B5-3B65-4952-9C85-E101CEE3BDDE}"/>
    <hyperlink ref="F111" r:id="rId66" xr:uid="{4B089E2B-E802-4428-923C-A7DAD3DE41AC}"/>
    <hyperlink ref="F113" r:id="rId67" xr:uid="{E9D62E09-CCC9-43CC-9C09-3B04D6401AD4}"/>
    <hyperlink ref="F33" r:id="rId68" xr:uid="{E5596F74-3470-454B-9EAE-AC418C0C98D8}"/>
    <hyperlink ref="F32" r:id="rId69" xr:uid="{09322124-9BCE-4631-95EA-7EFD40423DE8}"/>
    <hyperlink ref="F117" r:id="rId70" xr:uid="{05985644-C01F-4856-B9FA-D546ECA1640D}"/>
    <hyperlink ref="F118" r:id="rId71" xr:uid="{97F55EC5-1E11-49C3-94D2-BAD177ED03B2}"/>
    <hyperlink ref="F119" r:id="rId72" xr:uid="{B4A61D9E-6C50-4640-95B1-2A1910DFB004}"/>
    <hyperlink ref="F120" r:id="rId73" xr:uid="{3ACD53B0-5A79-4887-9822-1423FA27E72D}"/>
    <hyperlink ref="F121" r:id="rId74" xr:uid="{02B54640-3F13-438B-9C7B-546981BFE6BC}"/>
    <hyperlink ref="F123" r:id="rId75" xr:uid="{2246245E-53D7-4377-BFFC-8A682FAD6325}"/>
    <hyperlink ref="F124" r:id="rId76" xr:uid="{56DA80FA-9700-4A1D-9BDE-CFF216351ABD}"/>
    <hyperlink ref="F39" r:id="rId77" xr:uid="{983B488E-2A92-4A70-A696-21A4EB66E4E9}"/>
    <hyperlink ref="F128" r:id="rId78" xr:uid="{6E52B913-6E9F-4597-AC95-C1A61A4E023F}"/>
    <hyperlink ref="F43" r:id="rId79" xr:uid="{4251D97B-E8ED-492D-AE54-E528E03842D1}"/>
    <hyperlink ref="F130" r:id="rId80" xr:uid="{5B7B7C39-8D84-4B32-BEFB-E0B61D95620F}"/>
    <hyperlink ref="F34" r:id="rId81" xr:uid="{88DDE59E-4631-4FC1-816A-D22A99385BBC}"/>
    <hyperlink ref="F49" r:id="rId82" xr:uid="{B7125DC6-7166-477D-90A1-91AE94DB6B40}"/>
    <hyperlink ref="F134" r:id="rId83" xr:uid="{CC9C2A9C-188B-4059-BDBB-48DC03D6FB0F}"/>
    <hyperlink ref="F42" r:id="rId84" xr:uid="{82B82F00-3245-4E21-8797-A796B8DFBCE5}"/>
    <hyperlink ref="F54" r:id="rId85" xr:uid="{0BF361F8-72B9-4B2D-A134-3027184F8008}"/>
    <hyperlink ref="F55" r:id="rId86" xr:uid="{FB55FA34-4E43-40F3-94FC-50E9DF883358}"/>
    <hyperlink ref="F131" r:id="rId87" xr:uid="{7F3A18D0-0D6A-41C9-A82E-7C16B74FDE91}"/>
    <hyperlink ref="F139" r:id="rId88" xr:uid="{4E3509BD-48F9-442D-A906-FAE0C04D8198}"/>
    <hyperlink ref="F140" r:id="rId89" xr:uid="{F1A27508-B023-4D0E-8DA0-57C03F421A03}"/>
    <hyperlink ref="F63" r:id="rId90" xr:uid="{45F6739C-4ED8-4770-BA10-A5DB63AC21D0}"/>
    <hyperlink ref="F52" r:id="rId91" xr:uid="{286D7C62-F396-4112-A79C-70E5075BCF25}"/>
    <hyperlink ref="F143" r:id="rId92" xr:uid="{24D363EB-3A7A-4B78-BA74-E5154A60FEA0}"/>
    <hyperlink ref="F145" r:id="rId93" xr:uid="{529AC7A2-841E-4278-91A4-3FF32D482BB3}"/>
    <hyperlink ref="F146" r:id="rId94" xr:uid="{9A91791A-EF55-4C42-9077-2FCA69710F32}"/>
    <hyperlink ref="F99" r:id="rId95" xr:uid="{171A29CD-48EA-4EC9-8874-2D63395196CA}"/>
    <hyperlink ref="F147" r:id="rId96" xr:uid="{A4EC002C-3B2C-416C-ADAF-A0947BA02768}"/>
    <hyperlink ref="F148" r:id="rId97" xr:uid="{A8984C40-0EDF-40A4-9F99-CE13A4459309}"/>
    <hyperlink ref="F149" r:id="rId98" xr:uid="{75E5EB6C-F14C-4020-89F1-0EE109449D78}"/>
    <hyperlink ref="F150" r:id="rId99" xr:uid="{1FCF9B6E-3595-447B-91E3-4D21F77E8A91}"/>
    <hyperlink ref="F151" r:id="rId100" xr:uid="{1B03E977-61A3-4976-96FA-642FE8214067}"/>
    <hyperlink ref="F57" r:id="rId101" xr:uid="{626D3E88-2E43-4910-9885-7F5BACB4FCA3}"/>
    <hyperlink ref="F153" r:id="rId102" xr:uid="{01AE539C-925E-49FE-B310-8AC6AE92D580}"/>
    <hyperlink ref="F159" r:id="rId103" xr:uid="{AADBC71C-4CB2-48A4-AA29-1972ED81C23B}"/>
    <hyperlink ref="F70" r:id="rId104" xr:uid="{EF743322-4ABA-4075-B40F-E4DAC6D0DFF6}"/>
    <hyperlink ref="F69" r:id="rId105" xr:uid="{6E85EA2E-1A9F-4690-BDEE-A67D67A9D25D}"/>
    <hyperlink ref="F155" r:id="rId106" xr:uid="{22591B1C-4A24-4018-A45B-C8405C35060B}"/>
    <hyperlink ref="F4" r:id="rId107" xr:uid="{A4599813-802F-44D0-A8F5-FE7FEC111EE2}"/>
    <hyperlink ref="F53" r:id="rId108" xr:uid="{E07136B0-B5C0-4DD5-BBCD-80E8CB47191F}"/>
    <hyperlink ref="F10" r:id="rId109" xr:uid="{DBEAE2DA-E992-4BFC-9706-C39B59FC992E}"/>
    <hyperlink ref="F11" r:id="rId110" xr:uid="{8259C06C-5C2E-4D59-B2F6-EFBD7A0E9FD2}"/>
    <hyperlink ref="F59" r:id="rId111" xr:uid="{1A0E97B1-2F46-480D-92EB-A1D9C6733E46}"/>
    <hyperlink ref="F60" r:id="rId112" xr:uid="{3B8418E6-C49E-471E-98C3-628875432F6E}"/>
    <hyperlink ref="F58" r:id="rId113" xr:uid="{E4FB3A8D-AD21-4EC3-9359-64F834043A45}"/>
    <hyperlink ref="F61" r:id="rId114" xr:uid="{F023751B-9196-4F6E-8131-B159A3076144}"/>
    <hyperlink ref="F12" r:id="rId115" xr:uid="{228A7251-1EA9-4D06-8F47-4002D01A0599}"/>
    <hyperlink ref="F66" r:id="rId116" xr:uid="{D24A6208-89D8-4022-9495-817D75F2F83C}"/>
    <hyperlink ref="F67" r:id="rId117" xr:uid="{EE0BA7A4-A618-4E27-87B0-780EF16FE935}"/>
    <hyperlink ref="F68" r:id="rId118" xr:uid="{046EF1DA-18F5-406F-B74F-0F816A0319BE}"/>
    <hyperlink ref="F64" r:id="rId119" xr:uid="{6F50DA7F-CD7B-47C5-8728-D1906F6E9A84}"/>
    <hyperlink ref="F16" r:id="rId120" xr:uid="{A4748AED-1D86-4753-958C-2E1CFAC72351}"/>
    <hyperlink ref="F18" r:id="rId121" xr:uid="{B93B1BC6-8AD3-4AF8-A89A-47F5D1B2BD35}"/>
    <hyperlink ref="F21" r:id="rId122" xr:uid="{1F57A3C3-CC46-49B9-8619-A3C49D69F11F}"/>
    <hyperlink ref="F75" r:id="rId123" xr:uid="{B3C9F6D7-DAEF-4C75-8EB9-BF3ABE6904F0}"/>
    <hyperlink ref="F76" r:id="rId124" display="kagendodoreen271@gmail.com" xr:uid="{A3B8482B-B902-48AC-8E44-C7B0966EE639}"/>
    <hyperlink ref="F77" r:id="rId125" xr:uid="{735E38F5-1C36-41D1-A494-BE6BAC45913F}"/>
    <hyperlink ref="F78" r:id="rId126" xr:uid="{E79C9235-B8EB-4895-B08D-0A257F9FCDFD}"/>
    <hyperlink ref="F82" r:id="rId127" xr:uid="{4976F1BD-B572-4FBB-9A45-E050AE20F124}"/>
    <hyperlink ref="F181" r:id="rId128" xr:uid="{B2BCA512-A0E2-4956-8EB9-8D560857E617}"/>
    <hyperlink ref="F56" r:id="rId129" xr:uid="{DED10F6B-D3DA-472E-A8CB-07A4532E7321}"/>
    <hyperlink ref="F170" r:id="rId130" xr:uid="{7C6AB3EA-CBFF-4042-9BFA-56B114FE45A3}"/>
    <hyperlink ref="F62" r:id="rId131" xr:uid="{7EE345BB-6190-4AFC-BEA7-CCD5FC8FDCC4}"/>
    <hyperlink ref="F160" r:id="rId132" xr:uid="{F074D0BA-C108-4E76-A9CB-ED58B1F8FB58}"/>
    <hyperlink ref="F161" r:id="rId133" xr:uid="{2E5AACE9-8AA8-4872-9D60-C52C9095E679}"/>
    <hyperlink ref="F83" r:id="rId134" xr:uid="{6D9F2739-604E-4CE3-AE19-E8A5A76D3A63}"/>
    <hyperlink ref="F96" r:id="rId135" xr:uid="{F279A54D-2E59-495E-A55F-FD9174E252C3}"/>
    <hyperlink ref="F88" r:id="rId136" xr:uid="{4A92179B-0C46-43B3-9506-CA3609300384}"/>
    <hyperlink ref="F100" r:id="rId137" xr:uid="{77AD89F0-4859-4DC6-B709-4AEC1AD67412}"/>
    <hyperlink ref="F102" r:id="rId138" xr:uid="{6A763FD7-CF26-4FFF-903A-2C3181FB9CC3}"/>
    <hyperlink ref="F169" r:id="rId139" xr:uid="{48E1C4E3-8B5B-4952-9B9F-352795229E53}"/>
    <hyperlink ref="F105" r:id="rId140" xr:uid="{F58B6A8B-BE97-4A24-BCDB-69418CA8BDA1}"/>
    <hyperlink ref="F108" r:id="rId141" xr:uid="{FFA7DEA3-5810-4DDF-98A9-6C6C4963E1AC}"/>
    <hyperlink ref="F110" r:id="rId142" xr:uid="{33B2D8AB-B77B-4F9E-9A6A-8A2DA8697DAD}"/>
    <hyperlink ref="F112" r:id="rId143" xr:uid="{58C6E3D3-260B-471B-B497-3BDA8C65AEB7}"/>
    <hyperlink ref="F114" r:id="rId144" xr:uid="{8995DC7A-669D-45FE-9112-97D63DF362AE}"/>
    <hyperlink ref="F65" r:id="rId145" xr:uid="{24755464-9510-46FC-A1A4-E29D9C4E9227}"/>
    <hyperlink ref="F158" r:id="rId146" xr:uid="{300D5A39-C21C-43EC-B4A7-3FAF0E517539}"/>
    <hyperlink ref="F129" r:id="rId147" xr:uid="{E14CF806-FCFB-4FBF-9636-D3A329EC7F5F}"/>
    <hyperlink ref="F144" r:id="rId148" xr:uid="{B45E21C9-4102-4EB5-AC3F-F8566C16A7E8}"/>
    <hyperlink ref="F122" r:id="rId149" xr:uid="{3BCFB1BE-EEF2-4BA2-81EB-65AC874669D4}"/>
    <hyperlink ref="F178" r:id="rId150" xr:uid="{89CF4B16-BCED-4FA6-8B5F-B06EDECD68B5}"/>
    <hyperlink ref="F189" r:id="rId151" xr:uid="{59BE1BA6-2F84-475E-9AC9-40DE9D69073D}"/>
    <hyperlink ref="F164" r:id="rId152" xr:uid="{F31451E9-F542-4D14-B61A-ECEF6969A476}"/>
    <hyperlink ref="F163" r:id="rId153" xr:uid="{4DED8676-4B99-43E2-BAD8-7D86976B0C0F}"/>
    <hyperlink ref="F165" r:id="rId154" xr:uid="{127C98AA-9DB9-4842-A2E8-0A556D157A87}"/>
    <hyperlink ref="F172" r:id="rId155" xr:uid="{81D9F23A-9E7A-4269-92F1-8FDE2D084ECE}"/>
    <hyperlink ref="F199" r:id="rId156" xr:uid="{A6964D88-ED3E-45DF-8C8E-6DD6C9892211}"/>
    <hyperlink ref="F175" r:id="rId157" xr:uid="{0B378AEE-B1E8-4906-8FC9-5C12FE3F6262}"/>
    <hyperlink ref="F176" r:id="rId158" xr:uid="{EEE5A315-EB9E-4C6E-BDC5-87310127A88F}"/>
    <hyperlink ref="F210" r:id="rId159" xr:uid="{84D174B8-84D6-4F97-8935-3A1DECA83A50}"/>
    <hyperlink ref="F220" r:id="rId160" xr:uid="{7185B360-B5B7-4A35-9B3B-CFBAE88C8D8F}"/>
    <hyperlink ref="F184" r:id="rId161" xr:uid="{0F507E38-E371-492F-B4B4-DAED4E3004B0}"/>
    <hyperlink ref="F183" r:id="rId162" xr:uid="{400D793C-4E64-472D-8C31-F2EAEECB4B95}"/>
    <hyperlink ref="F185" r:id="rId163" xr:uid="{B43A03F7-5498-4A4B-83C9-418FD5253D1A}"/>
    <hyperlink ref="F195" r:id="rId164" xr:uid="{A3560F7D-C402-431A-9269-6B585F0CCFBF}"/>
    <hyperlink ref="F222" r:id="rId165" xr:uid="{08271582-3394-4802-A0C8-9EC774FD0FCE}"/>
    <hyperlink ref="F193" r:id="rId166" xr:uid="{0AD19B75-9490-469E-B6B1-D32F09C033C9}"/>
    <hyperlink ref="F194" r:id="rId167" xr:uid="{5C545365-DBFA-4933-9BCC-B5ADC0435EBD}"/>
    <hyperlink ref="F203" r:id="rId168" xr:uid="{AE32237E-0ACA-454C-8709-00CA888B584F}"/>
    <hyperlink ref="F206" r:id="rId169" xr:uid="{A7CFC0E8-33C2-4EE4-BF5A-6A5D6F33599E}"/>
    <hyperlink ref="F204" r:id="rId170" xr:uid="{51E86EE7-3B9C-4957-92A4-0174284AA33D}"/>
    <hyperlink ref="F208" r:id="rId171" xr:uid="{49E58D4B-ECFA-4340-9BB6-BD42218C79DD}"/>
    <hyperlink ref="F209" r:id="rId172" xr:uid="{C0FB54A2-19D6-46D2-9104-DE3004E762C3}"/>
    <hyperlink ref="F241" r:id="rId173" xr:uid="{725FE4F4-AE95-4608-8F02-0F46BD43DB1E}"/>
    <hyperlink ref="F242" r:id="rId174" xr:uid="{B03CEB4D-2A0A-4561-9D54-32DD439A1876}"/>
    <hyperlink ref="F212" r:id="rId175" xr:uid="{678A3E38-C08F-4A1D-9EF4-E97CBAA67554}"/>
    <hyperlink ref="F213" r:id="rId176" xr:uid="{95EC41FB-AAE1-4850-8458-0FC3A9344FD1}"/>
    <hyperlink ref="F215" r:id="rId177" xr:uid="{C0FD0A1A-5C81-466B-933B-D6A8B5A3E94D}"/>
    <hyperlink ref="F216" r:id="rId178" xr:uid="{43F20418-1661-4A9F-B16F-5713A3A221FD}"/>
    <hyperlink ref="F219" r:id="rId179" xr:uid="{E671A03A-1664-43A3-8A35-9FF786B8951A}"/>
    <hyperlink ref="F218" r:id="rId180" xr:uid="{0F36AC32-E2D2-4062-9F65-819556457A84}"/>
    <hyperlink ref="F250" r:id="rId181" xr:uid="{B4537B2C-97EA-4CA0-B1E8-82A111599FCE}"/>
    <hyperlink ref="F221" r:id="rId182" xr:uid="{EB1BE284-A7CD-4794-A3D4-99E7B7CED7DF}"/>
    <hyperlink ref="F255" r:id="rId183" xr:uid="{23453F75-5318-4E70-9D00-267D8D88FE15}"/>
    <hyperlink ref="F226" r:id="rId184" xr:uid="{E3BA036C-58BA-4C17-B322-02B6D915E589}"/>
    <hyperlink ref="F256" r:id="rId185" xr:uid="{364A66E0-CA4C-43F3-8B44-B82A5C96F7D3}"/>
    <hyperlink ref="F234" r:id="rId186" xr:uid="{723B247F-7C9D-4513-85CB-CEE378A47066}"/>
    <hyperlink ref="F235" r:id="rId187" xr:uid="{08155214-9F8D-4FC6-B501-507F80ADA143}"/>
    <hyperlink ref="F238" r:id="rId188" xr:uid="{15758A0A-3B49-41CF-A872-6425F0FD9FEF}"/>
    <hyperlink ref="F259" r:id="rId189" xr:uid="{2ABE7C0F-8E14-4EB3-97D6-1C07471EB406}"/>
    <hyperlink ref="F266" r:id="rId190" xr:uid="{BD8C343F-C45E-4FEB-AC35-CDB2EE23342C}"/>
    <hyperlink ref="F244" r:id="rId191" xr:uid="{A1A9089F-620F-404A-91E1-6D21DE8B1CD9}"/>
    <hyperlink ref="F243" r:id="rId192" xr:uid="{9EB07379-7A82-4F09-9BE0-CD2E3535601F}"/>
    <hyperlink ref="F167" r:id="rId193" xr:uid="{BFE4890E-49A4-4B38-B1C5-2FC6F9B7482F}"/>
    <hyperlink ref="F166" r:id="rId194" xr:uid="{65AE9EF3-28B1-42C6-8827-27700D713532}"/>
    <hyperlink ref="F168" r:id="rId195" xr:uid="{18BA994C-0FB8-418F-B9AA-33532ED2404F}"/>
    <hyperlink ref="F198" r:id="rId196" xr:uid="{F35D98EA-DF99-4DBB-A38F-965DB0275FC7}"/>
    <hyperlink ref="F190" r:id="rId197" xr:uid="{A291BA8D-831F-4F1D-AD6D-363A29C14E8F}"/>
    <hyperlink ref="F174" r:id="rId198" xr:uid="{C28B83E0-E401-4758-A7F3-0AC0AAEF80D6}"/>
    <hyperlink ref="F177" r:id="rId199" xr:uid="{2961721F-35B3-4F29-AAD0-02F3A001363C}"/>
    <hyperlink ref="F179" r:id="rId200" xr:uid="{2F8E0911-2001-4C8A-A5A5-8B857527CD5C}"/>
    <hyperlink ref="F180" r:id="rId201" xr:uid="{307FD38B-B872-4221-BAD7-4AA765A14DEF}"/>
    <hyperlink ref="F191" r:id="rId202" xr:uid="{0050C8FA-2E3B-41A2-B75E-FDC876F45925}"/>
    <hyperlink ref="F192" r:id="rId203" xr:uid="{9595F224-B3A0-4762-85CF-FFC2CA612C30}"/>
    <hyperlink ref="F196" r:id="rId204" xr:uid="{4394E073-9D9A-4107-B486-B29C6B6AA901}"/>
    <hyperlink ref="F230" r:id="rId205" xr:uid="{96FC6D0E-EC57-407E-B6C1-9C61ABC3D196}"/>
    <hyperlink ref="F239" r:id="rId206" xr:uid="{32F7B9D8-677F-4286-86B7-A28544A63661}"/>
    <hyperlink ref="F200" r:id="rId207" xr:uid="{A16D56B6-8B31-4ED2-B2BB-7B3066C11DB5}"/>
    <hyperlink ref="F201" r:id="rId208" xr:uid="{E4785307-6568-4BDE-BF2D-8F4BF90FAB56}"/>
    <hyperlink ref="F202" r:id="rId209" xr:uid="{768EC934-BB03-4FD9-9AB7-40F980E83E32}"/>
    <hyperlink ref="F205" r:id="rId210" xr:uid="{72AC812A-059A-4FB6-A947-BD3DEA32BDAD}"/>
    <hyperlink ref="F214" r:id="rId211" xr:uid="{CFED6D01-4C04-45BF-9AEF-091A87B6C976}"/>
    <hyperlink ref="F207" r:id="rId212" xr:uid="{12A45C13-C348-466E-83E2-79B4E79A2A7F}"/>
    <hyperlink ref="F217" r:id="rId213" xr:uid="{1BAD3566-33E2-417A-A707-5ED291ACC436}"/>
    <hyperlink ref="F224" r:id="rId214" xr:uid="{06EBF14D-C95C-480F-8F8B-FE70E282E1A8}"/>
    <hyperlink ref="F227" r:id="rId215" xr:uid="{FE12FF05-66A0-4D92-98A1-E9AEB50731F9}"/>
    <hyperlink ref="F228" r:id="rId216" xr:uid="{AAE8B5DF-AF29-468D-AA73-95170A301088}"/>
    <hyperlink ref="F229" r:id="rId217" xr:uid="{BD2DA4AC-254D-4753-B195-7932335A05E8}"/>
    <hyperlink ref="F231" r:id="rId218" xr:uid="{C7045305-C778-43D1-85D1-A5D21A05F760}"/>
    <hyperlink ref="F233" r:id="rId219" xr:uid="{88565008-5432-4ABD-9D0A-56DEFAB39795}"/>
    <hyperlink ref="F236" r:id="rId220" xr:uid="{97EDF220-B443-44F5-A987-7DFA2EC7773A}"/>
    <hyperlink ref="F237" r:id="rId221" xr:uid="{93FD9282-20A7-43F9-ADAA-F36A50A09F41}"/>
    <hyperlink ref="F262" r:id="rId222" xr:uid="{39F2EBFB-8D2D-47AF-A24C-2BE0B013C791}"/>
    <hyperlink ref="F223" r:id="rId223" xr:uid="{3C5D5385-A59E-4B30-88C9-6ACDA2435ADB}"/>
    <hyperlink ref="F186" r:id="rId224" xr:uid="{B4C2DBDA-50DC-4F9D-B5EC-95C5D90A9E71}"/>
    <hyperlink ref="F188" r:id="rId225" xr:uid="{908AAC56-7E55-4F3D-BE44-43360D9EA709}"/>
    <hyperlink ref="F232" r:id="rId226" xr:uid="{418D0116-DFBB-4915-B8CF-E0D7F9F60AD2}"/>
    <hyperlink ref="F246" r:id="rId227" xr:uid="{EB86FD26-B126-42BB-B109-13A67A0B8FBB}"/>
    <hyperlink ref="F247" r:id="rId228" xr:uid="{243E405E-63FA-4FB2-8527-9C2187AABCBD}"/>
    <hyperlink ref="F248" r:id="rId229" xr:uid="{BEDE3DD8-CEF8-4823-884F-534C83ECF1AB}"/>
    <hyperlink ref="F249" r:id="rId230" xr:uid="{85202E15-3750-40F8-AC1A-F281B1EA939F}"/>
    <hyperlink ref="F71" r:id="rId231" xr:uid="{75837643-30CD-41BA-A11F-1D68DBB84D87}"/>
    <hyperlink ref="F253" r:id="rId232" xr:uid="{56A559FF-03DE-4B20-B057-E8DA09433056}"/>
    <hyperlink ref="F254" r:id="rId233" xr:uid="{5AA8C2E8-AE4E-4D24-B886-7FEEBB09A2C5}"/>
    <hyperlink ref="F72" r:id="rId234" xr:uid="{091910A1-A459-4E7E-A338-8C30BE483BFF}"/>
    <hyperlink ref="F258" r:id="rId235" xr:uid="{28E6C2FB-5DC7-481F-A103-4F1404A55C31}"/>
    <hyperlink ref="F260" r:id="rId236" xr:uid="{92DD547F-6510-483C-BA79-CBF69B362273}"/>
    <hyperlink ref="F261" r:id="rId237" xr:uid="{2B6FED2A-54B8-4E4A-886F-6A1CBA3DB659}"/>
    <hyperlink ref="F74" r:id="rId238" xr:uid="{A05F1B1B-E1A6-4AB6-A731-0A664EBF9B59}"/>
    <hyperlink ref="F263" r:id="rId239" xr:uid="{C17FACA0-DCEA-428F-95CD-F42CCEE9AD47}"/>
    <hyperlink ref="F264" r:id="rId240" xr:uid="{453B6CD7-467F-49AB-ABAD-E775F036CBA2}"/>
    <hyperlink ref="F81" r:id="rId241" xr:uid="{F13BB568-F5BD-4AF6-B3B4-1B1450D42FEB}"/>
    <hyperlink ref="F86" r:id="rId242" xr:uid="{362AB429-D1F4-4974-982D-67C4DC6E4953}"/>
    <hyperlink ref="F268" r:id="rId243" xr:uid="{75207433-1472-483F-9C10-125162D76F6B}"/>
    <hyperlink ref="F269" r:id="rId244" xr:uid="{B589A5CC-6994-402F-8EE9-EBD577C8638B}"/>
    <hyperlink ref="F271" r:id="rId245" xr:uid="{B01339EB-A408-4C5F-B29F-C4603120D032}"/>
    <hyperlink ref="F273" r:id="rId246" xr:uid="{10390B9A-7A33-41AA-9741-2E61ACD93327}"/>
    <hyperlink ref="F95" r:id="rId247" xr:uid="{2F5DF584-453C-4950-A21F-2C94A96CDE7E}"/>
    <hyperlink ref="F276" r:id="rId248" xr:uid="{43BD57F5-066F-4819-AC7E-7AE5F532B1D8}"/>
    <hyperlink ref="F103" r:id="rId249" xr:uid="{F00D18D4-AE73-408B-94F1-E4843E3C4543}"/>
    <hyperlink ref="F279" r:id="rId250" xr:uid="{85FDF67F-2E7C-44FD-939C-40CD77AF4133}"/>
    <hyperlink ref="F272" r:id="rId251" xr:uid="{B147148A-3BF9-485D-9E9A-94AE180DDECF}"/>
    <hyperlink ref="F280" r:id="rId252" xr:uid="{9E88F4B2-91E6-48BD-B9F0-693897B22420}"/>
    <hyperlink ref="F257" r:id="rId253" xr:uid="{28C8208B-98FA-4D67-BB9F-725606BA0D95}"/>
    <hyperlink ref="F252" r:id="rId254" xr:uid="{C87C2B6A-C4B2-49D8-86B9-D4EDF73F3849}"/>
    <hyperlink ref="F275" r:id="rId255" xr:uid="{FDEA929E-F343-4BC0-A04F-0AD5B92617F3}"/>
    <hyperlink ref="F278" r:id="rId256" xr:uid="{D73D68FB-84A4-4BA6-9D45-04196978457A}"/>
    <hyperlink ref="F265" r:id="rId257" xr:uid="{8AA961DB-873C-4D82-8D4B-429C1D576896}"/>
    <hyperlink ref="F270" r:id="rId258" xr:uid="{731D05EF-9470-4FE6-8BCF-6E500E442E28}"/>
    <hyperlink ref="F274" r:id="rId259" xr:uid="{A38BDF2E-AF30-4402-BCB9-1DD3A768EE75}"/>
    <hyperlink ref="F277" r:id="rId260" xr:uid="{A48C6194-E16B-449D-B8DD-64914EDFA347}"/>
    <hyperlink ref="F107" r:id="rId261" xr:uid="{323AE0FD-1D5A-40D7-A490-153B79A864D3}"/>
    <hyperlink ref="F162" r:id="rId262" xr:uid="{28DB1FCF-42A1-4203-B3B7-5D2EE902179B}"/>
    <hyperlink ref="F187" r:id="rId263" xr:uid="{BE68424C-6397-445B-8453-C13FDE74421C}"/>
    <hyperlink ref="F197" r:id="rId264" xr:uid="{28D6A87E-86AC-4707-A0E9-51E44A0E5B7D}"/>
    <hyperlink ref="F156" r:id="rId265" xr:uid="{0AA8F8E3-88BC-4A5C-A1CB-906613090B24}"/>
    <hyperlink ref="F182" r:id="rId266" xr:uid="{171BDE7F-A9BA-4B64-93AD-C8E9B9367E1A}"/>
    <hyperlink ref="F245" r:id="rId267" xr:uid="{0C3DE3CF-2DA2-4B2B-AECF-F63DC0F01697}"/>
    <hyperlink ref="F50" r:id="rId268" xr:uid="{AB63FC85-76D7-468B-BE5B-114B1F9BAD3C}"/>
    <hyperlink ref="F240" r:id="rId269" xr:uid="{E501069D-C0BD-4DBC-BBEE-6F5FD50AC2AA}"/>
    <hyperlink ref="F283" r:id="rId270" xr:uid="{72A6B3DA-5131-4D07-A6E6-21EBF7C753A4}"/>
    <hyperlink ref="F282" r:id="rId271" xr:uid="{61D7A016-4A82-4BDB-A3D7-22E255F5F14D}"/>
    <hyperlink ref="F281" r:id="rId272" xr:uid="{70FDD470-129A-4E7A-B6B9-C11B2A0431AB}"/>
  </hyperlinks>
  <pageMargins left="0.2" right="0.2" top="0.45" bottom="0.63" header="0.24" footer="0.3"/>
  <pageSetup scale="22" fitToHeight="0" orientation="landscape" r:id="rId273"/>
  <drawing r:id="rId274"/>
  <extLst>
    <ext xmlns:x14="http://schemas.microsoft.com/office/spreadsheetml/2009/9/main" uri="{CCE6A557-97BC-4b89-ADB6-D9C93CAAB3DF}">
      <x14:dataValidations xmlns:xm="http://schemas.microsoft.com/office/excel/2006/main" count="1">
        <x14:dataValidation type="list" allowBlank="1" showInputMessage="1" showErrorMessage="1" xr:uid="{0942E023-4FA1-42DD-9060-F2F186FA45C6}">
          <x14:formula1>
            <xm:f>Sheet2!$A$2:$A$8</xm:f>
          </x14:formula1>
          <xm:sqref>W236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60"/>
  <sheetViews>
    <sheetView topLeftCell="A34" zoomScale="91" zoomScaleNormal="91" workbookViewId="0">
      <selection activeCell="B52" sqref="B52"/>
    </sheetView>
  </sheetViews>
  <sheetFormatPr defaultColWidth="9.1796875" defaultRowHeight="20.149999999999999" customHeight="1"/>
  <cols>
    <col min="1" max="1" width="4.453125" style="55" customWidth="1"/>
    <col min="2" max="2" width="26.26953125" style="55" bestFit="1" customWidth="1"/>
    <col min="3" max="3" width="9.08984375" style="55" bestFit="1" customWidth="1"/>
    <col min="4" max="5" width="13.08984375" style="55" customWidth="1"/>
    <col min="6" max="6" width="28.36328125" style="55" customWidth="1"/>
    <col min="7" max="7" width="33.7265625" style="55" bestFit="1" customWidth="1"/>
    <col min="8" max="8" width="9.26953125" style="55" bestFit="1" customWidth="1"/>
    <col min="9" max="9" width="14.90625" style="55" bestFit="1" customWidth="1"/>
    <col min="10" max="10" width="28.36328125" style="51" bestFit="1" customWidth="1"/>
    <col min="11" max="11" width="15.81640625" style="49" customWidth="1"/>
    <col min="12" max="14" width="15.26953125" style="49" customWidth="1"/>
    <col min="15" max="15" width="17.26953125" style="49" customWidth="1"/>
    <col min="16" max="16" width="39" style="49" customWidth="1"/>
    <col min="17" max="17" width="33.7265625" style="49" bestFit="1" customWidth="1"/>
    <col min="18" max="18" width="47.08984375" style="49" bestFit="1" customWidth="1"/>
    <col min="19" max="19" width="41.1796875" style="49" customWidth="1"/>
    <col min="20" max="20" width="21.90625" style="49" bestFit="1" customWidth="1"/>
    <col min="21" max="21" width="12" style="49" bestFit="1" customWidth="1"/>
    <col min="22" max="16384" width="9.1796875" style="49"/>
  </cols>
  <sheetData>
    <row r="1" spans="1:22" ht="20.149999999999999" customHeight="1">
      <c r="A1" s="52"/>
      <c r="B1" s="347"/>
      <c r="C1" s="347"/>
      <c r="D1" s="347"/>
      <c r="E1" s="347"/>
      <c r="F1" s="347"/>
      <c r="G1" s="348"/>
      <c r="H1" s="74"/>
      <c r="I1" s="74"/>
      <c r="J1" s="53"/>
      <c r="M1" s="61"/>
      <c r="N1" s="61"/>
      <c r="O1" s="61"/>
      <c r="P1" s="61"/>
      <c r="Q1" s="61"/>
      <c r="R1" s="61"/>
      <c r="S1" s="61"/>
      <c r="T1" s="61"/>
      <c r="U1" s="61"/>
    </row>
    <row r="2" spans="1:22" ht="40" customHeight="1">
      <c r="A2" s="79" t="s">
        <v>2</v>
      </c>
      <c r="B2" s="79" t="s">
        <v>4</v>
      </c>
      <c r="C2" s="79" t="s">
        <v>1625</v>
      </c>
      <c r="D2" s="79" t="s">
        <v>1983</v>
      </c>
      <c r="E2" s="79" t="s">
        <v>1982</v>
      </c>
      <c r="F2" s="79"/>
      <c r="G2" s="79" t="s">
        <v>5</v>
      </c>
      <c r="H2" s="79" t="s">
        <v>6</v>
      </c>
      <c r="I2" s="79" t="s">
        <v>1593</v>
      </c>
      <c r="J2" s="79" t="s">
        <v>7</v>
      </c>
      <c r="K2" s="79" t="s">
        <v>990</v>
      </c>
      <c r="L2" s="79" t="s">
        <v>986</v>
      </c>
      <c r="M2" s="79" t="s">
        <v>1552</v>
      </c>
      <c r="N2" s="79" t="s">
        <v>1549</v>
      </c>
      <c r="O2" s="79" t="s">
        <v>987</v>
      </c>
      <c r="P2" s="79" t="s">
        <v>982</v>
      </c>
      <c r="Q2" s="79" t="s">
        <v>984</v>
      </c>
      <c r="R2" s="79" t="s">
        <v>993</v>
      </c>
      <c r="S2" s="79" t="s">
        <v>1984</v>
      </c>
      <c r="T2" s="79" t="s">
        <v>1985</v>
      </c>
      <c r="U2" s="80" t="s">
        <v>1986</v>
      </c>
      <c r="V2" s="49" t="s">
        <v>2818</v>
      </c>
    </row>
    <row r="3" spans="1:22" s="54" customFormat="1" ht="15">
      <c r="A3" s="64" t="s">
        <v>97</v>
      </c>
      <c r="B3" s="106" t="s">
        <v>2692</v>
      </c>
      <c r="C3" s="106" t="s">
        <v>1626</v>
      </c>
      <c r="D3" s="81" t="s">
        <v>121</v>
      </c>
      <c r="E3" s="81" t="s">
        <v>1990</v>
      </c>
      <c r="F3" s="152" t="s">
        <v>2804</v>
      </c>
      <c r="G3" s="106" t="s">
        <v>83</v>
      </c>
      <c r="H3" s="106" t="s">
        <v>1594</v>
      </c>
      <c r="I3" s="106" t="s">
        <v>1596</v>
      </c>
      <c r="J3" s="106" t="s">
        <v>945</v>
      </c>
      <c r="K3" s="50" t="s">
        <v>1005</v>
      </c>
      <c r="L3" s="70" t="s">
        <v>1489</v>
      </c>
      <c r="M3" s="69" t="str">
        <f t="shared" ref="M3:M50" si="0">IF(L3="","",TEXT(DATEVALUE(SUBSTITUTE(SUBSTITUTE(SUBSTITUTE(SUBSTITUTE(SUBSTITUTE(L3,"st",""),"nd",""),"rd",""),"th",""),"TH","")),"dd/mm/yyyy"))</f>
        <v>15/10/1988</v>
      </c>
      <c r="N3" s="50">
        <f ca="1">IF(M3="","",DATEDIF(M3,TODAY(),"Y"))</f>
        <v>37</v>
      </c>
      <c r="O3" s="50" t="s">
        <v>988</v>
      </c>
      <c r="P3" s="50" t="s">
        <v>1429</v>
      </c>
      <c r="Q3" s="50" t="s">
        <v>1490</v>
      </c>
      <c r="R3" s="50"/>
      <c r="S3" s="165" t="s">
        <v>2330</v>
      </c>
      <c r="T3" s="81" t="s">
        <v>2143</v>
      </c>
      <c r="U3" s="84">
        <v>46254</v>
      </c>
    </row>
    <row r="4" spans="1:22" s="54" customFormat="1" ht="16.5">
      <c r="A4" s="107" t="s">
        <v>71</v>
      </c>
      <c r="B4" s="108" t="s">
        <v>98</v>
      </c>
      <c r="C4" s="108" t="s">
        <v>1627</v>
      </c>
      <c r="D4" s="170" t="s">
        <v>100</v>
      </c>
      <c r="E4" s="108">
        <v>23415661</v>
      </c>
      <c r="F4" s="172" t="s">
        <v>2735</v>
      </c>
      <c r="G4" s="108" t="s">
        <v>967</v>
      </c>
      <c r="H4" s="108" t="s">
        <v>1594</v>
      </c>
      <c r="I4" s="108" t="s">
        <v>1596</v>
      </c>
      <c r="J4" s="108" t="s">
        <v>44</v>
      </c>
      <c r="K4" s="71" t="s">
        <v>1005</v>
      </c>
      <c r="L4" s="72" t="s">
        <v>1487</v>
      </c>
      <c r="M4" s="54" t="str">
        <f t="shared" si="0"/>
        <v>26/09/1982</v>
      </c>
      <c r="N4" s="71">
        <f t="shared" ref="N4:N50" ca="1" si="1">DATEDIF(M4,TODAY(),"Y")</f>
        <v>43</v>
      </c>
      <c r="O4" s="71" t="s">
        <v>998</v>
      </c>
      <c r="P4" s="71" t="s">
        <v>1488</v>
      </c>
      <c r="Q4" s="71" t="s">
        <v>989</v>
      </c>
      <c r="R4" s="71"/>
      <c r="T4" s="71"/>
      <c r="U4" s="103"/>
    </row>
    <row r="5" spans="1:22" s="54" customFormat="1" ht="15">
      <c r="A5" s="64" t="s">
        <v>85</v>
      </c>
      <c r="B5" s="106" t="s">
        <v>1485</v>
      </c>
      <c r="C5" s="106" t="s">
        <v>1626</v>
      </c>
      <c r="D5" s="81" t="s">
        <v>114</v>
      </c>
      <c r="E5" s="81" t="s">
        <v>2135</v>
      </c>
      <c r="F5" s="152" t="s">
        <v>2808</v>
      </c>
      <c r="G5" s="106" t="s">
        <v>21</v>
      </c>
      <c r="H5" s="106" t="s">
        <v>1594</v>
      </c>
      <c r="I5" s="106" t="s">
        <v>1595</v>
      </c>
      <c r="J5" s="106" t="s">
        <v>1583</v>
      </c>
      <c r="K5" s="50" t="s">
        <v>1005</v>
      </c>
      <c r="L5" s="70" t="s">
        <v>1486</v>
      </c>
      <c r="M5" s="69" t="str">
        <f t="shared" si="0"/>
        <v>04/07/1982</v>
      </c>
      <c r="N5" s="50">
        <f t="shared" ca="1" si="1"/>
        <v>44</v>
      </c>
      <c r="O5" s="50" t="s">
        <v>988</v>
      </c>
      <c r="P5" s="50" t="s">
        <v>1239</v>
      </c>
      <c r="Q5" s="50" t="s">
        <v>989</v>
      </c>
      <c r="R5" s="50" t="s">
        <v>1218</v>
      </c>
      <c r="S5" s="101"/>
      <c r="T5" s="50"/>
      <c r="U5" s="104"/>
    </row>
    <row r="6" spans="1:22" s="54" customFormat="1" ht="15">
      <c r="A6" s="64" t="s">
        <v>57</v>
      </c>
      <c r="B6" s="106" t="s">
        <v>86</v>
      </c>
      <c r="C6" s="106" t="s">
        <v>1626</v>
      </c>
      <c r="D6" s="81" t="s">
        <v>88</v>
      </c>
      <c r="E6" s="81" t="s">
        <v>2134</v>
      </c>
      <c r="F6" s="152" t="s">
        <v>2805</v>
      </c>
      <c r="G6" s="106" t="s">
        <v>21</v>
      </c>
      <c r="H6" s="106" t="s">
        <v>1594</v>
      </c>
      <c r="I6" s="106" t="s">
        <v>1597</v>
      </c>
      <c r="J6" s="106" t="s">
        <v>948</v>
      </c>
      <c r="K6" s="50" t="s">
        <v>1005</v>
      </c>
      <c r="L6" s="70" t="s">
        <v>1482</v>
      </c>
      <c r="M6" s="69" t="str">
        <f t="shared" si="0"/>
        <v>09/06/1997</v>
      </c>
      <c r="N6" s="50">
        <f t="shared" ca="1" si="1"/>
        <v>29</v>
      </c>
      <c r="O6" s="50" t="s">
        <v>988</v>
      </c>
      <c r="P6" s="50" t="s">
        <v>1002</v>
      </c>
      <c r="Q6" s="50" t="s">
        <v>1483</v>
      </c>
      <c r="R6" s="50" t="s">
        <v>1484</v>
      </c>
      <c r="S6" s="101"/>
      <c r="T6" s="50"/>
      <c r="U6" s="104"/>
    </row>
    <row r="7" spans="1:22" s="54" customFormat="1" ht="15">
      <c r="A7" s="64" t="s">
        <v>115</v>
      </c>
      <c r="B7" s="106" t="s">
        <v>134</v>
      </c>
      <c r="C7" s="106" t="s">
        <v>1626</v>
      </c>
      <c r="D7" s="81" t="s">
        <v>135</v>
      </c>
      <c r="E7" s="81" t="s">
        <v>1995</v>
      </c>
      <c r="F7" s="152" t="s">
        <v>2806</v>
      </c>
      <c r="G7" s="106" t="s">
        <v>935</v>
      </c>
      <c r="H7" s="106" t="s">
        <v>1594</v>
      </c>
      <c r="I7" s="106" t="s">
        <v>1598</v>
      </c>
      <c r="J7" s="106" t="s">
        <v>1599</v>
      </c>
      <c r="K7" s="50" t="s">
        <v>1005</v>
      </c>
      <c r="L7" s="70" t="s">
        <v>1479</v>
      </c>
      <c r="M7" s="69" t="str">
        <f t="shared" si="0"/>
        <v>16/05/1989</v>
      </c>
      <c r="N7" s="50">
        <f t="shared" ca="1" si="1"/>
        <v>37</v>
      </c>
      <c r="O7" s="50" t="s">
        <v>1188</v>
      </c>
      <c r="P7" s="50" t="s">
        <v>996</v>
      </c>
      <c r="Q7" s="50" t="s">
        <v>1478</v>
      </c>
      <c r="R7" s="50"/>
      <c r="S7" s="100" t="s">
        <v>2022</v>
      </c>
      <c r="T7" s="83" t="s">
        <v>2146</v>
      </c>
      <c r="U7" s="167">
        <v>46295</v>
      </c>
    </row>
    <row r="8" spans="1:22" s="54" customFormat="1" ht="15">
      <c r="A8" s="64" t="s">
        <v>60</v>
      </c>
      <c r="B8" s="106" t="s">
        <v>20</v>
      </c>
      <c r="C8" s="106" t="s">
        <v>1626</v>
      </c>
      <c r="D8" s="81" t="s">
        <v>23</v>
      </c>
      <c r="E8" s="81" t="s">
        <v>2125</v>
      </c>
      <c r="F8" s="152" t="s">
        <v>2809</v>
      </c>
      <c r="G8" s="106" t="s">
        <v>21</v>
      </c>
      <c r="H8" s="106" t="s">
        <v>1594</v>
      </c>
      <c r="I8" s="106" t="s">
        <v>1595</v>
      </c>
      <c r="J8" s="106" t="s">
        <v>979</v>
      </c>
      <c r="K8" s="50" t="s">
        <v>1005</v>
      </c>
      <c r="L8" s="70" t="s">
        <v>1480</v>
      </c>
      <c r="M8" s="69" t="str">
        <f t="shared" si="0"/>
        <v>06/03/1991</v>
      </c>
      <c r="N8" s="50">
        <f t="shared" ca="1" si="1"/>
        <v>35</v>
      </c>
      <c r="O8" s="50" t="s">
        <v>998</v>
      </c>
      <c r="P8" s="50" t="s">
        <v>1937</v>
      </c>
      <c r="Q8" s="50" t="s">
        <v>1068</v>
      </c>
      <c r="R8" s="50" t="s">
        <v>2693</v>
      </c>
      <c r="S8" s="101"/>
      <c r="T8" s="50"/>
      <c r="U8" s="104"/>
    </row>
    <row r="9" spans="1:22" s="54" customFormat="1" ht="15">
      <c r="A9" s="64" t="s">
        <v>74</v>
      </c>
      <c r="B9" s="106" t="s">
        <v>102</v>
      </c>
      <c r="C9" s="106" t="s">
        <v>1626</v>
      </c>
      <c r="D9" s="81" t="s">
        <v>103</v>
      </c>
      <c r="E9" s="81" t="s">
        <v>1988</v>
      </c>
      <c r="F9" s="152" t="s">
        <v>2810</v>
      </c>
      <c r="G9" s="106" t="s">
        <v>83</v>
      </c>
      <c r="H9" s="106" t="s">
        <v>1594</v>
      </c>
      <c r="I9" s="106" t="s">
        <v>2695</v>
      </c>
      <c r="J9" s="106" t="s">
        <v>944</v>
      </c>
      <c r="K9" s="50" t="s">
        <v>1005</v>
      </c>
      <c r="L9" s="70" t="s">
        <v>1481</v>
      </c>
      <c r="M9" s="69" t="str">
        <f t="shared" si="0"/>
        <v>25/01/1992</v>
      </c>
      <c r="N9" s="50">
        <f t="shared" ca="1" si="1"/>
        <v>34</v>
      </c>
      <c r="O9" s="50" t="s">
        <v>998</v>
      </c>
      <c r="P9" s="50" t="s">
        <v>2694</v>
      </c>
      <c r="Q9" s="50" t="s">
        <v>1068</v>
      </c>
      <c r="R9" s="50"/>
      <c r="S9" s="165" t="s">
        <v>2330</v>
      </c>
      <c r="T9" s="81" t="s">
        <v>2142</v>
      </c>
      <c r="U9" s="167">
        <v>46254</v>
      </c>
    </row>
    <row r="10" spans="1:22" s="54" customFormat="1" ht="16.5">
      <c r="A10" s="64"/>
      <c r="B10" s="106" t="s">
        <v>1510</v>
      </c>
      <c r="C10" s="106" t="s">
        <v>1627</v>
      </c>
      <c r="D10" s="81" t="s">
        <v>1998</v>
      </c>
      <c r="E10" s="81">
        <v>32415051</v>
      </c>
      <c r="F10" s="169" t="s">
        <v>2736</v>
      </c>
      <c r="G10" s="106" t="s">
        <v>124</v>
      </c>
      <c r="H10" s="106" t="s">
        <v>1594</v>
      </c>
      <c r="I10" s="106" t="s">
        <v>1597</v>
      </c>
      <c r="J10" s="106" t="s">
        <v>948</v>
      </c>
      <c r="K10" s="50" t="s">
        <v>1520</v>
      </c>
      <c r="L10" s="70" t="s">
        <v>1528</v>
      </c>
      <c r="M10" s="69" t="str">
        <f t="shared" si="0"/>
        <v>12/03/1995</v>
      </c>
      <c r="N10" s="50">
        <f t="shared" ca="1" si="1"/>
        <v>31</v>
      </c>
      <c r="O10" s="50" t="s">
        <v>988</v>
      </c>
      <c r="P10" s="50" t="s">
        <v>1435</v>
      </c>
      <c r="Q10" s="50" t="s">
        <v>1013</v>
      </c>
      <c r="R10" s="50"/>
      <c r="S10" s="100" t="s">
        <v>2022</v>
      </c>
      <c r="T10" s="90" t="s">
        <v>2151</v>
      </c>
      <c r="U10" s="167">
        <v>46295</v>
      </c>
    </row>
    <row r="11" spans="1:22" s="54" customFormat="1" ht="15">
      <c r="A11" s="64" t="s">
        <v>133</v>
      </c>
      <c r="B11" s="106" t="s">
        <v>155</v>
      </c>
      <c r="C11" s="106" t="s">
        <v>1627</v>
      </c>
      <c r="D11" s="81" t="s">
        <v>156</v>
      </c>
      <c r="E11" s="81">
        <v>29883230</v>
      </c>
      <c r="F11" s="152" t="s">
        <v>2811</v>
      </c>
      <c r="G11" s="106" t="s">
        <v>124</v>
      </c>
      <c r="H11" s="106" t="s">
        <v>1594</v>
      </c>
      <c r="I11" s="106" t="s">
        <v>1596</v>
      </c>
      <c r="J11" s="106" t="s">
        <v>949</v>
      </c>
      <c r="K11" s="50" t="s">
        <v>1476</v>
      </c>
      <c r="L11" s="70" t="s">
        <v>1475</v>
      </c>
      <c r="M11" s="69" t="str">
        <f t="shared" si="0"/>
        <v>21/04/1992</v>
      </c>
      <c r="N11" s="50">
        <f t="shared" ca="1" si="1"/>
        <v>34</v>
      </c>
      <c r="O11" s="50" t="s">
        <v>988</v>
      </c>
      <c r="P11" s="50" t="s">
        <v>1435</v>
      </c>
      <c r="Q11" s="50" t="s">
        <v>1170</v>
      </c>
      <c r="R11" s="50"/>
      <c r="S11" s="100" t="s">
        <v>2022</v>
      </c>
      <c r="T11" s="83" t="s">
        <v>2148</v>
      </c>
      <c r="U11" s="104"/>
    </row>
    <row r="12" spans="1:22" s="54" customFormat="1" ht="17">
      <c r="A12" s="64" t="s">
        <v>140</v>
      </c>
      <c r="B12" s="106" t="s">
        <v>977</v>
      </c>
      <c r="C12" s="106" t="s">
        <v>1627</v>
      </c>
      <c r="D12" s="82" t="s">
        <v>160</v>
      </c>
      <c r="E12" s="138">
        <v>29158091</v>
      </c>
      <c r="F12" s="142" t="s">
        <v>2812</v>
      </c>
      <c r="G12" s="106" t="s">
        <v>2123</v>
      </c>
      <c r="H12" s="106" t="s">
        <v>1594</v>
      </c>
      <c r="I12" s="106" t="s">
        <v>1598</v>
      </c>
      <c r="J12" s="106" t="s">
        <v>979</v>
      </c>
      <c r="K12" s="50" t="s">
        <v>1036</v>
      </c>
      <c r="L12" s="70" t="s">
        <v>1473</v>
      </c>
      <c r="M12" s="164" t="str">
        <f t="shared" si="0"/>
        <v>25/07/1992</v>
      </c>
      <c r="N12" s="50">
        <f t="shared" ca="1" si="1"/>
        <v>34</v>
      </c>
      <c r="O12" s="50" t="s">
        <v>988</v>
      </c>
      <c r="P12" s="50" t="s">
        <v>1345</v>
      </c>
      <c r="Q12" s="50" t="s">
        <v>1474</v>
      </c>
      <c r="R12" s="50"/>
      <c r="S12" s="166" t="s">
        <v>2064</v>
      </c>
      <c r="T12" s="83" t="s">
        <v>2149</v>
      </c>
      <c r="U12" s="168">
        <v>46022</v>
      </c>
    </row>
    <row r="13" spans="1:22" s="54" customFormat="1" ht="16.5">
      <c r="A13" s="64"/>
      <c r="B13" s="106" t="s">
        <v>1512</v>
      </c>
      <c r="C13" s="106" t="s">
        <v>1626</v>
      </c>
      <c r="D13" s="81" t="s">
        <v>1999</v>
      </c>
      <c r="E13" s="81">
        <v>36579981</v>
      </c>
      <c r="F13" s="169" t="s">
        <v>2737</v>
      </c>
      <c r="G13" s="106" t="s">
        <v>124</v>
      </c>
      <c r="H13" s="106" t="s">
        <v>1594</v>
      </c>
      <c r="I13" s="106" t="s">
        <v>1596</v>
      </c>
      <c r="J13" s="106" t="s">
        <v>945</v>
      </c>
      <c r="K13" s="50" t="s">
        <v>1520</v>
      </c>
      <c r="L13" s="70" t="s">
        <v>1526</v>
      </c>
      <c r="M13" s="69" t="str">
        <f t="shared" si="0"/>
        <v>20/06/1998</v>
      </c>
      <c r="N13" s="50">
        <f t="shared" ca="1" si="1"/>
        <v>28</v>
      </c>
      <c r="O13" s="50" t="s">
        <v>998</v>
      </c>
      <c r="P13" s="50" t="s">
        <v>1524</v>
      </c>
      <c r="Q13" s="50" t="s">
        <v>1525</v>
      </c>
      <c r="R13" s="50"/>
      <c r="S13" s="100" t="s">
        <v>2022</v>
      </c>
      <c r="T13" s="90" t="s">
        <v>2153</v>
      </c>
      <c r="U13" s="104"/>
    </row>
    <row r="14" spans="1:22" s="54" customFormat="1" ht="16.5">
      <c r="A14" s="107" t="s">
        <v>77</v>
      </c>
      <c r="B14" s="108" t="s">
        <v>105</v>
      </c>
      <c r="C14" s="108" t="s">
        <v>1626</v>
      </c>
      <c r="D14" s="81" t="s">
        <v>106</v>
      </c>
      <c r="E14" s="81">
        <v>34285168</v>
      </c>
      <c r="F14" s="169" t="s">
        <v>2734</v>
      </c>
      <c r="G14" s="108" t="s">
        <v>83</v>
      </c>
      <c r="H14" s="108" t="s">
        <v>1594</v>
      </c>
      <c r="I14" s="108" t="s">
        <v>1597</v>
      </c>
      <c r="J14" s="108" t="s">
        <v>947</v>
      </c>
      <c r="K14" s="71" t="s">
        <v>1005</v>
      </c>
      <c r="L14" s="72" t="s">
        <v>1477</v>
      </c>
      <c r="M14" s="163" t="str">
        <f t="shared" si="0"/>
        <v>17/09/1997</v>
      </c>
      <c r="N14" s="71">
        <f t="shared" ca="1" si="1"/>
        <v>28</v>
      </c>
      <c r="O14" s="71" t="s">
        <v>988</v>
      </c>
      <c r="P14" s="71" t="s">
        <v>1429</v>
      </c>
      <c r="Q14" s="71" t="s">
        <v>1057</v>
      </c>
      <c r="R14" s="71"/>
      <c r="S14" s="102"/>
      <c r="T14" s="71"/>
      <c r="U14" s="104"/>
      <c r="V14" s="171">
        <v>45565</v>
      </c>
    </row>
    <row r="15" spans="1:22" s="54" customFormat="1" ht="15">
      <c r="A15" s="64" t="s">
        <v>101</v>
      </c>
      <c r="B15" s="106" t="s">
        <v>27</v>
      </c>
      <c r="C15" s="106" t="s">
        <v>1626</v>
      </c>
      <c r="D15" s="81" t="s">
        <v>28</v>
      </c>
      <c r="E15" s="81" t="s">
        <v>2126</v>
      </c>
      <c r="F15" s="152" t="s">
        <v>2807</v>
      </c>
      <c r="G15" s="106" t="s">
        <v>21</v>
      </c>
      <c r="H15" s="106" t="s">
        <v>1594</v>
      </c>
      <c r="I15" s="106" t="s">
        <v>1598</v>
      </c>
      <c r="J15" s="106" t="s">
        <v>944</v>
      </c>
      <c r="K15" s="50" t="s">
        <v>1005</v>
      </c>
      <c r="L15" s="70" t="s">
        <v>1472</v>
      </c>
      <c r="M15" s="69" t="str">
        <f t="shared" si="0"/>
        <v>30/04/1976</v>
      </c>
      <c r="N15" s="50">
        <f t="shared" ca="1" si="1"/>
        <v>50</v>
      </c>
      <c r="O15" s="50" t="s">
        <v>1201</v>
      </c>
      <c r="P15" s="50" t="s">
        <v>1493</v>
      </c>
      <c r="Q15" s="50" t="s">
        <v>1494</v>
      </c>
      <c r="R15" s="50" t="s">
        <v>1495</v>
      </c>
      <c r="S15" s="101"/>
      <c r="T15" s="50"/>
      <c r="U15" s="104"/>
    </row>
    <row r="16" spans="1:22" s="54" customFormat="1" ht="15">
      <c r="A16" s="64" t="s">
        <v>136</v>
      </c>
      <c r="B16" s="106" t="s">
        <v>32</v>
      </c>
      <c r="C16" s="106" t="s">
        <v>1627</v>
      </c>
      <c r="D16" s="81" t="s">
        <v>33</v>
      </c>
      <c r="E16" s="81" t="s">
        <v>2127</v>
      </c>
      <c r="F16" s="152" t="s">
        <v>2813</v>
      </c>
      <c r="G16" s="106" t="s">
        <v>21</v>
      </c>
      <c r="H16" s="106" t="s">
        <v>1594</v>
      </c>
      <c r="I16" s="106" t="s">
        <v>1598</v>
      </c>
      <c r="J16" s="106" t="s">
        <v>109</v>
      </c>
      <c r="K16" s="50" t="s">
        <v>1005</v>
      </c>
      <c r="L16" s="70" t="s">
        <v>2696</v>
      </c>
      <c r="M16" s="69" t="str">
        <f t="shared" si="0"/>
        <v>01/01/1974</v>
      </c>
      <c r="N16" s="50">
        <f t="shared" ca="1" si="1"/>
        <v>52</v>
      </c>
      <c r="O16" s="50" t="s">
        <v>988</v>
      </c>
      <c r="P16" s="50" t="s">
        <v>1308</v>
      </c>
      <c r="Q16" s="50" t="s">
        <v>1470</v>
      </c>
      <c r="R16" s="50" t="s">
        <v>1471</v>
      </c>
      <c r="S16" s="101"/>
      <c r="T16" s="50"/>
      <c r="U16" s="103"/>
    </row>
    <row r="17" spans="1:22" s="54" customFormat="1" ht="15">
      <c r="A17" s="64" t="s">
        <v>31</v>
      </c>
      <c r="B17" s="106" t="s">
        <v>950</v>
      </c>
      <c r="C17" s="106" t="s">
        <v>1626</v>
      </c>
      <c r="D17" s="81" t="s">
        <v>2137</v>
      </c>
      <c r="E17" s="81">
        <v>22024604</v>
      </c>
      <c r="F17" s="152" t="s">
        <v>2814</v>
      </c>
      <c r="G17" s="106" t="s">
        <v>21</v>
      </c>
      <c r="H17" s="106" t="s">
        <v>1594</v>
      </c>
      <c r="I17" s="106" t="s">
        <v>1595</v>
      </c>
      <c r="J17" s="106" t="s">
        <v>979</v>
      </c>
      <c r="K17" s="50" t="s">
        <v>1468</v>
      </c>
      <c r="L17" s="70" t="s">
        <v>1469</v>
      </c>
      <c r="M17" s="69" t="str">
        <f t="shared" si="0"/>
        <v>01/01/1980</v>
      </c>
      <c r="N17" s="50">
        <f t="shared" ca="1" si="1"/>
        <v>46</v>
      </c>
      <c r="O17" s="50" t="s">
        <v>988</v>
      </c>
      <c r="P17" s="50" t="s">
        <v>1167</v>
      </c>
      <c r="Q17" s="50" t="s">
        <v>1064</v>
      </c>
      <c r="R17" s="50"/>
      <c r="S17" s="81"/>
      <c r="T17" s="90"/>
      <c r="U17" s="84">
        <v>46022</v>
      </c>
    </row>
    <row r="18" spans="1:22" s="54" customFormat="1" ht="16.5">
      <c r="A18" s="107" t="s">
        <v>63</v>
      </c>
      <c r="B18" s="108" t="s">
        <v>90</v>
      </c>
      <c r="C18" s="108" t="s">
        <v>1627</v>
      </c>
      <c r="D18" s="170" t="s">
        <v>92</v>
      </c>
      <c r="E18" s="108">
        <v>30453739</v>
      </c>
      <c r="F18" s="172" t="s">
        <v>2733</v>
      </c>
      <c r="G18" s="108" t="s">
        <v>21</v>
      </c>
      <c r="H18" s="108" t="s">
        <v>1594</v>
      </c>
      <c r="I18" s="108" t="s">
        <v>1596</v>
      </c>
      <c r="J18" s="108" t="s">
        <v>945</v>
      </c>
      <c r="K18" s="71" t="s">
        <v>1005</v>
      </c>
      <c r="L18" s="72" t="s">
        <v>1458</v>
      </c>
      <c r="M18" s="54" t="str">
        <f t="shared" si="0"/>
        <v>24/07/1990</v>
      </c>
      <c r="N18" s="71">
        <f t="shared" ca="1" si="1"/>
        <v>36</v>
      </c>
      <c r="O18" s="71" t="s">
        <v>988</v>
      </c>
      <c r="P18" s="71" t="s">
        <v>1432</v>
      </c>
      <c r="Q18" s="71" t="s">
        <v>1445</v>
      </c>
      <c r="R18" s="71"/>
      <c r="S18" s="102"/>
      <c r="T18" s="71"/>
      <c r="U18" s="103"/>
      <c r="V18" s="171">
        <v>45565</v>
      </c>
    </row>
    <row r="19" spans="1:22" s="54" customFormat="1" ht="29">
      <c r="A19" s="64" t="s">
        <v>93</v>
      </c>
      <c r="B19" s="106" t="s">
        <v>1492</v>
      </c>
      <c r="C19" s="106" t="s">
        <v>1626</v>
      </c>
      <c r="D19" s="81" t="s">
        <v>119</v>
      </c>
      <c r="E19" s="81" t="s">
        <v>2136</v>
      </c>
      <c r="F19" s="161" t="s">
        <v>2815</v>
      </c>
      <c r="G19" s="106" t="s">
        <v>21</v>
      </c>
      <c r="H19" s="106" t="s">
        <v>1594</v>
      </c>
      <c r="I19" s="106" t="s">
        <v>1596</v>
      </c>
      <c r="J19" s="106" t="s">
        <v>949</v>
      </c>
      <c r="K19" s="50" t="s">
        <v>1005</v>
      </c>
      <c r="L19" s="70" t="s">
        <v>1459</v>
      </c>
      <c r="M19" s="69" t="str">
        <f t="shared" si="0"/>
        <v>02/08/1990</v>
      </c>
      <c r="N19" s="50">
        <f t="shared" ca="1" si="1"/>
        <v>35</v>
      </c>
      <c r="O19" s="50" t="s">
        <v>1188</v>
      </c>
      <c r="P19" s="50" t="s">
        <v>1282</v>
      </c>
      <c r="Q19" s="50" t="s">
        <v>1445</v>
      </c>
      <c r="R19" s="50" t="s">
        <v>2697</v>
      </c>
      <c r="S19" s="101"/>
      <c r="T19" s="50"/>
      <c r="U19" s="104"/>
    </row>
    <row r="20" spans="1:22" s="54" customFormat="1" ht="16.5">
      <c r="A20" s="107" t="s">
        <v>147</v>
      </c>
      <c r="B20" s="108" t="s">
        <v>35</v>
      </c>
      <c r="C20" s="108" t="s">
        <v>1626</v>
      </c>
      <c r="D20" s="170" t="s">
        <v>37</v>
      </c>
      <c r="E20" s="108">
        <v>22000751</v>
      </c>
      <c r="F20" s="172" t="s">
        <v>2732</v>
      </c>
      <c r="G20" s="108" t="s">
        <v>21</v>
      </c>
      <c r="H20" s="108" t="s">
        <v>1594</v>
      </c>
      <c r="I20" s="108" t="s">
        <v>1598</v>
      </c>
      <c r="J20" s="108" t="s">
        <v>944</v>
      </c>
      <c r="K20" s="71" t="s">
        <v>1005</v>
      </c>
      <c r="L20" s="72" t="s">
        <v>1460</v>
      </c>
      <c r="M20" s="54" t="str">
        <f t="shared" si="0"/>
        <v>02/07/1978</v>
      </c>
      <c r="N20" s="71">
        <f t="shared" ca="1" si="1"/>
        <v>48</v>
      </c>
      <c r="O20" s="71" t="s">
        <v>1414</v>
      </c>
      <c r="P20" s="71" t="s">
        <v>1461</v>
      </c>
      <c r="Q20" s="71"/>
      <c r="R20" s="71"/>
      <c r="S20" s="71"/>
      <c r="T20" s="71"/>
      <c r="U20" s="84"/>
      <c r="V20" s="171">
        <v>45565</v>
      </c>
    </row>
    <row r="21" spans="1:22" s="54" customFormat="1" ht="16.5">
      <c r="A21" s="64" t="s">
        <v>54</v>
      </c>
      <c r="B21" s="106" t="s">
        <v>82</v>
      </c>
      <c r="C21" s="106" t="s">
        <v>1627</v>
      </c>
      <c r="D21" s="81" t="s">
        <v>84</v>
      </c>
      <c r="E21" s="81">
        <v>27675584</v>
      </c>
      <c r="F21" s="169" t="s">
        <v>2699</v>
      </c>
      <c r="G21" s="106" t="s">
        <v>83</v>
      </c>
      <c r="H21" s="106" t="s">
        <v>1594</v>
      </c>
      <c r="I21" s="106" t="s">
        <v>1597</v>
      </c>
      <c r="J21" s="106" t="s">
        <v>947</v>
      </c>
      <c r="K21" s="50" t="s">
        <v>1005</v>
      </c>
      <c r="L21" s="70" t="s">
        <v>1462</v>
      </c>
      <c r="M21" s="69" t="str">
        <f t="shared" si="0"/>
        <v>04/04/1990</v>
      </c>
      <c r="N21" s="50">
        <f t="shared" ca="1" si="1"/>
        <v>36</v>
      </c>
      <c r="O21" s="50" t="s">
        <v>988</v>
      </c>
      <c r="P21" s="50" t="s">
        <v>1429</v>
      </c>
      <c r="Q21" s="50" t="s">
        <v>1155</v>
      </c>
      <c r="R21" s="50"/>
      <c r="S21" s="83" t="s">
        <v>2330</v>
      </c>
      <c r="T21" s="81" t="s">
        <v>2124</v>
      </c>
      <c r="U21" s="84">
        <v>46233</v>
      </c>
    </row>
    <row r="22" spans="1:22" s="54" customFormat="1" ht="16.5">
      <c r="A22" s="64" t="s">
        <v>150</v>
      </c>
      <c r="B22" s="106" t="s">
        <v>39</v>
      </c>
      <c r="C22" s="106" t="s">
        <v>1626</v>
      </c>
      <c r="D22" s="81" t="s">
        <v>41</v>
      </c>
      <c r="E22" s="81" t="s">
        <v>2128</v>
      </c>
      <c r="F22" s="169" t="s">
        <v>2698</v>
      </c>
      <c r="G22" s="106" t="s">
        <v>21</v>
      </c>
      <c r="H22" s="106" t="s">
        <v>1594</v>
      </c>
      <c r="I22" s="106" t="s">
        <v>1596</v>
      </c>
      <c r="J22" s="106" t="s">
        <v>945</v>
      </c>
      <c r="K22" s="50" t="s">
        <v>1005</v>
      </c>
      <c r="L22" s="70" t="s">
        <v>1463</v>
      </c>
      <c r="M22" s="69" t="str">
        <f t="shared" si="0"/>
        <v>19/11/1995</v>
      </c>
      <c r="N22" s="50">
        <f t="shared" ca="1" si="1"/>
        <v>30</v>
      </c>
      <c r="O22" s="50" t="s">
        <v>1414</v>
      </c>
      <c r="P22" s="50" t="s">
        <v>1464</v>
      </c>
      <c r="Q22" s="50" t="s">
        <v>1013</v>
      </c>
      <c r="R22" s="50" t="s">
        <v>1421</v>
      </c>
      <c r="S22" s="101"/>
      <c r="T22" s="50"/>
      <c r="U22" s="104"/>
    </row>
    <row r="23" spans="1:22" s="54" customFormat="1" ht="16.5">
      <c r="A23" s="64" t="s">
        <v>154</v>
      </c>
      <c r="B23" s="106" t="s">
        <v>43</v>
      </c>
      <c r="C23" s="106" t="s">
        <v>1626</v>
      </c>
      <c r="D23" s="81" t="s">
        <v>45</v>
      </c>
      <c r="E23" s="81" t="s">
        <v>2129</v>
      </c>
      <c r="F23" s="169" t="s">
        <v>2700</v>
      </c>
      <c r="G23" s="106" t="s">
        <v>21</v>
      </c>
      <c r="H23" s="106" t="s">
        <v>1594</v>
      </c>
      <c r="I23" s="106" t="s">
        <v>1596</v>
      </c>
      <c r="J23" s="106" t="s">
        <v>44</v>
      </c>
      <c r="K23" s="50" t="s">
        <v>1005</v>
      </c>
      <c r="L23" s="70" t="s">
        <v>1465</v>
      </c>
      <c r="M23" s="69" t="str">
        <f t="shared" si="0"/>
        <v>22/03/1978</v>
      </c>
      <c r="N23" s="50">
        <f t="shared" ca="1" si="1"/>
        <v>48</v>
      </c>
      <c r="O23" s="50" t="s">
        <v>1188</v>
      </c>
      <c r="P23" s="50" t="s">
        <v>1002</v>
      </c>
      <c r="Q23" s="50" t="s">
        <v>1382</v>
      </c>
      <c r="R23" s="50" t="s">
        <v>1421</v>
      </c>
      <c r="S23" s="101"/>
      <c r="T23" s="50"/>
      <c r="U23" s="104"/>
    </row>
    <row r="24" spans="1:22" s="54" customFormat="1" ht="16.5">
      <c r="A24" s="64" t="s">
        <v>104</v>
      </c>
      <c r="B24" s="106" t="s">
        <v>123</v>
      </c>
      <c r="C24" s="106" t="s">
        <v>1626</v>
      </c>
      <c r="D24" s="81" t="s">
        <v>125</v>
      </c>
      <c r="E24" s="81" t="s">
        <v>1991</v>
      </c>
      <c r="F24" s="169" t="s">
        <v>2701</v>
      </c>
      <c r="G24" s="106" t="s">
        <v>935</v>
      </c>
      <c r="H24" s="106" t="s">
        <v>1594</v>
      </c>
      <c r="I24" s="106" t="s">
        <v>1597</v>
      </c>
      <c r="J24" s="106" t="s">
        <v>1582</v>
      </c>
      <c r="K24" s="50" t="s">
        <v>1005</v>
      </c>
      <c r="L24" s="70" t="s">
        <v>1466</v>
      </c>
      <c r="M24" s="69" t="str">
        <f t="shared" si="0"/>
        <v>18/03/1996</v>
      </c>
      <c r="N24" s="50">
        <f t="shared" ca="1" si="1"/>
        <v>30</v>
      </c>
      <c r="O24" s="50" t="s">
        <v>988</v>
      </c>
      <c r="P24" s="50" t="s">
        <v>1435</v>
      </c>
      <c r="Q24" s="50" t="s">
        <v>1170</v>
      </c>
      <c r="R24" s="50"/>
      <c r="S24" s="81" t="s">
        <v>2022</v>
      </c>
      <c r="T24" s="90" t="s">
        <v>2144</v>
      </c>
      <c r="U24" s="84">
        <v>46265</v>
      </c>
    </row>
    <row r="25" spans="1:22" s="54" customFormat="1" ht="16.5">
      <c r="A25" s="64" t="s">
        <v>161</v>
      </c>
      <c r="B25" s="106" t="s">
        <v>51</v>
      </c>
      <c r="C25" s="106" t="s">
        <v>1626</v>
      </c>
      <c r="D25" s="81" t="s">
        <v>53</v>
      </c>
      <c r="E25" s="81" t="s">
        <v>2130</v>
      </c>
      <c r="F25" s="169" t="s">
        <v>2702</v>
      </c>
      <c r="G25" s="106" t="s">
        <v>21</v>
      </c>
      <c r="H25" s="106" t="s">
        <v>1594</v>
      </c>
      <c r="I25" s="106" t="s">
        <v>1595</v>
      </c>
      <c r="J25" s="106" t="s">
        <v>52</v>
      </c>
      <c r="K25" s="50" t="s">
        <v>1005</v>
      </c>
      <c r="L25" s="70" t="s">
        <v>1467</v>
      </c>
      <c r="M25" s="69" t="str">
        <f t="shared" si="0"/>
        <v>14/01/1965</v>
      </c>
      <c r="N25" s="50">
        <f t="shared" ca="1" si="1"/>
        <v>61</v>
      </c>
      <c r="O25" s="50" t="s">
        <v>988</v>
      </c>
      <c r="P25" s="50" t="s">
        <v>1282</v>
      </c>
      <c r="Q25" s="50" t="s">
        <v>1445</v>
      </c>
      <c r="R25" s="50" t="s">
        <v>1421</v>
      </c>
      <c r="S25" s="101"/>
      <c r="T25" s="50"/>
      <c r="U25" s="103"/>
    </row>
    <row r="26" spans="1:22" s="54" customFormat="1" ht="16.5">
      <c r="A26" s="64" t="s">
        <v>126</v>
      </c>
      <c r="B26" s="106" t="s">
        <v>148</v>
      </c>
      <c r="C26" s="106" t="s">
        <v>1627</v>
      </c>
      <c r="D26" s="81" t="s">
        <v>1997</v>
      </c>
      <c r="E26" s="81">
        <v>33233347</v>
      </c>
      <c r="F26" s="169" t="s">
        <v>2703</v>
      </c>
      <c r="G26" s="106" t="s">
        <v>124</v>
      </c>
      <c r="H26" s="106" t="s">
        <v>1594</v>
      </c>
      <c r="I26" s="106" t="s">
        <v>1598</v>
      </c>
      <c r="J26" s="106" t="s">
        <v>943</v>
      </c>
      <c r="K26" s="50" t="s">
        <v>1060</v>
      </c>
      <c r="L26" s="70" t="s">
        <v>1457</v>
      </c>
      <c r="M26" s="69" t="str">
        <f t="shared" si="0"/>
        <v>15/08/1994</v>
      </c>
      <c r="N26" s="50">
        <f t="shared" ca="1" si="1"/>
        <v>31</v>
      </c>
      <c r="O26" s="50" t="s">
        <v>988</v>
      </c>
      <c r="P26" s="50" t="s">
        <v>1435</v>
      </c>
      <c r="Q26" s="50" t="s">
        <v>1013</v>
      </c>
      <c r="R26" s="50"/>
      <c r="S26" s="81" t="s">
        <v>2022</v>
      </c>
      <c r="T26" s="83" t="s">
        <v>2147</v>
      </c>
      <c r="U26" s="111">
        <v>46265</v>
      </c>
    </row>
    <row r="27" spans="1:22" s="54" customFormat="1" ht="16.5">
      <c r="A27" s="107" t="s">
        <v>157</v>
      </c>
      <c r="B27" s="108" t="s">
        <v>47</v>
      </c>
      <c r="C27" s="108" t="s">
        <v>1626</v>
      </c>
      <c r="D27" s="170" t="s">
        <v>49</v>
      </c>
      <c r="E27" s="108">
        <v>13813244</v>
      </c>
      <c r="F27" s="172" t="s">
        <v>2717</v>
      </c>
      <c r="G27" s="108" t="s">
        <v>21</v>
      </c>
      <c r="H27" s="108" t="s">
        <v>1594</v>
      </c>
      <c r="I27" s="108" t="s">
        <v>1595</v>
      </c>
      <c r="J27" s="108" t="s">
        <v>979</v>
      </c>
      <c r="K27" s="71" t="s">
        <v>1005</v>
      </c>
      <c r="L27" s="72" t="s">
        <v>1455</v>
      </c>
      <c r="M27" s="54" t="str">
        <f t="shared" si="0"/>
        <v>17/08/1975</v>
      </c>
      <c r="N27" s="71">
        <f t="shared" ca="1" si="1"/>
        <v>50</v>
      </c>
      <c r="O27" s="71" t="s">
        <v>1188</v>
      </c>
      <c r="P27" s="71" t="s">
        <v>1167</v>
      </c>
      <c r="Q27" s="71" t="s">
        <v>1456</v>
      </c>
      <c r="R27" s="71"/>
      <c r="S27" s="71" t="s">
        <v>2718</v>
      </c>
      <c r="T27" s="71"/>
      <c r="U27" s="84">
        <v>46265</v>
      </c>
      <c r="V27" s="171">
        <v>45565</v>
      </c>
    </row>
    <row r="28" spans="1:22" s="54" customFormat="1" ht="16.5">
      <c r="A28" s="64"/>
      <c r="B28" s="106" t="s">
        <v>1513</v>
      </c>
      <c r="C28" s="106" t="s">
        <v>1627</v>
      </c>
      <c r="D28" s="81" t="s">
        <v>2000</v>
      </c>
      <c r="E28" s="81">
        <v>34215109</v>
      </c>
      <c r="F28" s="169" t="s">
        <v>2738</v>
      </c>
      <c r="G28" s="106" t="s">
        <v>124</v>
      </c>
      <c r="H28" s="106" t="s">
        <v>1594</v>
      </c>
      <c r="I28" s="106" t="s">
        <v>1595</v>
      </c>
      <c r="J28" s="106" t="s">
        <v>1514</v>
      </c>
      <c r="K28" s="50" t="s">
        <v>1520</v>
      </c>
      <c r="L28" s="70" t="s">
        <v>1527</v>
      </c>
      <c r="M28" s="69" t="str">
        <f t="shared" si="0"/>
        <v>24/10/1997</v>
      </c>
      <c r="N28" s="50">
        <f t="shared" ca="1" si="1"/>
        <v>28</v>
      </c>
      <c r="O28" s="50" t="s">
        <v>988</v>
      </c>
      <c r="P28" s="50" t="s">
        <v>1435</v>
      </c>
      <c r="Q28" s="50" t="s">
        <v>1399</v>
      </c>
      <c r="R28" s="50"/>
      <c r="S28" s="81" t="s">
        <v>2022</v>
      </c>
      <c r="T28" s="90" t="s">
        <v>2152</v>
      </c>
      <c r="U28" s="84">
        <v>46326</v>
      </c>
    </row>
    <row r="29" spans="1:22" s="54" customFormat="1" ht="16.5">
      <c r="A29" s="64" t="s">
        <v>19</v>
      </c>
      <c r="B29" s="106" t="s">
        <v>55</v>
      </c>
      <c r="C29" s="106" t="s">
        <v>1626</v>
      </c>
      <c r="D29" s="81" t="s">
        <v>56</v>
      </c>
      <c r="E29" s="81" t="s">
        <v>2131</v>
      </c>
      <c r="F29" s="169" t="s">
        <v>2704</v>
      </c>
      <c r="G29" s="106" t="s">
        <v>21</v>
      </c>
      <c r="H29" s="106" t="s">
        <v>1594</v>
      </c>
      <c r="I29" s="106" t="s">
        <v>1595</v>
      </c>
      <c r="J29" s="106" t="s">
        <v>1514</v>
      </c>
      <c r="K29" s="50" t="s">
        <v>1005</v>
      </c>
      <c r="L29" s="70" t="s">
        <v>1454</v>
      </c>
      <c r="M29" s="69" t="str">
        <f t="shared" si="0"/>
        <v>01/06/1986</v>
      </c>
      <c r="N29" s="50">
        <f t="shared" ca="1" si="1"/>
        <v>40</v>
      </c>
      <c r="O29" s="50" t="s">
        <v>998</v>
      </c>
      <c r="P29" s="50" t="s">
        <v>1937</v>
      </c>
      <c r="Q29" s="50" t="s">
        <v>1068</v>
      </c>
      <c r="R29" s="50" t="s">
        <v>1184</v>
      </c>
      <c r="S29" s="50"/>
      <c r="T29" s="50"/>
      <c r="U29" s="84"/>
    </row>
    <row r="30" spans="1:22" s="54" customFormat="1" ht="16.5">
      <c r="A30" s="64" t="s">
        <v>120</v>
      </c>
      <c r="B30" s="106" t="s">
        <v>2705</v>
      </c>
      <c r="C30" s="106" t="s">
        <v>1626</v>
      </c>
      <c r="D30" s="81" t="s">
        <v>142</v>
      </c>
      <c r="E30" s="81" t="s">
        <v>1996</v>
      </c>
      <c r="F30" s="169" t="s">
        <v>2706</v>
      </c>
      <c r="G30" s="106" t="s">
        <v>141</v>
      </c>
      <c r="H30" s="106" t="s">
        <v>1594</v>
      </c>
      <c r="I30" s="106" t="s">
        <v>1598</v>
      </c>
      <c r="J30" s="106" t="s">
        <v>109</v>
      </c>
      <c r="K30" s="50" t="s">
        <v>1386</v>
      </c>
      <c r="L30" s="70" t="s">
        <v>1452</v>
      </c>
      <c r="M30" s="69" t="str">
        <f t="shared" si="0"/>
        <v>07/10/1992</v>
      </c>
      <c r="N30" s="50">
        <f t="shared" ca="1" si="1"/>
        <v>33</v>
      </c>
      <c r="O30" s="50" t="s">
        <v>988</v>
      </c>
      <c r="P30" s="50" t="s">
        <v>2121</v>
      </c>
      <c r="Q30" s="50" t="s">
        <v>1453</v>
      </c>
      <c r="R30" s="50"/>
      <c r="S30" s="81" t="s">
        <v>2066</v>
      </c>
      <c r="T30" s="83">
        <v>477920</v>
      </c>
      <c r="U30" s="84">
        <v>46081</v>
      </c>
    </row>
    <row r="31" spans="1:22" s="54" customFormat="1" ht="16.5">
      <c r="A31" s="64" t="s">
        <v>26</v>
      </c>
      <c r="B31" s="106" t="s">
        <v>58</v>
      </c>
      <c r="C31" s="106" t="s">
        <v>1626</v>
      </c>
      <c r="D31" s="81" t="s">
        <v>59</v>
      </c>
      <c r="E31" s="81">
        <v>24012585</v>
      </c>
      <c r="F31" s="169" t="s">
        <v>2707</v>
      </c>
      <c r="G31" s="106" t="s">
        <v>21</v>
      </c>
      <c r="H31" s="106" t="s">
        <v>1594</v>
      </c>
      <c r="I31" s="106" t="s">
        <v>1595</v>
      </c>
      <c r="J31" s="106" t="s">
        <v>979</v>
      </c>
      <c r="K31" s="50" t="s">
        <v>1005</v>
      </c>
      <c r="L31" s="70" t="s">
        <v>1450</v>
      </c>
      <c r="M31" s="69" t="str">
        <f t="shared" si="0"/>
        <v>28/12/1983</v>
      </c>
      <c r="N31" s="50">
        <f t="shared" ca="1" si="1"/>
        <v>42</v>
      </c>
      <c r="O31" s="50" t="s">
        <v>988</v>
      </c>
      <c r="P31" s="50" t="s">
        <v>1437</v>
      </c>
      <c r="Q31" s="50" t="s">
        <v>1382</v>
      </c>
      <c r="R31" s="50" t="s">
        <v>1451</v>
      </c>
      <c r="S31" s="101"/>
      <c r="T31" s="50"/>
      <c r="U31" s="103"/>
    </row>
    <row r="32" spans="1:22" s="54" customFormat="1" ht="16.5">
      <c r="A32" s="64" t="s">
        <v>111</v>
      </c>
      <c r="B32" s="106" t="s">
        <v>978</v>
      </c>
      <c r="C32" s="106" t="s">
        <v>1627</v>
      </c>
      <c r="D32" s="81" t="s">
        <v>1993</v>
      </c>
      <c r="E32" s="81" t="s">
        <v>1994</v>
      </c>
      <c r="F32" s="169" t="s">
        <v>2708</v>
      </c>
      <c r="G32" s="106" t="s">
        <v>124</v>
      </c>
      <c r="H32" s="106" t="s">
        <v>1594</v>
      </c>
      <c r="I32" s="106" t="s">
        <v>1596</v>
      </c>
      <c r="J32" s="106" t="s">
        <v>44</v>
      </c>
      <c r="K32" s="50" t="s">
        <v>1448</v>
      </c>
      <c r="L32" s="70" t="s">
        <v>1449</v>
      </c>
      <c r="M32" s="69" t="str">
        <f t="shared" si="0"/>
        <v>06/11/1998</v>
      </c>
      <c r="N32" s="50">
        <f t="shared" ca="1" si="1"/>
        <v>27</v>
      </c>
      <c r="O32" s="50" t="s">
        <v>998</v>
      </c>
      <c r="P32" s="50" t="s">
        <v>1406</v>
      </c>
      <c r="Q32" s="50" t="s">
        <v>1000</v>
      </c>
      <c r="R32" s="50"/>
      <c r="S32" s="100" t="s">
        <v>2022</v>
      </c>
      <c r="T32" s="83" t="s">
        <v>2150</v>
      </c>
      <c r="U32" s="103"/>
    </row>
    <row r="33" spans="1:23" s="54" customFormat="1" ht="16.5">
      <c r="A33" s="64" t="s">
        <v>107</v>
      </c>
      <c r="B33" s="106" t="s">
        <v>2709</v>
      </c>
      <c r="C33" s="106" t="s">
        <v>1627</v>
      </c>
      <c r="D33" s="82" t="s">
        <v>128</v>
      </c>
      <c r="E33" s="81" t="s">
        <v>1992</v>
      </c>
      <c r="F33" s="169" t="s">
        <v>2710</v>
      </c>
      <c r="G33" s="106" t="s">
        <v>124</v>
      </c>
      <c r="H33" s="106" t="s">
        <v>1594</v>
      </c>
      <c r="I33" s="106" t="s">
        <v>1598</v>
      </c>
      <c r="J33" s="106" t="s">
        <v>944</v>
      </c>
      <c r="K33" s="50" t="s">
        <v>1005</v>
      </c>
      <c r="L33" s="70" t="s">
        <v>1446</v>
      </c>
      <c r="M33" s="69" t="str">
        <f t="shared" si="0"/>
        <v>14/01/1993</v>
      </c>
      <c r="N33" s="50">
        <f t="shared" ca="1" si="1"/>
        <v>33</v>
      </c>
      <c r="O33" s="50" t="s">
        <v>988</v>
      </c>
      <c r="P33" s="50" t="s">
        <v>1435</v>
      </c>
      <c r="Q33" s="50" t="s">
        <v>1447</v>
      </c>
      <c r="R33" s="50"/>
      <c r="S33" s="166" t="s">
        <v>2022</v>
      </c>
      <c r="T33" s="90" t="s">
        <v>2145</v>
      </c>
      <c r="U33" s="84">
        <v>46265</v>
      </c>
    </row>
    <row r="34" spans="1:23" s="54" customFormat="1" ht="16.5">
      <c r="A34" s="107" t="s">
        <v>89</v>
      </c>
      <c r="B34" s="108" t="s">
        <v>116</v>
      </c>
      <c r="C34" s="108" t="s">
        <v>1627</v>
      </c>
      <c r="D34" s="170" t="s">
        <v>117</v>
      </c>
      <c r="E34" s="108">
        <v>28572675</v>
      </c>
      <c r="F34" s="172" t="s">
        <v>2711</v>
      </c>
      <c r="G34" s="108" t="s">
        <v>21</v>
      </c>
      <c r="H34" s="108" t="s">
        <v>1594</v>
      </c>
      <c r="I34" s="108" t="s">
        <v>1595</v>
      </c>
      <c r="J34" s="108" t="s">
        <v>979</v>
      </c>
      <c r="K34" s="71" t="s">
        <v>1005</v>
      </c>
      <c r="L34" s="72" t="s">
        <v>1443</v>
      </c>
      <c r="M34" s="54" t="str">
        <f t="shared" si="0"/>
        <v>20/12/1990</v>
      </c>
      <c r="N34" s="71">
        <f t="shared" ca="1" si="1"/>
        <v>35</v>
      </c>
      <c r="O34" s="71" t="s">
        <v>1414</v>
      </c>
      <c r="P34" s="71" t="s">
        <v>1444</v>
      </c>
      <c r="Q34" s="71" t="s">
        <v>1445</v>
      </c>
      <c r="R34" s="71"/>
      <c r="S34" s="71"/>
      <c r="T34" s="71"/>
      <c r="U34" s="112"/>
    </row>
    <row r="35" spans="1:23" s="54" customFormat="1" ht="16.5">
      <c r="A35" s="107"/>
      <c r="B35" s="108" t="s">
        <v>130</v>
      </c>
      <c r="C35" s="108" t="s">
        <v>1626</v>
      </c>
      <c r="D35" s="170" t="s">
        <v>2728</v>
      </c>
      <c r="E35" s="108">
        <v>27970664</v>
      </c>
      <c r="F35" s="172" t="s">
        <v>2729</v>
      </c>
      <c r="G35" s="106" t="s">
        <v>124</v>
      </c>
      <c r="H35" s="108" t="s">
        <v>1594</v>
      </c>
      <c r="I35" s="106" t="s">
        <v>1596</v>
      </c>
      <c r="J35" s="108" t="s">
        <v>44</v>
      </c>
      <c r="K35" s="71" t="s">
        <v>1005</v>
      </c>
      <c r="L35" s="72" t="s">
        <v>2730</v>
      </c>
      <c r="M35" s="54" t="str">
        <f t="shared" si="0"/>
        <v>16/01/1991</v>
      </c>
      <c r="N35" s="71">
        <f t="shared" ca="1" si="1"/>
        <v>35</v>
      </c>
      <c r="O35" s="71" t="s">
        <v>988</v>
      </c>
      <c r="P35" s="71" t="s">
        <v>996</v>
      </c>
      <c r="Q35" s="71" t="s">
        <v>1125</v>
      </c>
      <c r="R35" s="71"/>
      <c r="S35" s="102"/>
      <c r="T35" s="71"/>
      <c r="U35" s="112"/>
      <c r="V35" s="171">
        <v>45351</v>
      </c>
      <c r="W35" s="54" t="s">
        <v>2731</v>
      </c>
    </row>
    <row r="36" spans="1:23" s="54" customFormat="1" ht="16.5">
      <c r="A36" s="107" t="s">
        <v>34</v>
      </c>
      <c r="B36" s="108" t="s">
        <v>64</v>
      </c>
      <c r="C36" s="108" t="s">
        <v>1626</v>
      </c>
      <c r="D36" s="170" t="s">
        <v>66</v>
      </c>
      <c r="E36" s="108">
        <v>2034558</v>
      </c>
      <c r="F36" s="172" t="s">
        <v>2719</v>
      </c>
      <c r="G36" s="108" t="s">
        <v>21</v>
      </c>
      <c r="H36" s="108" t="s">
        <v>1594</v>
      </c>
      <c r="I36" s="108" t="s">
        <v>1598</v>
      </c>
      <c r="J36" s="108" t="s">
        <v>951</v>
      </c>
      <c r="K36" s="71" t="s">
        <v>1005</v>
      </c>
      <c r="L36" s="72" t="s">
        <v>1442</v>
      </c>
      <c r="M36" s="54" t="str">
        <f t="shared" si="0"/>
        <v>25/12/1974</v>
      </c>
      <c r="N36" s="71">
        <f t="shared" ca="1" si="1"/>
        <v>51</v>
      </c>
      <c r="O36" s="71" t="s">
        <v>988</v>
      </c>
      <c r="P36" s="71" t="s">
        <v>1437</v>
      </c>
      <c r="Q36" s="71" t="s">
        <v>1382</v>
      </c>
      <c r="R36" s="71"/>
      <c r="S36" s="102"/>
      <c r="T36" s="71"/>
      <c r="U36" s="103"/>
    </row>
    <row r="37" spans="1:23" s="54" customFormat="1" ht="16.5">
      <c r="A37" s="64"/>
      <c r="B37" s="106" t="s">
        <v>1509</v>
      </c>
      <c r="C37" s="106" t="s">
        <v>1626</v>
      </c>
      <c r="D37" s="81" t="s">
        <v>2001</v>
      </c>
      <c r="E37" s="81">
        <v>34770259</v>
      </c>
      <c r="F37" s="169" t="s">
        <v>2739</v>
      </c>
      <c r="G37" s="106" t="s">
        <v>935</v>
      </c>
      <c r="H37" s="106" t="s">
        <v>1594</v>
      </c>
      <c r="I37" s="106" t="s">
        <v>1598</v>
      </c>
      <c r="J37" s="106" t="s">
        <v>1511</v>
      </c>
      <c r="K37" s="50" t="s">
        <v>1520</v>
      </c>
      <c r="L37" s="70" t="s">
        <v>1521</v>
      </c>
      <c r="M37" s="69" t="str">
        <f t="shared" si="0"/>
        <v>10/08/1997</v>
      </c>
      <c r="N37" s="50">
        <f t="shared" ca="1" si="1"/>
        <v>28</v>
      </c>
      <c r="O37" s="50" t="s">
        <v>998</v>
      </c>
      <c r="P37" s="50" t="s">
        <v>1522</v>
      </c>
      <c r="Q37" s="50" t="s">
        <v>1523</v>
      </c>
      <c r="R37" s="50"/>
      <c r="S37" s="100" t="s">
        <v>2022</v>
      </c>
      <c r="T37" s="90" t="s">
        <v>2153</v>
      </c>
      <c r="U37" s="168">
        <v>46295</v>
      </c>
    </row>
    <row r="38" spans="1:23" s="54" customFormat="1" ht="16.5">
      <c r="A38" s="107" t="s">
        <v>143</v>
      </c>
      <c r="B38" s="108" t="s">
        <v>162</v>
      </c>
      <c r="C38" s="108" t="s">
        <v>1626</v>
      </c>
      <c r="D38" s="170" t="s">
        <v>2720</v>
      </c>
      <c r="E38" s="108">
        <v>37079350</v>
      </c>
      <c r="F38" s="172" t="s">
        <v>2721</v>
      </c>
      <c r="G38" s="108" t="s">
        <v>83</v>
      </c>
      <c r="H38" s="108" t="s">
        <v>1594</v>
      </c>
      <c r="I38" s="108" t="s">
        <v>1595</v>
      </c>
      <c r="J38" s="108" t="s">
        <v>52</v>
      </c>
      <c r="K38" s="71" t="s">
        <v>1439</v>
      </c>
      <c r="L38" s="72" t="s">
        <v>1440</v>
      </c>
      <c r="M38" s="54" t="str">
        <f t="shared" si="0"/>
        <v>15/12/1999</v>
      </c>
      <c r="N38" s="71">
        <f t="shared" ca="1" si="1"/>
        <v>26</v>
      </c>
      <c r="O38" s="71" t="s">
        <v>998</v>
      </c>
      <c r="P38" s="71" t="s">
        <v>1441</v>
      </c>
      <c r="Q38" s="71" t="s">
        <v>1068</v>
      </c>
      <c r="R38" s="71"/>
      <c r="S38" s="102"/>
      <c r="T38" s="71"/>
      <c r="U38" s="103"/>
    </row>
    <row r="39" spans="1:23" s="54" customFormat="1" ht="16.5">
      <c r="A39" s="64"/>
      <c r="B39" s="106" t="s">
        <v>1580</v>
      </c>
      <c r="C39" s="106" t="s">
        <v>1627</v>
      </c>
      <c r="D39" s="81" t="s">
        <v>2002</v>
      </c>
      <c r="E39" s="81">
        <v>37589090</v>
      </c>
      <c r="F39" s="169" t="s">
        <v>2740</v>
      </c>
      <c r="G39" s="106" t="s">
        <v>1581</v>
      </c>
      <c r="H39" s="106" t="s">
        <v>1594</v>
      </c>
      <c r="I39" s="106" t="s">
        <v>1595</v>
      </c>
      <c r="J39" s="106" t="s">
        <v>979</v>
      </c>
      <c r="K39" s="50" t="s">
        <v>1520</v>
      </c>
      <c r="L39" s="70" t="s">
        <v>2138</v>
      </c>
      <c r="M39" s="69" t="str">
        <f t="shared" si="0"/>
        <v>20/08/2000</v>
      </c>
      <c r="N39" s="50">
        <f t="shared" ca="1" si="1"/>
        <v>25</v>
      </c>
      <c r="O39" s="50" t="s">
        <v>988</v>
      </c>
      <c r="P39" s="50" t="s">
        <v>2139</v>
      </c>
      <c r="Q39" s="50" t="s">
        <v>1294</v>
      </c>
      <c r="R39" s="50"/>
      <c r="S39" s="81"/>
      <c r="T39" s="90"/>
      <c r="U39" s="84">
        <v>46265</v>
      </c>
    </row>
    <row r="40" spans="1:23" s="54" customFormat="1" ht="16.5">
      <c r="A40" s="64" t="s">
        <v>38</v>
      </c>
      <c r="B40" s="106" t="s">
        <v>68</v>
      </c>
      <c r="C40" s="106" t="s">
        <v>1626</v>
      </c>
      <c r="D40" s="81" t="s">
        <v>70</v>
      </c>
      <c r="E40" s="81" t="s">
        <v>2132</v>
      </c>
      <c r="F40" s="169" t="s">
        <v>2712</v>
      </c>
      <c r="G40" s="106" t="s">
        <v>21</v>
      </c>
      <c r="H40" s="106" t="s">
        <v>1594</v>
      </c>
      <c r="I40" s="106" t="s">
        <v>1597</v>
      </c>
      <c r="J40" s="106" t="s">
        <v>947</v>
      </c>
      <c r="K40" s="50" t="s">
        <v>1005</v>
      </c>
      <c r="L40" s="70" t="s">
        <v>1418</v>
      </c>
      <c r="M40" s="69" t="str">
        <f t="shared" si="0"/>
        <v>07/12/1988</v>
      </c>
      <c r="N40" s="50">
        <f t="shared" ca="1" si="1"/>
        <v>37</v>
      </c>
      <c r="O40" s="50" t="s">
        <v>1010</v>
      </c>
      <c r="P40" s="50" t="s">
        <v>1419</v>
      </c>
      <c r="Q40" s="50" t="s">
        <v>1420</v>
      </c>
      <c r="R40" s="50" t="s">
        <v>1421</v>
      </c>
      <c r="S40" s="101"/>
      <c r="T40" s="50"/>
      <c r="U40" s="103"/>
    </row>
    <row r="41" spans="1:23" s="54" customFormat="1" ht="16.5">
      <c r="A41" s="107" t="s">
        <v>129</v>
      </c>
      <c r="B41" s="108" t="s">
        <v>151</v>
      </c>
      <c r="C41" s="108" t="s">
        <v>1626</v>
      </c>
      <c r="D41" s="170" t="s">
        <v>2722</v>
      </c>
      <c r="E41" s="108">
        <v>34572141</v>
      </c>
      <c r="F41" s="172" t="s">
        <v>2723</v>
      </c>
      <c r="G41" s="108" t="s">
        <v>21</v>
      </c>
      <c r="H41" s="108" t="s">
        <v>1594</v>
      </c>
      <c r="I41" s="108" t="s">
        <v>1595</v>
      </c>
      <c r="J41" s="108" t="s">
        <v>979</v>
      </c>
      <c r="K41" s="71" t="s">
        <v>1063</v>
      </c>
      <c r="L41" s="72" t="s">
        <v>1422</v>
      </c>
      <c r="M41" s="54" t="str">
        <f t="shared" si="0"/>
        <v>03/10/1997</v>
      </c>
      <c r="N41" s="71">
        <f t="shared" ca="1" si="1"/>
        <v>28</v>
      </c>
      <c r="O41" s="71" t="s">
        <v>988</v>
      </c>
      <c r="P41" s="71" t="s">
        <v>1423</v>
      </c>
      <c r="Q41" s="71" t="s">
        <v>1399</v>
      </c>
      <c r="R41" s="71"/>
      <c r="S41" s="102"/>
      <c r="T41" s="71"/>
      <c r="U41" s="103"/>
    </row>
    <row r="42" spans="1:23" s="54" customFormat="1" ht="16.5">
      <c r="A42" s="107" t="s">
        <v>118</v>
      </c>
      <c r="B42" s="108" t="s">
        <v>137</v>
      </c>
      <c r="C42" s="108" t="s">
        <v>1627</v>
      </c>
      <c r="D42" s="170" t="s">
        <v>139</v>
      </c>
      <c r="E42" s="108">
        <v>21780575</v>
      </c>
      <c r="F42" s="172" t="s">
        <v>2724</v>
      </c>
      <c r="G42" s="108" t="s">
        <v>21</v>
      </c>
      <c r="H42" s="108" t="s">
        <v>1594</v>
      </c>
      <c r="I42" s="108" t="s">
        <v>1598</v>
      </c>
      <c r="J42" s="108" t="s">
        <v>944</v>
      </c>
      <c r="K42" s="71" t="s">
        <v>1005</v>
      </c>
      <c r="L42" s="72" t="s">
        <v>1424</v>
      </c>
      <c r="M42" s="54" t="str">
        <f t="shared" si="0"/>
        <v>15/12/1976</v>
      </c>
      <c r="N42" s="71">
        <f t="shared" ca="1" si="1"/>
        <v>49</v>
      </c>
      <c r="O42" s="71" t="s">
        <v>1010</v>
      </c>
      <c r="P42" s="71" t="s">
        <v>1218</v>
      </c>
      <c r="Q42" s="71"/>
      <c r="R42" s="71"/>
      <c r="S42" s="71"/>
      <c r="T42" s="71"/>
      <c r="U42" s="84">
        <v>46022</v>
      </c>
    </row>
    <row r="43" spans="1:23" s="54" customFormat="1" ht="16.5">
      <c r="A43" s="107" t="s">
        <v>42</v>
      </c>
      <c r="B43" s="108" t="s">
        <v>72</v>
      </c>
      <c r="C43" s="108" t="s">
        <v>1626</v>
      </c>
      <c r="D43" s="170" t="s">
        <v>73</v>
      </c>
      <c r="E43" s="108">
        <v>12881859</v>
      </c>
      <c r="F43" s="172" t="s">
        <v>2725</v>
      </c>
      <c r="G43" s="108" t="s">
        <v>21</v>
      </c>
      <c r="H43" s="108" t="s">
        <v>1594</v>
      </c>
      <c r="I43" s="108" t="s">
        <v>1597</v>
      </c>
      <c r="J43" s="108" t="s">
        <v>947</v>
      </c>
      <c r="K43" s="71" t="s">
        <v>1005</v>
      </c>
      <c r="L43" s="72" t="s">
        <v>1425</v>
      </c>
      <c r="M43" s="54" t="str">
        <f t="shared" si="0"/>
        <v>08/08/1975</v>
      </c>
      <c r="N43" s="71">
        <f t="shared" ca="1" si="1"/>
        <v>50</v>
      </c>
      <c r="O43" s="71" t="s">
        <v>988</v>
      </c>
      <c r="P43" s="71" t="s">
        <v>1426</v>
      </c>
      <c r="Q43" s="71" t="s">
        <v>1427</v>
      </c>
      <c r="R43" s="71"/>
      <c r="S43" s="71"/>
      <c r="T43" s="71"/>
      <c r="U43" s="111">
        <v>46295</v>
      </c>
    </row>
    <row r="44" spans="1:23" s="54" customFormat="1" ht="16.5">
      <c r="A44" s="64" t="s">
        <v>81</v>
      </c>
      <c r="B44" s="106" t="s">
        <v>108</v>
      </c>
      <c r="C44" s="106" t="s">
        <v>1626</v>
      </c>
      <c r="D44" s="81" t="s">
        <v>110</v>
      </c>
      <c r="E44" s="81" t="s">
        <v>1989</v>
      </c>
      <c r="F44" s="169" t="s">
        <v>2713</v>
      </c>
      <c r="G44" s="106" t="s">
        <v>83</v>
      </c>
      <c r="H44" s="106" t="s">
        <v>1594</v>
      </c>
      <c r="I44" s="106" t="s">
        <v>1595</v>
      </c>
      <c r="J44" s="106" t="s">
        <v>979</v>
      </c>
      <c r="K44" s="50" t="s">
        <v>1005</v>
      </c>
      <c r="L44" s="70" t="s">
        <v>1428</v>
      </c>
      <c r="M44" s="69" t="str">
        <f t="shared" si="0"/>
        <v>22/07/1989</v>
      </c>
      <c r="N44" s="50">
        <f t="shared" ca="1" si="1"/>
        <v>37</v>
      </c>
      <c r="O44" s="50" t="s">
        <v>998</v>
      </c>
      <c r="P44" s="50" t="s">
        <v>2140</v>
      </c>
      <c r="Q44" s="50" t="s">
        <v>989</v>
      </c>
      <c r="R44" s="50" t="s">
        <v>2714</v>
      </c>
      <c r="S44" s="83" t="s">
        <v>2111</v>
      </c>
      <c r="T44" s="81" t="s">
        <v>2141</v>
      </c>
      <c r="U44" s="111">
        <v>46233</v>
      </c>
    </row>
    <row r="45" spans="1:23" s="54" customFormat="1" ht="16.5">
      <c r="A45" s="107" t="s">
        <v>67</v>
      </c>
      <c r="B45" s="108" t="s">
        <v>94</v>
      </c>
      <c r="C45" s="108" t="s">
        <v>1626</v>
      </c>
      <c r="D45" s="170" t="s">
        <v>96</v>
      </c>
      <c r="E45" s="108">
        <v>28685444</v>
      </c>
      <c r="F45" s="172" t="s">
        <v>2726</v>
      </c>
      <c r="G45" s="108" t="s">
        <v>21</v>
      </c>
      <c r="H45" s="108" t="s">
        <v>1594</v>
      </c>
      <c r="I45" s="108" t="s">
        <v>1598</v>
      </c>
      <c r="J45" s="108" t="s">
        <v>109</v>
      </c>
      <c r="K45" s="71" t="s">
        <v>1005</v>
      </c>
      <c r="L45" s="72" t="s">
        <v>1430</v>
      </c>
      <c r="M45" s="54" t="str">
        <f t="shared" si="0"/>
        <v>27/09/1990</v>
      </c>
      <c r="N45" s="71">
        <f t="shared" ca="1" si="1"/>
        <v>35</v>
      </c>
      <c r="O45" s="71" t="s">
        <v>988</v>
      </c>
      <c r="P45" s="71" t="s">
        <v>1002</v>
      </c>
      <c r="Q45" s="71"/>
      <c r="R45" s="71"/>
      <c r="S45" s="71"/>
      <c r="T45" s="71"/>
      <c r="U45" s="111">
        <v>46326</v>
      </c>
    </row>
    <row r="46" spans="1:23" s="54" customFormat="1" ht="16.5">
      <c r="A46" s="64" t="s">
        <v>46</v>
      </c>
      <c r="B46" s="106" t="s">
        <v>75</v>
      </c>
      <c r="C46" s="106" t="s">
        <v>1626</v>
      </c>
      <c r="D46" s="81" t="s">
        <v>76</v>
      </c>
      <c r="E46" s="81" t="s">
        <v>2133</v>
      </c>
      <c r="F46" s="169" t="s">
        <v>2715</v>
      </c>
      <c r="G46" s="106" t="s">
        <v>21</v>
      </c>
      <c r="H46" s="106" t="s">
        <v>1594</v>
      </c>
      <c r="I46" s="106" t="s">
        <v>1598</v>
      </c>
      <c r="J46" s="106" t="s">
        <v>943</v>
      </c>
      <c r="K46" s="50" t="s">
        <v>1005</v>
      </c>
      <c r="L46" s="70" t="s">
        <v>1431</v>
      </c>
      <c r="M46" s="69" t="str">
        <f t="shared" si="0"/>
        <v>13/07/1970</v>
      </c>
      <c r="N46" s="50">
        <f t="shared" ca="1" si="1"/>
        <v>56</v>
      </c>
      <c r="O46" s="50" t="s">
        <v>988</v>
      </c>
      <c r="P46" s="50" t="s">
        <v>1167</v>
      </c>
      <c r="Q46" s="50" t="s">
        <v>1064</v>
      </c>
      <c r="R46" s="50"/>
      <c r="S46" s="50"/>
      <c r="T46" s="50"/>
      <c r="U46" s="111"/>
    </row>
    <row r="47" spans="1:23" s="54" customFormat="1" ht="16.5">
      <c r="A47" s="64" t="s">
        <v>10</v>
      </c>
      <c r="B47" s="106" t="s">
        <v>11</v>
      </c>
      <c r="C47" s="106" t="s">
        <v>1626</v>
      </c>
      <c r="D47" s="81" t="s">
        <v>15</v>
      </c>
      <c r="E47" s="81" t="s">
        <v>1987</v>
      </c>
      <c r="F47" s="169" t="s">
        <v>2716</v>
      </c>
      <c r="G47" s="106" t="s">
        <v>12</v>
      </c>
      <c r="H47" s="106" t="s">
        <v>1594</v>
      </c>
      <c r="I47" s="106" t="s">
        <v>1595</v>
      </c>
      <c r="J47" s="106" t="s">
        <v>979</v>
      </c>
      <c r="K47" s="50" t="s">
        <v>1005</v>
      </c>
      <c r="L47" s="70" t="s">
        <v>1433</v>
      </c>
      <c r="M47" s="69" t="str">
        <f t="shared" si="0"/>
        <v>10/04/1992</v>
      </c>
      <c r="N47" s="50">
        <f t="shared" ca="1" si="1"/>
        <v>34</v>
      </c>
      <c r="O47" s="50" t="s">
        <v>988</v>
      </c>
      <c r="P47" s="50" t="s">
        <v>1378</v>
      </c>
      <c r="Q47" s="50" t="s">
        <v>989</v>
      </c>
      <c r="R47" s="50"/>
      <c r="S47" s="81" t="s">
        <v>2003</v>
      </c>
      <c r="T47" s="83" t="s">
        <v>2004</v>
      </c>
      <c r="U47" s="111">
        <v>46022</v>
      </c>
    </row>
    <row r="48" spans="1:23" s="54" customFormat="1" ht="16">
      <c r="A48" s="107" t="s">
        <v>122</v>
      </c>
      <c r="B48" s="108" t="s">
        <v>144</v>
      </c>
      <c r="C48" s="108" t="s">
        <v>1627</v>
      </c>
      <c r="D48" s="207" t="s">
        <v>2816</v>
      </c>
      <c r="E48" s="54">
        <v>26542898</v>
      </c>
      <c r="F48" s="144" t="s">
        <v>2817</v>
      </c>
      <c r="G48" s="108" t="s">
        <v>124</v>
      </c>
      <c r="H48" s="108" t="s">
        <v>1594</v>
      </c>
      <c r="I48" s="108" t="s">
        <v>1598</v>
      </c>
      <c r="J48" s="108" t="s">
        <v>944</v>
      </c>
      <c r="K48" s="71" t="s">
        <v>1060</v>
      </c>
      <c r="L48" s="72" t="s">
        <v>1434</v>
      </c>
      <c r="M48" s="54" t="str">
        <f t="shared" si="0"/>
        <v>15/03/1989</v>
      </c>
      <c r="N48" s="71">
        <f t="shared" ca="1" si="1"/>
        <v>37</v>
      </c>
      <c r="O48" s="71" t="s">
        <v>988</v>
      </c>
      <c r="P48" s="71" t="s">
        <v>1435</v>
      </c>
      <c r="Q48" s="71" t="s">
        <v>989</v>
      </c>
      <c r="R48" s="71"/>
      <c r="S48" s="113"/>
      <c r="T48" s="114"/>
      <c r="U48" s="111">
        <v>46326</v>
      </c>
    </row>
    <row r="49" spans="1:21" s="54" customFormat="1" ht="16.5">
      <c r="A49" s="107" t="s">
        <v>50</v>
      </c>
      <c r="B49" s="108" t="s">
        <v>78</v>
      </c>
      <c r="C49" s="108" t="s">
        <v>1626</v>
      </c>
      <c r="D49" s="113" t="s">
        <v>80</v>
      </c>
      <c r="E49" s="113">
        <v>23774418</v>
      </c>
      <c r="F49" s="169" t="s">
        <v>2727</v>
      </c>
      <c r="G49" s="108" t="s">
        <v>21</v>
      </c>
      <c r="H49" s="108" t="s">
        <v>1594</v>
      </c>
      <c r="I49" s="108" t="s">
        <v>1598</v>
      </c>
      <c r="J49" s="108" t="s">
        <v>952</v>
      </c>
      <c r="K49" s="71" t="s">
        <v>1005</v>
      </c>
      <c r="L49" s="72" t="s">
        <v>1436</v>
      </c>
      <c r="M49" s="54" t="str">
        <f t="shared" si="0"/>
        <v>18/01/1984</v>
      </c>
      <c r="N49" s="71">
        <f t="shared" ca="1" si="1"/>
        <v>42</v>
      </c>
      <c r="O49" s="71" t="s">
        <v>988</v>
      </c>
      <c r="P49" s="71" t="s">
        <v>1437</v>
      </c>
      <c r="Q49" s="71" t="s">
        <v>1438</v>
      </c>
      <c r="R49" s="71"/>
      <c r="S49" s="113"/>
      <c r="T49" s="114"/>
      <c r="U49" s="111"/>
    </row>
    <row r="50" spans="1:21" s="221" customFormat="1" ht="20.149999999999999" customHeight="1">
      <c r="A50" s="217"/>
      <c r="B50" s="98" t="s">
        <v>3165</v>
      </c>
      <c r="C50" s="98" t="s">
        <v>1626</v>
      </c>
      <c r="D50" s="251" t="s">
        <v>3275</v>
      </c>
      <c r="E50" s="98">
        <v>29751574</v>
      </c>
      <c r="F50" s="252" t="s">
        <v>3276</v>
      </c>
      <c r="G50" s="98" t="s">
        <v>21</v>
      </c>
      <c r="H50" s="98" t="s">
        <v>1594</v>
      </c>
      <c r="I50" s="98" t="s">
        <v>1595</v>
      </c>
      <c r="J50" s="98" t="s">
        <v>979</v>
      </c>
      <c r="K50" s="222">
        <v>46041</v>
      </c>
      <c r="L50" s="218" t="s">
        <v>3277</v>
      </c>
      <c r="M50" s="218" t="str">
        <f t="shared" si="0"/>
        <v>20/03/1992</v>
      </c>
      <c r="N50" s="218">
        <f t="shared" ca="1" si="1"/>
        <v>34</v>
      </c>
      <c r="O50" s="219"/>
      <c r="P50" s="219"/>
      <c r="Q50" s="219"/>
      <c r="R50" s="219"/>
      <c r="S50" s="220"/>
      <c r="T50" s="219"/>
      <c r="U50" s="219"/>
    </row>
    <row r="51" spans="1:21" ht="20.149999999999999" customHeight="1">
      <c r="B51" s="56"/>
      <c r="C51" s="56"/>
      <c r="D51" s="56"/>
      <c r="E51" s="56"/>
      <c r="F51" s="155"/>
      <c r="G51" s="56"/>
      <c r="H51" s="56"/>
      <c r="I51" s="56"/>
      <c r="J51" s="56"/>
      <c r="K51" s="58"/>
      <c r="L51" s="58"/>
      <c r="M51" s="58"/>
      <c r="N51" s="58"/>
    </row>
    <row r="52" spans="1:21" ht="20.149999999999999" customHeight="1">
      <c r="B52" s="56"/>
      <c r="C52" s="56"/>
      <c r="D52" s="56"/>
      <c r="E52" s="56"/>
      <c r="F52" s="155"/>
      <c r="G52" s="56"/>
      <c r="H52" s="56"/>
      <c r="I52" s="56"/>
      <c r="J52" s="56"/>
      <c r="K52" s="57"/>
      <c r="L52" s="58"/>
      <c r="M52" s="58"/>
      <c r="N52" s="58"/>
    </row>
    <row r="53" spans="1:21" ht="20.149999999999999" customHeight="1">
      <c r="B53" s="56"/>
      <c r="C53" s="56"/>
      <c r="D53" s="56"/>
      <c r="E53" s="56"/>
      <c r="F53" s="155"/>
      <c r="G53" s="56"/>
      <c r="H53" s="56"/>
      <c r="I53" s="56"/>
      <c r="J53" s="56"/>
      <c r="K53" s="58"/>
      <c r="L53" s="58"/>
      <c r="M53" s="58"/>
      <c r="N53" s="58"/>
    </row>
    <row r="54" spans="1:21" ht="20.149999999999999" customHeight="1">
      <c r="B54" s="56"/>
      <c r="C54" s="56"/>
      <c r="D54" s="56"/>
      <c r="E54" s="56"/>
      <c r="F54" s="155"/>
      <c r="G54" s="56"/>
      <c r="H54" s="56"/>
      <c r="I54" s="56"/>
      <c r="J54" s="56"/>
      <c r="K54" s="58"/>
      <c r="L54" s="58"/>
      <c r="M54" s="58"/>
      <c r="N54" s="58"/>
    </row>
    <row r="55" spans="1:21" ht="20.149999999999999" customHeight="1">
      <c r="B55" s="56"/>
      <c r="C55" s="56"/>
      <c r="D55" s="56"/>
      <c r="E55" s="56"/>
      <c r="F55" s="155"/>
      <c r="G55" s="56"/>
      <c r="H55" s="56"/>
      <c r="I55" s="56"/>
      <c r="J55" s="56"/>
      <c r="K55" s="57"/>
      <c r="L55" s="58"/>
      <c r="M55" s="58"/>
      <c r="N55" s="58"/>
    </row>
    <row r="56" spans="1:21" ht="20.149999999999999" customHeight="1">
      <c r="B56" s="56"/>
      <c r="C56" s="56"/>
      <c r="D56" s="56"/>
      <c r="E56" s="56"/>
      <c r="F56" s="155"/>
      <c r="G56" s="56"/>
      <c r="H56" s="56"/>
      <c r="I56" s="56"/>
      <c r="J56" s="59"/>
      <c r="K56" s="58"/>
      <c r="L56" s="58"/>
      <c r="M56" s="58"/>
      <c r="N56" s="58"/>
    </row>
    <row r="57" spans="1:21" ht="20.149999999999999" customHeight="1">
      <c r="B57" s="56"/>
      <c r="C57" s="56"/>
      <c r="D57" s="56"/>
      <c r="E57" s="56"/>
      <c r="F57" s="155"/>
      <c r="G57" s="56"/>
      <c r="H57" s="56"/>
      <c r="I57" s="56"/>
      <c r="J57" s="56"/>
      <c r="K57" s="58"/>
      <c r="L57" s="58"/>
      <c r="M57" s="58"/>
      <c r="N57" s="58"/>
    </row>
    <row r="58" spans="1:21" ht="20.149999999999999" customHeight="1">
      <c r="B58" s="56"/>
      <c r="C58" s="56"/>
      <c r="D58" s="56"/>
      <c r="E58" s="56"/>
      <c r="F58" s="155"/>
      <c r="G58" s="56"/>
      <c r="H58" s="56"/>
      <c r="I58" s="56"/>
      <c r="J58" s="56"/>
      <c r="K58" s="57"/>
      <c r="L58" s="58"/>
      <c r="M58" s="58"/>
      <c r="N58" s="58"/>
    </row>
    <row r="59" spans="1:21" ht="20.149999999999999" customHeight="1">
      <c r="B59" s="56"/>
      <c r="C59" s="56"/>
      <c r="D59" s="56"/>
      <c r="E59" s="56"/>
      <c r="F59" s="155"/>
      <c r="G59" s="56"/>
      <c r="H59" s="56"/>
      <c r="I59" s="56"/>
      <c r="J59" s="56"/>
      <c r="K59" s="60"/>
      <c r="L59" s="57"/>
      <c r="M59" s="57"/>
      <c r="N59" s="57"/>
      <c r="O59" s="58"/>
    </row>
    <row r="60" spans="1:21" ht="20.149999999999999" customHeight="1">
      <c r="B60" s="60"/>
      <c r="C60" s="60"/>
      <c r="D60" s="60"/>
      <c r="E60" s="60"/>
      <c r="F60" s="155"/>
      <c r="G60" s="105"/>
      <c r="H60" s="60"/>
      <c r="I60" s="60"/>
      <c r="J60" s="60"/>
      <c r="K60" s="60"/>
      <c r="L60" s="58"/>
      <c r="M60" s="58"/>
      <c r="N60" s="58"/>
      <c r="O60" s="58"/>
    </row>
  </sheetData>
  <autoFilter ref="A2:T50" xr:uid="{00000000-0001-0000-0100-000000000000}">
    <sortState xmlns:xlrd2="http://schemas.microsoft.com/office/spreadsheetml/2017/richdata2" ref="A3:T49">
      <sortCondition ref="B2:B49"/>
    </sortState>
  </autoFilter>
  <mergeCells count="1">
    <mergeCell ref="B1:G1"/>
  </mergeCells>
  <phoneticPr fontId="20" type="noConversion"/>
  <dataValidations count="1">
    <dataValidation type="date" allowBlank="1" showInputMessage="1" showErrorMessage="1" error="Enter correct date format" promptTitle="Date" prompt="Enter date as (dd/mm/yyyy)" sqref="U3 U17 U20:U21 U24 U26:U30 U34:U35 U39 U42:U43 U47:U48 U45" xr:uid="{7980FCE3-C6AB-43AC-9FE7-DB00D22C8980}">
      <formula1>45292</formula1>
      <formula2>47848</formula2>
    </dataValidation>
  </dataValidations>
  <hyperlinks>
    <hyperlink ref="F22" r:id="rId1" xr:uid="{0974D79F-3FAA-4917-B54B-67367A2BB9E2}"/>
    <hyperlink ref="F21" r:id="rId2" xr:uid="{98CC5892-E909-40C4-929D-FD609091E899}"/>
    <hyperlink ref="F23" r:id="rId3" xr:uid="{EAFD8B48-C781-4FB0-BB68-47FE2F908F4A}"/>
    <hyperlink ref="F24" r:id="rId4" xr:uid="{9542157B-909C-4BCD-AA0E-87CEB9931E18}"/>
    <hyperlink ref="F25" r:id="rId5" xr:uid="{318F3FD0-EBC8-463F-8DE2-4C97B774C8AB}"/>
    <hyperlink ref="F26" r:id="rId6" xr:uid="{32F8324C-9086-42C5-9D94-6C91C4D92BA6}"/>
    <hyperlink ref="F29" r:id="rId7" xr:uid="{CA990714-C4EE-40DB-97CA-39ADC4DFFCFF}"/>
    <hyperlink ref="F30" r:id="rId8" xr:uid="{9396C072-2784-4085-97CA-456651738D17}"/>
    <hyperlink ref="F31" r:id="rId9" xr:uid="{0F4ACE4B-57A2-4978-BDA5-F207AC8F193C}"/>
    <hyperlink ref="F32" r:id="rId10" xr:uid="{6A7F3C99-B7E7-4C57-9DD2-2F892A6D27FE}"/>
    <hyperlink ref="F33" r:id="rId11" xr:uid="{D4C257E0-FB9D-4D8D-8A92-1F123D101AC1}"/>
    <hyperlink ref="F34" r:id="rId12" xr:uid="{15EC402A-CD8C-458A-8013-3E8CDBD2E3C9}"/>
    <hyperlink ref="F40" r:id="rId13" xr:uid="{F0AD6EF4-1CF3-4BD2-BA79-5CD5F293A4AF}"/>
    <hyperlink ref="F44" r:id="rId14" xr:uid="{CFC98F53-4063-42BF-B3BC-57DD88F5215D}"/>
    <hyperlink ref="F46" r:id="rId15" xr:uid="{584747F4-61BE-4FCC-98BD-89AD0A5D594A}"/>
    <hyperlink ref="F47" r:id="rId16" xr:uid="{E305861D-C673-42B5-BCE9-EAEFC02DCA84}"/>
    <hyperlink ref="F27" r:id="rId17" xr:uid="{5FEBD49E-8AAC-4A16-8A38-59992C1B701E}"/>
    <hyperlink ref="F36" r:id="rId18" xr:uid="{FFBAC374-182D-40D8-8B17-8F6AAA8B48D6}"/>
    <hyperlink ref="F38" r:id="rId19" xr:uid="{C16E3514-36B5-41C6-914C-0FB790FA6248}"/>
    <hyperlink ref="F41" r:id="rId20" xr:uid="{4D5489A7-5D2D-40B7-AF0B-7379DB35FD4C}"/>
    <hyperlink ref="F42" r:id="rId21" xr:uid="{1D37738C-74D6-4BF2-A2D3-072AEC69AAD6}"/>
    <hyperlink ref="F43" r:id="rId22" xr:uid="{C6961DA7-06D7-43E1-851D-E514CBEB9388}"/>
    <hyperlink ref="F45" r:id="rId23" xr:uid="{65240605-638D-4062-B18E-C8B4F91FCE4F}"/>
    <hyperlink ref="F49" r:id="rId24" xr:uid="{6148EED0-DA2D-442E-951C-6BC51393FB85}"/>
    <hyperlink ref="F35" r:id="rId25" xr:uid="{0A3C7D60-86D5-4F6D-90DA-0F92E015528D}"/>
    <hyperlink ref="F20" r:id="rId26" xr:uid="{AEE3F606-AEDC-45B4-952E-F3E943C93102}"/>
    <hyperlink ref="F18" r:id="rId27" xr:uid="{953D17DD-6862-44E8-86B0-95F899F87E10}"/>
    <hyperlink ref="F14" r:id="rId28" xr:uid="{2DA6BA2E-0452-461B-9D79-F92AA5080143}"/>
    <hyperlink ref="F4" r:id="rId29" xr:uid="{3297EB78-74F0-44A4-A701-F669C1714D2D}"/>
    <hyperlink ref="F10" r:id="rId30" xr:uid="{0AC2C78B-FACB-42C9-BF2F-FC90BFF6A895}"/>
    <hyperlink ref="F13" r:id="rId31" xr:uid="{D5668C68-3E83-452F-9E4A-8A8DA8E0E825}"/>
    <hyperlink ref="F28" r:id="rId32" xr:uid="{B6EE9D3A-2995-4970-8C2C-4B4A4F1272ED}"/>
    <hyperlink ref="F37" r:id="rId33" xr:uid="{3E9AB750-AF3B-4B61-BCA2-D38B378D71B4}"/>
    <hyperlink ref="F39" r:id="rId34" xr:uid="{7092F4FC-01E9-4589-B35F-6D023FAD0B85}"/>
    <hyperlink ref="F6" r:id="rId35" xr:uid="{F4BBACB9-A659-4ECF-964D-4E546336386C}"/>
    <hyperlink ref="F15" r:id="rId36" xr:uid="{F1EE9706-667D-4701-B9D2-0F8923EF5E98}"/>
    <hyperlink ref="F5" r:id="rId37" xr:uid="{33170B31-2F3F-4F36-A710-68708916D801}"/>
    <hyperlink ref="F8" r:id="rId38" xr:uid="{6C205617-16E5-465D-8D41-5111E0589F7C}"/>
    <hyperlink ref="F9" r:id="rId39" xr:uid="{183FF53E-6FED-4185-8FBE-1865A268C649}"/>
    <hyperlink ref="F11" r:id="rId40" xr:uid="{8025C751-62EF-4FE4-93F4-E490262D8494}"/>
    <hyperlink ref="F12" r:id="rId41" xr:uid="{6F48EB50-BE09-4F5B-A3CE-7C43669EA8D8}"/>
    <hyperlink ref="F16" r:id="rId42" xr:uid="{75095DC7-7D7F-42B7-8279-1A2557622866}"/>
    <hyperlink ref="F17" r:id="rId43" xr:uid="{B25D3579-318F-427C-A57D-31175F1C1243}"/>
    <hyperlink ref="F19" r:id="rId44" display="pharesgladyskananu@gmail.com&gt;" xr:uid="{50EC8768-445F-4ADD-84AC-1ED40FD8F3D0}"/>
    <hyperlink ref="F48" r:id="rId45" xr:uid="{E8DE7728-C9DA-404C-B612-E8CA3F87F9FF}"/>
    <hyperlink ref="F50" r:id="rId46" xr:uid="{9060C56D-B5D5-4EB7-9F15-44BEAA617E06}"/>
  </hyperlinks>
  <pageMargins left="0.2" right="0.2" top="0.45" bottom="0.63" header="0.24" footer="0.3"/>
  <pageSetup scale="28" fitToHeight="0" orientation="landscape" r:id="rId4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fitToPage="1"/>
  </sheetPr>
  <dimension ref="A1:EI119"/>
  <sheetViews>
    <sheetView zoomScale="90" zoomScaleNormal="90" workbookViewId="0">
      <selection activeCell="B1" sqref="B1"/>
    </sheetView>
  </sheetViews>
  <sheetFormatPr defaultColWidth="9.1796875" defaultRowHeight="15"/>
  <cols>
    <col min="1" max="1" width="4.453125" style="55" customWidth="1"/>
    <col min="2" max="2" width="28.81640625" style="55" customWidth="1"/>
    <col min="3" max="3" width="9.1796875" style="55" bestFit="1" customWidth="1"/>
    <col min="4" max="4" width="14.08984375" style="55" bestFit="1" customWidth="1"/>
    <col min="5" max="5" width="13.54296875" style="55" bestFit="1" customWidth="1"/>
    <col min="6" max="6" width="28.6328125" style="55" bestFit="1" customWidth="1"/>
    <col min="7" max="7" width="35.26953125" style="55" bestFit="1" customWidth="1"/>
    <col min="8" max="8" width="10.81640625" style="55" customWidth="1"/>
    <col min="9" max="9" width="17.36328125" style="55" bestFit="1" customWidth="1"/>
    <col min="10" max="10" width="24" style="51" bestFit="1" customWidth="1"/>
    <col min="11" max="11" width="18.1796875" style="61" bestFit="1" customWidth="1"/>
    <col min="12" max="12" width="13.453125" style="61" bestFit="1" customWidth="1"/>
    <col min="13" max="14" width="13.453125" style="61" customWidth="1"/>
    <col min="15" max="15" width="16.36328125" style="61" customWidth="1"/>
    <col min="16" max="16" width="47.26953125" style="61" bestFit="1" customWidth="1"/>
    <col min="17" max="17" width="30.7265625" style="61" customWidth="1"/>
    <col min="18" max="18" width="76.7265625" style="61" bestFit="1" customWidth="1"/>
    <col min="19" max="19" width="52.36328125" style="61" customWidth="1"/>
    <col min="20" max="20" width="22.90625" style="61" customWidth="1"/>
    <col min="21" max="21" width="15.90625" style="61" customWidth="1"/>
    <col min="22" max="22" width="20.08984375" style="61" bestFit="1" customWidth="1"/>
    <col min="23" max="92" width="9.1796875" style="61"/>
    <col min="93" max="93" width="27.54296875" style="61" customWidth="1"/>
    <col min="94" max="16384" width="9.1796875" style="61"/>
  </cols>
  <sheetData>
    <row r="1" spans="1:139" s="85" customFormat="1">
      <c r="A1" s="87" t="s">
        <v>2</v>
      </c>
      <c r="B1" s="87" t="s">
        <v>4</v>
      </c>
      <c r="C1" s="87" t="s">
        <v>1625</v>
      </c>
      <c r="D1" s="87" t="s">
        <v>1983</v>
      </c>
      <c r="E1" s="87" t="s">
        <v>2005</v>
      </c>
      <c r="F1" s="87"/>
      <c r="G1" s="92" t="s">
        <v>5</v>
      </c>
      <c r="H1" s="92" t="s">
        <v>6</v>
      </c>
      <c r="I1" s="92" t="s">
        <v>1593</v>
      </c>
      <c r="J1" s="88" t="s">
        <v>7</v>
      </c>
      <c r="K1" s="88" t="s">
        <v>990</v>
      </c>
      <c r="L1" s="88" t="s">
        <v>1550</v>
      </c>
      <c r="M1" s="88" t="s">
        <v>1552</v>
      </c>
      <c r="N1" s="88" t="s">
        <v>1549</v>
      </c>
      <c r="O1" s="88" t="s">
        <v>987</v>
      </c>
      <c r="P1" s="85" t="s">
        <v>982</v>
      </c>
      <c r="Q1" s="85" t="s">
        <v>984</v>
      </c>
      <c r="R1" s="95" t="s">
        <v>2104</v>
      </c>
      <c r="S1" s="79" t="s">
        <v>1984</v>
      </c>
      <c r="T1" s="79" t="s">
        <v>2113</v>
      </c>
      <c r="U1" s="80" t="s">
        <v>1986</v>
      </c>
      <c r="V1" s="86"/>
      <c r="W1" s="86" t="s">
        <v>2442</v>
      </c>
      <c r="X1" s="86" t="s">
        <v>2443</v>
      </c>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c r="CF1" s="86"/>
      <c r="CG1" s="86"/>
      <c r="CH1" s="86"/>
      <c r="CI1" s="86"/>
      <c r="CJ1" s="86"/>
      <c r="CK1" s="86"/>
      <c r="CL1" s="86"/>
      <c r="CM1" s="86"/>
      <c r="CN1" s="86"/>
      <c r="CO1" s="85" t="s">
        <v>954</v>
      </c>
      <c r="CP1" s="86"/>
      <c r="CQ1" s="86"/>
      <c r="CR1" s="86"/>
      <c r="CS1" s="86"/>
      <c r="CT1" s="86"/>
      <c r="CU1" s="86"/>
      <c r="CV1" s="86"/>
      <c r="CW1" s="86"/>
      <c r="CX1" s="86"/>
      <c r="CY1" s="86"/>
      <c r="CZ1" s="86"/>
      <c r="DA1" s="86"/>
      <c r="DB1" s="86"/>
      <c r="DC1" s="86"/>
      <c r="DD1" s="86"/>
      <c r="DE1" s="86"/>
      <c r="DF1" s="86"/>
      <c r="DG1" s="86"/>
      <c r="DH1" s="86"/>
      <c r="DI1" s="86"/>
      <c r="DJ1" s="86"/>
      <c r="DK1" s="86"/>
      <c r="DL1" s="86"/>
      <c r="DM1" s="86"/>
      <c r="DN1" s="86"/>
      <c r="DO1" s="86"/>
      <c r="DP1" s="86"/>
      <c r="DQ1" s="86"/>
      <c r="DR1" s="86"/>
      <c r="DS1" s="86"/>
      <c r="DT1" s="86"/>
      <c r="DU1" s="86"/>
      <c r="DV1" s="86"/>
      <c r="DW1" s="86"/>
      <c r="DX1" s="86"/>
      <c r="DY1" s="86"/>
      <c r="DZ1" s="86"/>
      <c r="EA1" s="86"/>
      <c r="EB1" s="86"/>
      <c r="EC1" s="86"/>
      <c r="ED1" s="86"/>
      <c r="EE1" s="86"/>
      <c r="EF1" s="86"/>
      <c r="EG1" s="86"/>
      <c r="EH1" s="86"/>
      <c r="EI1" s="86"/>
    </row>
    <row r="2" spans="1:139" s="62" customFormat="1" hidden="1">
      <c r="A2" s="64" t="s">
        <v>26</v>
      </c>
      <c r="B2" s="93" t="s">
        <v>2355</v>
      </c>
      <c r="C2" s="93" t="s">
        <v>1627</v>
      </c>
      <c r="D2" s="81" t="s">
        <v>176</v>
      </c>
      <c r="E2" s="81" t="s">
        <v>2073</v>
      </c>
      <c r="F2" s="157" t="s">
        <v>2645</v>
      </c>
      <c r="G2" s="93" t="s">
        <v>21</v>
      </c>
      <c r="H2" s="93" t="s">
        <v>166</v>
      </c>
      <c r="I2" s="93" t="s">
        <v>1603</v>
      </c>
      <c r="J2" s="93" t="s">
        <v>1574</v>
      </c>
      <c r="K2" s="62" t="s">
        <v>1005</v>
      </c>
      <c r="L2" s="62" t="s">
        <v>1195</v>
      </c>
      <c r="M2" s="49" t="str">
        <f t="shared" ref="M2:M42" si="0">IF(L2="","",TEXT(DATEVALUE(SUBSTITUTE(SUBSTITUTE(SUBSTITUTE(SUBSTITUTE(SUBSTITUTE(L2,"st",""),"nd",""),"rd",""),"th",""),"TH","")),"dd/mm/yyyy"))</f>
        <v>01/08/1994</v>
      </c>
      <c r="N2" s="50">
        <f t="shared" ref="N2:N33" ca="1" si="1">IF(M2="","",DATEDIF(M2,TODAY(),"Y"))</f>
        <v>31</v>
      </c>
      <c r="O2" s="62" t="s">
        <v>988</v>
      </c>
      <c r="P2" s="62" t="s">
        <v>1196</v>
      </c>
      <c r="Q2" s="62" t="s">
        <v>1197</v>
      </c>
      <c r="R2" s="62" t="s">
        <v>1497</v>
      </c>
      <c r="V2" s="61" t="str">
        <f t="shared" ref="V2:V64" si="2">PROPER(B2)</f>
        <v>Aaron Mwenda Anampiu</v>
      </c>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P2" s="61"/>
      <c r="CQ2" s="61"/>
      <c r="CR2" s="61"/>
      <c r="CS2" s="61"/>
      <c r="CT2" s="61"/>
      <c r="CU2" s="61"/>
      <c r="CV2" s="61"/>
      <c r="CW2" s="61"/>
      <c r="CX2" s="61"/>
      <c r="CY2" s="61"/>
      <c r="CZ2" s="61"/>
      <c r="DA2" s="61"/>
      <c r="DB2" s="61"/>
      <c r="DC2" s="61"/>
      <c r="DD2" s="61"/>
      <c r="DE2" s="61"/>
      <c r="DF2" s="61"/>
      <c r="DG2" s="61"/>
      <c r="DH2" s="61"/>
      <c r="DI2" s="61"/>
      <c r="DJ2" s="61"/>
      <c r="DK2" s="61"/>
      <c r="DL2" s="61"/>
      <c r="DM2" s="61"/>
      <c r="DN2" s="61"/>
      <c r="DO2" s="61"/>
      <c r="DP2" s="61"/>
      <c r="DQ2" s="61"/>
      <c r="DR2" s="61"/>
      <c r="DS2" s="61"/>
      <c r="DT2" s="61"/>
      <c r="DU2" s="61"/>
      <c r="DV2" s="61"/>
      <c r="DW2" s="61"/>
      <c r="DX2" s="61"/>
      <c r="DY2" s="61"/>
      <c r="DZ2" s="61"/>
      <c r="EA2" s="61"/>
      <c r="EB2" s="61"/>
      <c r="EC2" s="61"/>
      <c r="ED2" s="61"/>
      <c r="EE2" s="61"/>
      <c r="EF2" s="61"/>
      <c r="EG2" s="61"/>
      <c r="EH2" s="61"/>
      <c r="EI2" s="61"/>
    </row>
    <row r="3" spans="1:139" s="66" customFormat="1" hidden="1">
      <c r="A3" s="64"/>
      <c r="B3" s="93" t="s">
        <v>2435</v>
      </c>
      <c r="C3" s="93" t="s">
        <v>1627</v>
      </c>
      <c r="D3" s="81" t="s">
        <v>2018</v>
      </c>
      <c r="E3" s="81">
        <v>32199453</v>
      </c>
      <c r="F3" s="157" t="s">
        <v>2647</v>
      </c>
      <c r="G3" s="97" t="s">
        <v>124</v>
      </c>
      <c r="H3" s="97" t="s">
        <v>166</v>
      </c>
      <c r="I3" s="97" t="s">
        <v>1609</v>
      </c>
      <c r="J3" s="65" t="s">
        <v>2471</v>
      </c>
      <c r="K3" s="62" t="s">
        <v>1571</v>
      </c>
      <c r="L3" s="62" t="s">
        <v>1572</v>
      </c>
      <c r="M3" s="49" t="str">
        <f t="shared" si="0"/>
        <v>12/05/1993</v>
      </c>
      <c r="N3" s="50">
        <f t="shared" ca="1" si="1"/>
        <v>33</v>
      </c>
      <c r="O3" s="62" t="s">
        <v>988</v>
      </c>
      <c r="P3" s="62" t="s">
        <v>1570</v>
      </c>
      <c r="Q3" s="62" t="s">
        <v>1170</v>
      </c>
      <c r="R3" s="62"/>
      <c r="S3" s="81" t="s">
        <v>2328</v>
      </c>
      <c r="T3" s="83" t="s">
        <v>2036</v>
      </c>
      <c r="U3" s="84">
        <v>45991</v>
      </c>
      <c r="V3" s="61" t="str">
        <f t="shared" si="2"/>
        <v>Alex Kaibiria Kanake</v>
      </c>
      <c r="W3" s="61"/>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BX3" s="68"/>
      <c r="BY3" s="68"/>
      <c r="BZ3" s="68"/>
      <c r="CA3" s="68"/>
      <c r="CB3" s="68"/>
      <c r="CC3" s="68"/>
      <c r="CD3" s="68"/>
      <c r="CE3" s="68"/>
      <c r="CF3" s="68"/>
      <c r="CG3" s="68"/>
      <c r="CH3" s="68"/>
      <c r="CI3" s="68"/>
      <c r="CJ3" s="68"/>
      <c r="CK3" s="68"/>
      <c r="CL3" s="68"/>
      <c r="CM3" s="68"/>
      <c r="CN3" s="68"/>
      <c r="CP3" s="68"/>
      <c r="CQ3" s="68"/>
      <c r="CR3" s="68"/>
      <c r="CS3" s="68"/>
      <c r="CT3" s="68"/>
      <c r="CU3" s="68"/>
      <c r="CV3" s="68"/>
      <c r="CW3" s="68"/>
      <c r="CX3" s="68"/>
      <c r="CY3" s="68"/>
      <c r="CZ3" s="68"/>
      <c r="DA3" s="68"/>
      <c r="DB3" s="68"/>
      <c r="DC3" s="68"/>
      <c r="DD3" s="68"/>
      <c r="DE3" s="68"/>
      <c r="DF3" s="68"/>
      <c r="DG3" s="68"/>
      <c r="DH3" s="68"/>
      <c r="DI3" s="68"/>
      <c r="DJ3" s="68"/>
      <c r="DK3" s="68"/>
      <c r="DL3" s="68"/>
      <c r="DM3" s="68"/>
      <c r="DN3" s="68"/>
      <c r="DO3" s="68"/>
      <c r="DP3" s="68"/>
      <c r="DQ3" s="68"/>
      <c r="DR3" s="68"/>
      <c r="DS3" s="68"/>
      <c r="DT3" s="68"/>
      <c r="DU3" s="68"/>
      <c r="DV3" s="68"/>
      <c r="DW3" s="68"/>
      <c r="DX3" s="68"/>
      <c r="DY3" s="68"/>
      <c r="DZ3" s="68"/>
      <c r="EA3" s="68"/>
      <c r="EB3" s="68"/>
      <c r="EC3" s="68"/>
      <c r="ED3" s="68"/>
      <c r="EE3" s="68"/>
      <c r="EF3" s="68"/>
      <c r="EG3" s="68"/>
      <c r="EH3" s="68"/>
      <c r="EI3" s="68"/>
    </row>
    <row r="4" spans="1:139" s="66" customFormat="1" hidden="1">
      <c r="A4" s="64" t="s">
        <v>169</v>
      </c>
      <c r="B4" s="93" t="s">
        <v>2367</v>
      </c>
      <c r="C4" s="93" t="s">
        <v>1627</v>
      </c>
      <c r="D4" s="81" t="s">
        <v>325</v>
      </c>
      <c r="E4" s="81" t="s">
        <v>2010</v>
      </c>
      <c r="F4" s="157" t="s">
        <v>2648</v>
      </c>
      <c r="G4" s="93" t="s">
        <v>124</v>
      </c>
      <c r="H4" s="93" t="s">
        <v>166</v>
      </c>
      <c r="I4" s="93" t="s">
        <v>1603</v>
      </c>
      <c r="J4" s="93" t="s">
        <v>282</v>
      </c>
      <c r="K4" s="62" t="s">
        <v>1005</v>
      </c>
      <c r="L4" s="62" t="s">
        <v>1205</v>
      </c>
      <c r="M4" s="49" t="str">
        <f t="shared" si="0"/>
        <v>01/01/1988</v>
      </c>
      <c r="N4" s="50">
        <f t="shared" ca="1" si="1"/>
        <v>38</v>
      </c>
      <c r="O4" s="62" t="s">
        <v>988</v>
      </c>
      <c r="P4" s="62" t="s">
        <v>996</v>
      </c>
      <c r="Q4" s="62" t="s">
        <v>989</v>
      </c>
      <c r="R4" s="62"/>
      <c r="S4" s="81" t="s">
        <v>2328</v>
      </c>
      <c r="T4" s="83" t="s">
        <v>2026</v>
      </c>
      <c r="U4" s="84">
        <v>46326</v>
      </c>
      <c r="V4" s="68" t="str">
        <f t="shared" si="2"/>
        <v>Athanasius Mugambi Mwiti</v>
      </c>
      <c r="W4" s="68"/>
      <c r="X4" s="68"/>
      <c r="Y4" s="246">
        <v>46022</v>
      </c>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8"/>
      <c r="BU4" s="68"/>
      <c r="BV4" s="68"/>
      <c r="BW4" s="68"/>
      <c r="BX4" s="68"/>
      <c r="BY4" s="68"/>
      <c r="BZ4" s="68"/>
      <c r="CA4" s="68"/>
      <c r="CB4" s="68"/>
      <c r="CC4" s="68"/>
      <c r="CD4" s="68"/>
      <c r="CE4" s="68"/>
      <c r="CF4" s="68"/>
      <c r="CG4" s="68"/>
      <c r="CH4" s="68"/>
      <c r="CI4" s="68"/>
      <c r="CJ4" s="68"/>
      <c r="CK4" s="68"/>
      <c r="CL4" s="68"/>
      <c r="CM4" s="68"/>
      <c r="CN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P4" s="68"/>
      <c r="DQ4" s="68"/>
      <c r="DR4" s="68"/>
      <c r="DS4" s="68"/>
      <c r="DT4" s="68"/>
      <c r="DU4" s="68"/>
      <c r="DV4" s="68"/>
      <c r="DW4" s="68"/>
      <c r="DX4" s="68"/>
      <c r="DY4" s="68"/>
      <c r="DZ4" s="68"/>
      <c r="EA4" s="68"/>
      <c r="EB4" s="68"/>
      <c r="EC4" s="68"/>
      <c r="ED4" s="68"/>
      <c r="EE4" s="68"/>
      <c r="EF4" s="68"/>
      <c r="EG4" s="68"/>
      <c r="EH4" s="68"/>
      <c r="EI4" s="68"/>
    </row>
    <row r="5" spans="1:139" s="62" customFormat="1">
      <c r="A5" s="64" t="s">
        <v>154</v>
      </c>
      <c r="B5" s="93" t="s">
        <v>2362</v>
      </c>
      <c r="C5" s="93" t="s">
        <v>1626</v>
      </c>
      <c r="D5" s="81" t="s">
        <v>311</v>
      </c>
      <c r="E5" s="139" t="s">
        <v>2006</v>
      </c>
      <c r="F5" s="276" t="s">
        <v>2649</v>
      </c>
      <c r="G5" s="93" t="s">
        <v>141</v>
      </c>
      <c r="H5" s="93" t="s">
        <v>166</v>
      </c>
      <c r="I5" s="93" t="s">
        <v>1604</v>
      </c>
      <c r="J5" s="93" t="s">
        <v>925</v>
      </c>
      <c r="K5" s="62" t="s">
        <v>1005</v>
      </c>
      <c r="L5" s="62" t="s">
        <v>1206</v>
      </c>
      <c r="M5" s="49" t="str">
        <f t="shared" si="0"/>
        <v>03/05/1992</v>
      </c>
      <c r="N5" s="50">
        <f t="shared" ca="1" si="1"/>
        <v>34</v>
      </c>
      <c r="O5" s="62" t="s">
        <v>988</v>
      </c>
      <c r="P5" s="62" t="s">
        <v>2121</v>
      </c>
      <c r="Q5" s="62" t="s">
        <v>2063</v>
      </c>
      <c r="R5" s="61"/>
      <c r="S5" s="81" t="s">
        <v>2109</v>
      </c>
      <c r="T5" s="83">
        <v>493828</v>
      </c>
      <c r="U5" s="84">
        <v>46173</v>
      </c>
      <c r="V5" s="61" t="str">
        <f t="shared" si="2"/>
        <v>Banis Kathomi Mutembei</v>
      </c>
      <c r="W5" s="61"/>
      <c r="X5" s="61"/>
      <c r="Y5" s="153">
        <v>45869</v>
      </c>
      <c r="Z5" s="61" t="s">
        <v>2524</v>
      </c>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c r="ED5" s="61"/>
      <c r="EE5" s="61"/>
      <c r="EF5" s="61"/>
      <c r="EG5" s="61"/>
      <c r="EH5" s="61"/>
      <c r="EI5" s="61"/>
    </row>
    <row r="6" spans="1:139" s="62" customFormat="1">
      <c r="A6" s="64" t="s">
        <v>276</v>
      </c>
      <c r="B6" s="93" t="s">
        <v>2407</v>
      </c>
      <c r="C6" s="93" t="s">
        <v>1626</v>
      </c>
      <c r="D6" s="81" t="s">
        <v>435</v>
      </c>
      <c r="E6" s="81" t="s">
        <v>2094</v>
      </c>
      <c r="F6" s="277" t="s">
        <v>2650</v>
      </c>
      <c r="G6" s="93" t="s">
        <v>21</v>
      </c>
      <c r="H6" s="93" t="s">
        <v>166</v>
      </c>
      <c r="I6" s="93" t="s">
        <v>1604</v>
      </c>
      <c r="J6" s="93" t="s">
        <v>925</v>
      </c>
      <c r="K6" s="62" t="s">
        <v>1005</v>
      </c>
      <c r="L6" s="62" t="s">
        <v>1207</v>
      </c>
      <c r="M6" s="49" t="str">
        <f t="shared" si="0"/>
        <v>29/11/1986</v>
      </c>
      <c r="N6" s="50">
        <f t="shared" ca="1" si="1"/>
        <v>39</v>
      </c>
      <c r="O6" s="62" t="s">
        <v>1010</v>
      </c>
      <c r="P6" s="62" t="s">
        <v>1533</v>
      </c>
      <c r="Q6" s="62" t="s">
        <v>2569</v>
      </c>
      <c r="R6" s="62" t="s">
        <v>1534</v>
      </c>
      <c r="V6" s="61" t="str">
        <f t="shared" si="2"/>
        <v>Beth Kendi</v>
      </c>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61"/>
      <c r="DT6" s="61"/>
      <c r="DU6" s="61"/>
      <c r="DV6" s="61"/>
      <c r="DW6" s="61"/>
      <c r="DX6" s="61"/>
      <c r="DY6" s="61"/>
      <c r="DZ6" s="61"/>
      <c r="EA6" s="61"/>
      <c r="EB6" s="61"/>
      <c r="EC6" s="61"/>
      <c r="ED6" s="61"/>
      <c r="EE6" s="61"/>
      <c r="EF6" s="61"/>
      <c r="EG6" s="61"/>
      <c r="EH6" s="61"/>
      <c r="EI6" s="61"/>
    </row>
    <row r="7" spans="1:139" s="62" customFormat="1">
      <c r="A7" s="64" t="s">
        <v>157</v>
      </c>
      <c r="B7" s="93" t="s">
        <v>2363</v>
      </c>
      <c r="C7" s="93" t="s">
        <v>1626</v>
      </c>
      <c r="D7" s="81" t="s">
        <v>314</v>
      </c>
      <c r="E7" s="81" t="s">
        <v>2007</v>
      </c>
      <c r="F7" s="277" t="s">
        <v>2651</v>
      </c>
      <c r="G7" s="93" t="s">
        <v>935</v>
      </c>
      <c r="H7" s="93" t="s">
        <v>166</v>
      </c>
      <c r="I7" s="93" t="s">
        <v>1600</v>
      </c>
      <c r="J7" s="93" t="s">
        <v>913</v>
      </c>
      <c r="K7" s="62" t="s">
        <v>1005</v>
      </c>
      <c r="L7" s="62" t="s">
        <v>1208</v>
      </c>
      <c r="M7" s="49" t="str">
        <f t="shared" si="0"/>
        <v>09/04/1990</v>
      </c>
      <c r="N7" s="50">
        <f t="shared" ca="1" si="1"/>
        <v>36</v>
      </c>
      <c r="O7" s="62" t="s">
        <v>988</v>
      </c>
      <c r="P7" s="62" t="s">
        <v>996</v>
      </c>
      <c r="Q7" s="62" t="s">
        <v>1125</v>
      </c>
      <c r="S7" s="81" t="s">
        <v>2328</v>
      </c>
      <c r="T7" s="83" t="s">
        <v>2023</v>
      </c>
      <c r="U7" s="84">
        <v>46295</v>
      </c>
      <c r="V7" s="61" t="str">
        <f t="shared" si="2"/>
        <v>Beth Wanjiru Kahuha</v>
      </c>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61"/>
      <c r="CH7" s="61"/>
      <c r="CI7" s="61"/>
      <c r="CJ7" s="61"/>
      <c r="CK7" s="61"/>
      <c r="CL7" s="61"/>
      <c r="CM7" s="61"/>
      <c r="CN7" s="61"/>
      <c r="CP7" s="61"/>
      <c r="CQ7" s="61"/>
      <c r="CR7" s="61"/>
      <c r="CS7" s="61"/>
      <c r="CT7" s="61"/>
      <c r="CU7" s="61"/>
      <c r="CV7" s="61"/>
      <c r="CW7" s="61"/>
      <c r="CX7" s="61"/>
      <c r="CY7" s="61"/>
      <c r="CZ7" s="61"/>
      <c r="DA7" s="61"/>
      <c r="DB7" s="61"/>
      <c r="DC7" s="61"/>
      <c r="DD7" s="61"/>
      <c r="DE7" s="61"/>
      <c r="DF7" s="61"/>
      <c r="DG7" s="61"/>
      <c r="DH7" s="61"/>
      <c r="DI7" s="61"/>
      <c r="DJ7" s="61"/>
      <c r="DK7" s="61"/>
      <c r="DL7" s="61"/>
      <c r="DM7" s="61"/>
      <c r="DN7" s="61"/>
      <c r="DO7" s="61"/>
      <c r="DP7" s="61"/>
      <c r="DQ7" s="61"/>
      <c r="DR7" s="61"/>
      <c r="DS7" s="61"/>
      <c r="DT7" s="61"/>
      <c r="DU7" s="61"/>
      <c r="DV7" s="61"/>
      <c r="DW7" s="61"/>
      <c r="DX7" s="61"/>
      <c r="DY7" s="61"/>
      <c r="DZ7" s="61"/>
      <c r="EA7" s="61"/>
      <c r="EB7" s="61"/>
      <c r="EC7" s="61"/>
      <c r="ED7" s="61"/>
      <c r="EE7" s="61"/>
      <c r="EF7" s="61"/>
      <c r="EG7" s="61"/>
      <c r="EH7" s="61"/>
      <c r="EI7" s="61"/>
    </row>
    <row r="8" spans="1:139" s="62" customFormat="1">
      <c r="A8" s="64"/>
      <c r="B8" s="93" t="s">
        <v>2436</v>
      </c>
      <c r="C8" s="93" t="s">
        <v>1626</v>
      </c>
      <c r="D8" s="82" t="s">
        <v>2019</v>
      </c>
      <c r="E8" s="81">
        <v>27899472</v>
      </c>
      <c r="F8" s="277" t="s">
        <v>2652</v>
      </c>
      <c r="G8" s="98" t="s">
        <v>124</v>
      </c>
      <c r="H8" s="98" t="s">
        <v>166</v>
      </c>
      <c r="I8" s="98" t="s">
        <v>1602</v>
      </c>
      <c r="J8" s="98" t="s">
        <v>920</v>
      </c>
      <c r="K8" s="99" t="s">
        <v>1568</v>
      </c>
      <c r="L8" s="62" t="s">
        <v>1569</v>
      </c>
      <c r="M8" s="49" t="str">
        <f t="shared" si="0"/>
        <v>09/06/1990</v>
      </c>
      <c r="N8" s="50">
        <f t="shared" ca="1" si="1"/>
        <v>36</v>
      </c>
      <c r="O8" s="62" t="s">
        <v>988</v>
      </c>
      <c r="P8" s="62" t="s">
        <v>996</v>
      </c>
      <c r="Q8" s="62" t="s">
        <v>1284</v>
      </c>
      <c r="S8" s="82" t="s">
        <v>2328</v>
      </c>
      <c r="T8" s="90" t="s">
        <v>2037</v>
      </c>
      <c r="U8" s="84">
        <v>46356</v>
      </c>
      <c r="V8" s="61" t="str">
        <f t="shared" si="2"/>
        <v>Brenda Ntinyari Koome</v>
      </c>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P8" s="61"/>
      <c r="CQ8" s="61"/>
      <c r="CR8" s="61"/>
      <c r="CS8" s="61"/>
      <c r="CT8" s="61"/>
      <c r="CU8" s="61"/>
      <c r="CV8" s="61"/>
      <c r="CW8" s="61"/>
      <c r="CX8" s="61"/>
      <c r="CY8" s="61"/>
      <c r="CZ8" s="61"/>
      <c r="DA8" s="61"/>
      <c r="DB8" s="61"/>
      <c r="DC8" s="61"/>
      <c r="DD8" s="61"/>
      <c r="DE8" s="61"/>
      <c r="DF8" s="61"/>
      <c r="DG8" s="61"/>
      <c r="DH8" s="61"/>
      <c r="DI8" s="61"/>
      <c r="DJ8" s="61"/>
      <c r="DK8" s="61"/>
      <c r="DL8" s="61"/>
      <c r="DM8" s="61"/>
      <c r="DN8" s="61"/>
      <c r="DO8" s="61"/>
      <c r="DP8" s="61"/>
      <c r="DQ8" s="61"/>
      <c r="DR8" s="61"/>
      <c r="DS8" s="61"/>
      <c r="DT8" s="61"/>
      <c r="DU8" s="61"/>
      <c r="DV8" s="61"/>
      <c r="DW8" s="61"/>
      <c r="DX8" s="61"/>
      <c r="DY8" s="61"/>
      <c r="DZ8" s="61"/>
      <c r="EA8" s="61"/>
      <c r="EB8" s="61"/>
      <c r="EC8" s="61"/>
      <c r="ED8" s="61"/>
      <c r="EE8" s="61"/>
      <c r="EF8" s="61"/>
      <c r="EG8" s="61"/>
      <c r="EH8" s="61"/>
      <c r="EI8" s="61"/>
    </row>
    <row r="9" spans="1:139" s="66" customFormat="1" hidden="1">
      <c r="A9" s="64"/>
      <c r="B9" s="93" t="s">
        <v>2437</v>
      </c>
      <c r="C9" s="93" t="s">
        <v>1627</v>
      </c>
      <c r="D9" s="81" t="s">
        <v>2020</v>
      </c>
      <c r="E9" s="81" t="s">
        <v>2021</v>
      </c>
      <c r="F9" s="157" t="s">
        <v>2653</v>
      </c>
      <c r="G9" s="98" t="s">
        <v>935</v>
      </c>
      <c r="H9" s="98" t="s">
        <v>166</v>
      </c>
      <c r="I9" s="93" t="s">
        <v>2470</v>
      </c>
      <c r="J9" s="93" t="s">
        <v>1574</v>
      </c>
      <c r="K9" s="99" t="s">
        <v>1610</v>
      </c>
      <c r="L9" s="62" t="s">
        <v>1532</v>
      </c>
      <c r="M9" s="49" t="str">
        <f t="shared" si="0"/>
        <v>08/09/1997</v>
      </c>
      <c r="N9" s="50">
        <f t="shared" ca="1" si="1"/>
        <v>28</v>
      </c>
      <c r="O9" s="62" t="s">
        <v>988</v>
      </c>
      <c r="P9" s="62" t="s">
        <v>996</v>
      </c>
      <c r="Q9" s="62" t="s">
        <v>1000</v>
      </c>
      <c r="R9" s="62"/>
      <c r="S9" s="81" t="s">
        <v>2328</v>
      </c>
      <c r="T9" s="83" t="s">
        <v>2570</v>
      </c>
      <c r="U9" s="84">
        <v>46265</v>
      </c>
      <c r="V9" s="61" t="str">
        <f t="shared" si="2"/>
        <v>Brian Mbaabu Muriuki</v>
      </c>
      <c r="W9" s="61"/>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c r="BO9" s="68"/>
      <c r="BP9" s="68"/>
      <c r="BQ9" s="68"/>
      <c r="BR9" s="68"/>
      <c r="BS9" s="68"/>
      <c r="BT9" s="68"/>
      <c r="BU9" s="68"/>
      <c r="BV9" s="68"/>
      <c r="BW9" s="68"/>
      <c r="BX9" s="68"/>
      <c r="BY9" s="68"/>
      <c r="BZ9" s="68"/>
      <c r="CA9" s="68"/>
      <c r="CB9" s="68"/>
      <c r="CC9" s="68"/>
      <c r="CD9" s="68"/>
      <c r="CE9" s="68"/>
      <c r="CF9" s="68"/>
      <c r="CG9" s="68"/>
      <c r="CH9" s="68"/>
      <c r="CI9" s="68"/>
      <c r="CJ9" s="68"/>
      <c r="CK9" s="68"/>
      <c r="CL9" s="68"/>
      <c r="CM9" s="68"/>
      <c r="CN9" s="68"/>
      <c r="CP9" s="68"/>
      <c r="CQ9" s="68"/>
      <c r="CR9" s="68"/>
      <c r="CS9" s="68"/>
      <c r="CT9" s="68"/>
      <c r="CU9" s="68"/>
      <c r="CV9" s="68"/>
      <c r="CW9" s="68"/>
      <c r="CX9" s="68"/>
      <c r="CY9" s="68"/>
      <c r="CZ9" s="68"/>
      <c r="DA9" s="68"/>
      <c r="DB9" s="68"/>
      <c r="DC9" s="68"/>
      <c r="DD9" s="68"/>
      <c r="DE9" s="68"/>
      <c r="DF9" s="68"/>
      <c r="DG9" s="68"/>
      <c r="DH9" s="68"/>
      <c r="DI9" s="68"/>
      <c r="DJ9" s="68"/>
      <c r="DK9" s="68"/>
      <c r="DL9" s="68"/>
      <c r="DM9" s="68"/>
      <c r="DN9" s="68"/>
      <c r="DO9" s="68"/>
      <c r="DP9" s="68"/>
      <c r="DQ9" s="68"/>
      <c r="DR9" s="68"/>
      <c r="DS9" s="68"/>
      <c r="DT9" s="68"/>
      <c r="DU9" s="68"/>
      <c r="DV9" s="68"/>
      <c r="DW9" s="68"/>
      <c r="DX9" s="68"/>
      <c r="DY9" s="68"/>
      <c r="DZ9" s="68"/>
      <c r="EA9" s="68"/>
      <c r="EB9" s="68"/>
      <c r="EC9" s="68"/>
      <c r="ED9" s="68"/>
      <c r="EE9" s="68"/>
      <c r="EF9" s="68"/>
      <c r="EG9" s="68"/>
      <c r="EH9" s="68"/>
      <c r="EI9" s="68"/>
    </row>
    <row r="10" spans="1:139" s="66" customFormat="1">
      <c r="A10" s="64" t="s">
        <v>219</v>
      </c>
      <c r="B10" s="93" t="s">
        <v>2387</v>
      </c>
      <c r="C10" s="93" t="s">
        <v>1626</v>
      </c>
      <c r="D10" s="81" t="s">
        <v>378</v>
      </c>
      <c r="E10" s="81">
        <v>24808849</v>
      </c>
      <c r="F10" s="277" t="s">
        <v>2654</v>
      </c>
      <c r="G10" s="93" t="s">
        <v>83</v>
      </c>
      <c r="H10" s="93" t="s">
        <v>166</v>
      </c>
      <c r="I10" s="93" t="s">
        <v>1604</v>
      </c>
      <c r="J10" s="93" t="s">
        <v>925</v>
      </c>
      <c r="K10" s="62" t="s">
        <v>1005</v>
      </c>
      <c r="L10" s="62" t="s">
        <v>1211</v>
      </c>
      <c r="M10" s="49" t="str">
        <f t="shared" si="0"/>
        <v>01/01/1986</v>
      </c>
      <c r="N10" s="50">
        <f t="shared" ca="1" si="1"/>
        <v>40</v>
      </c>
      <c r="O10" s="62" t="s">
        <v>988</v>
      </c>
      <c r="P10" s="62" t="s">
        <v>983</v>
      </c>
      <c r="Q10" s="62" t="s">
        <v>989</v>
      </c>
      <c r="R10" s="62"/>
      <c r="S10" s="81" t="s">
        <v>2111</v>
      </c>
      <c r="T10" s="81" t="s">
        <v>2041</v>
      </c>
      <c r="U10" s="84">
        <v>45828</v>
      </c>
      <c r="V10" s="61" t="str">
        <f t="shared" si="2"/>
        <v>Caroline Kananu Thambura</v>
      </c>
      <c r="W10" s="61"/>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c r="BP10" s="68"/>
      <c r="BQ10" s="68"/>
      <c r="BR10" s="68"/>
      <c r="BS10" s="68"/>
      <c r="BT10" s="68"/>
      <c r="BU10" s="68"/>
      <c r="BV10" s="68"/>
      <c r="BW10" s="68"/>
      <c r="BX10" s="68"/>
      <c r="BY10" s="68"/>
      <c r="BZ10" s="68"/>
      <c r="CA10" s="68"/>
      <c r="CB10" s="68"/>
      <c r="CC10" s="68"/>
      <c r="CD10" s="68"/>
      <c r="CE10" s="68"/>
      <c r="CF10" s="68"/>
      <c r="CG10" s="68"/>
      <c r="CH10" s="68"/>
      <c r="CI10" s="68"/>
      <c r="CJ10" s="68"/>
      <c r="CK10" s="68"/>
      <c r="CL10" s="68"/>
      <c r="CM10" s="68"/>
      <c r="CN10" s="68"/>
      <c r="CP10" s="68"/>
      <c r="CQ10" s="68"/>
      <c r="CR10" s="68"/>
      <c r="CS10" s="68"/>
      <c r="CT10" s="68"/>
      <c r="CU10" s="68"/>
      <c r="CV10" s="68"/>
      <c r="CW10" s="68"/>
      <c r="CX10" s="68"/>
      <c r="CY10" s="68"/>
      <c r="CZ10" s="68"/>
      <c r="DA10" s="68"/>
      <c r="DB10" s="68"/>
      <c r="DC10" s="68"/>
      <c r="DD10" s="68"/>
      <c r="DE10" s="68"/>
      <c r="DF10" s="68"/>
      <c r="DG10" s="68"/>
      <c r="DH10" s="68"/>
      <c r="DI10" s="68"/>
      <c r="DJ10" s="68"/>
      <c r="DK10" s="68"/>
      <c r="DL10" s="68"/>
      <c r="DM10" s="68"/>
      <c r="DN10" s="68"/>
      <c r="DO10" s="68"/>
      <c r="DP10" s="68"/>
      <c r="DQ10" s="68"/>
      <c r="DR10" s="68"/>
      <c r="DS10" s="68"/>
      <c r="DT10" s="68"/>
      <c r="DU10" s="68"/>
      <c r="DV10" s="68"/>
      <c r="DW10" s="68"/>
      <c r="DX10" s="68"/>
      <c r="DY10" s="68"/>
      <c r="DZ10" s="68"/>
      <c r="EA10" s="68"/>
      <c r="EB10" s="68"/>
      <c r="EC10" s="68"/>
      <c r="ED10" s="68"/>
      <c r="EE10" s="68"/>
      <c r="EF10" s="68"/>
      <c r="EG10" s="68"/>
      <c r="EH10" s="68"/>
      <c r="EI10" s="68"/>
    </row>
    <row r="11" spans="1:139" s="62" customFormat="1">
      <c r="A11" s="64" t="s">
        <v>360</v>
      </c>
      <c r="B11" s="93" t="s">
        <v>2428</v>
      </c>
      <c r="C11" s="93" t="s">
        <v>1626</v>
      </c>
      <c r="D11" s="81" t="s">
        <v>521</v>
      </c>
      <c r="E11" s="81">
        <v>32659628</v>
      </c>
      <c r="F11" s="277" t="s">
        <v>2655</v>
      </c>
      <c r="G11" s="93" t="s">
        <v>21</v>
      </c>
      <c r="H11" s="93" t="s">
        <v>166</v>
      </c>
      <c r="I11" s="93" t="s">
        <v>1602</v>
      </c>
      <c r="J11" s="93" t="s">
        <v>920</v>
      </c>
      <c r="K11" s="62" t="s">
        <v>1214</v>
      </c>
      <c r="L11" s="62" t="s">
        <v>1212</v>
      </c>
      <c r="M11" s="49" t="str">
        <f t="shared" si="0"/>
        <v>03/04/1996</v>
      </c>
      <c r="N11" s="50">
        <f t="shared" ca="1" si="1"/>
        <v>30</v>
      </c>
      <c r="O11" s="62" t="s">
        <v>988</v>
      </c>
      <c r="P11" s="62" t="s">
        <v>1078</v>
      </c>
      <c r="Q11" s="62" t="s">
        <v>1213</v>
      </c>
      <c r="R11" s="62" t="s">
        <v>1537</v>
      </c>
      <c r="V11" s="61" t="str">
        <f t="shared" si="2"/>
        <v>Caroline Kathure Koome</v>
      </c>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P11" s="61"/>
      <c r="CQ11" s="61"/>
      <c r="CR11" s="61"/>
      <c r="CS11" s="61"/>
      <c r="CT11" s="61"/>
      <c r="CU11" s="61"/>
      <c r="CV11" s="61"/>
      <c r="CW11" s="61"/>
      <c r="CX11" s="61"/>
      <c r="CY11" s="61"/>
      <c r="CZ11" s="61"/>
      <c r="DA11" s="61"/>
      <c r="DB11" s="61"/>
      <c r="DC11" s="61"/>
      <c r="DD11" s="61"/>
      <c r="DE11" s="61"/>
      <c r="DF11" s="61"/>
      <c r="DG11" s="61"/>
      <c r="DH11" s="61"/>
      <c r="DI11" s="61"/>
      <c r="DJ11" s="61"/>
      <c r="DK11" s="61"/>
      <c r="DL11" s="61"/>
      <c r="DM11" s="61"/>
      <c r="DN11" s="61"/>
      <c r="DO11" s="61"/>
      <c r="DP11" s="61"/>
      <c r="DQ11" s="61"/>
      <c r="DR11" s="61"/>
      <c r="DS11" s="61"/>
      <c r="DT11" s="61"/>
      <c r="DU11" s="61"/>
      <c r="DV11" s="61"/>
      <c r="DW11" s="61"/>
      <c r="DX11" s="61"/>
      <c r="DY11" s="61"/>
      <c r="DZ11" s="61"/>
      <c r="EA11" s="61"/>
      <c r="EB11" s="61"/>
      <c r="EC11" s="61"/>
      <c r="ED11" s="61"/>
      <c r="EE11" s="61"/>
      <c r="EF11" s="61"/>
      <c r="EG11" s="61"/>
      <c r="EH11" s="61"/>
      <c r="EI11" s="61"/>
    </row>
    <row r="12" spans="1:139" s="62" customFormat="1">
      <c r="A12" s="64" t="s">
        <v>288</v>
      </c>
      <c r="B12" s="93" t="s">
        <v>2411</v>
      </c>
      <c r="C12" s="93" t="s">
        <v>1626</v>
      </c>
      <c r="D12" s="81" t="s">
        <v>445</v>
      </c>
      <c r="E12" s="81" t="s">
        <v>2097</v>
      </c>
      <c r="F12" s="277" t="s">
        <v>2656</v>
      </c>
      <c r="G12" s="93" t="s">
        <v>21</v>
      </c>
      <c r="H12" s="93" t="s">
        <v>166</v>
      </c>
      <c r="I12" s="93" t="s">
        <v>1605</v>
      </c>
      <c r="J12" s="93" t="s">
        <v>328</v>
      </c>
      <c r="K12" s="62" t="s">
        <v>1005</v>
      </c>
      <c r="L12" s="62" t="s">
        <v>1215</v>
      </c>
      <c r="M12" s="49" t="str">
        <f t="shared" si="0"/>
        <v>31/03/1985</v>
      </c>
      <c r="N12" s="50">
        <f t="shared" ca="1" si="1"/>
        <v>41</v>
      </c>
      <c r="O12" s="62" t="s">
        <v>998</v>
      </c>
      <c r="P12" s="62" t="s">
        <v>1216</v>
      </c>
      <c r="Q12" s="62" t="s">
        <v>1217</v>
      </c>
      <c r="R12" s="62" t="s">
        <v>1218</v>
      </c>
      <c r="V12" s="61" t="str">
        <f t="shared" si="2"/>
        <v>Caroline Wanja Kibetu</v>
      </c>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row>
    <row r="13" spans="1:139" s="62" customFormat="1">
      <c r="A13" s="64" t="s">
        <v>371</v>
      </c>
      <c r="B13" s="93" t="s">
        <v>2433</v>
      </c>
      <c r="C13" s="93" t="s">
        <v>1626</v>
      </c>
      <c r="D13" s="81" t="s">
        <v>2016</v>
      </c>
      <c r="E13" s="81">
        <v>30471674</v>
      </c>
      <c r="F13" s="277" t="s">
        <v>2657</v>
      </c>
      <c r="G13" s="93" t="s">
        <v>124</v>
      </c>
      <c r="H13" s="93" t="s">
        <v>166</v>
      </c>
      <c r="I13" s="93" t="s">
        <v>1604</v>
      </c>
      <c r="J13" s="93" t="s">
        <v>925</v>
      </c>
      <c r="K13" s="62" t="s">
        <v>1214</v>
      </c>
      <c r="L13" s="62" t="s">
        <v>1169</v>
      </c>
      <c r="M13" s="49" t="str">
        <f t="shared" si="0"/>
        <v>17/04/1994</v>
      </c>
      <c r="N13" s="50">
        <f t="shared" ca="1" si="1"/>
        <v>32</v>
      </c>
      <c r="O13" s="62" t="s">
        <v>988</v>
      </c>
      <c r="P13" s="62" t="s">
        <v>996</v>
      </c>
      <c r="Q13" s="62" t="s">
        <v>1142</v>
      </c>
      <c r="S13" s="81" t="s">
        <v>2328</v>
      </c>
      <c r="T13" s="83" t="s">
        <v>2033</v>
      </c>
      <c r="U13" s="84">
        <v>46142</v>
      </c>
      <c r="V13" s="61" t="str">
        <f t="shared" si="2"/>
        <v>Christine Wanjiku Gichangi</v>
      </c>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row>
    <row r="14" spans="1:139" s="62" customFormat="1" hidden="1">
      <c r="A14" s="64"/>
      <c r="B14" s="93" t="s">
        <v>2438</v>
      </c>
      <c r="C14" s="93" t="s">
        <v>1627</v>
      </c>
      <c r="D14" s="179" t="s">
        <v>2017</v>
      </c>
      <c r="E14" s="156">
        <v>31877804</v>
      </c>
      <c r="F14" s="180" t="s">
        <v>2658</v>
      </c>
      <c r="G14" s="93" t="s">
        <v>124</v>
      </c>
      <c r="H14" s="93" t="s">
        <v>166</v>
      </c>
      <c r="I14" s="93" t="s">
        <v>1600</v>
      </c>
      <c r="J14" s="93" t="s">
        <v>290</v>
      </c>
      <c r="K14" s="62" t="s">
        <v>1517</v>
      </c>
      <c r="L14" s="62" t="s">
        <v>1518</v>
      </c>
      <c r="M14" s="49" t="str">
        <f t="shared" si="0"/>
        <v>12/02/1995</v>
      </c>
      <c r="N14" s="50">
        <f t="shared" ca="1" si="1"/>
        <v>31</v>
      </c>
      <c r="O14" s="62" t="s">
        <v>988</v>
      </c>
      <c r="P14" s="62" t="s">
        <v>996</v>
      </c>
      <c r="Q14" s="62" t="s">
        <v>1057</v>
      </c>
      <c r="S14" s="81" t="s">
        <v>2328</v>
      </c>
      <c r="T14" s="83" t="s">
        <v>2034</v>
      </c>
      <c r="U14" s="84">
        <v>46142</v>
      </c>
      <c r="V14" s="61" t="str">
        <f t="shared" si="2"/>
        <v>Daniel Muthomi Kiome</v>
      </c>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row>
    <row r="15" spans="1:139" s="62" customFormat="1" hidden="1">
      <c r="A15" s="64" t="s">
        <v>184</v>
      </c>
      <c r="B15" s="93" t="s">
        <v>2369</v>
      </c>
      <c r="C15" s="93" t="s">
        <v>1627</v>
      </c>
      <c r="D15" s="81" t="s">
        <v>341</v>
      </c>
      <c r="E15" s="81" t="s">
        <v>2012</v>
      </c>
      <c r="F15" s="157" t="s">
        <v>2659</v>
      </c>
      <c r="G15" s="93" t="s">
        <v>124</v>
      </c>
      <c r="H15" s="93" t="s">
        <v>166</v>
      </c>
      <c r="I15" s="93" t="s">
        <v>1600</v>
      </c>
      <c r="J15" s="93" t="s">
        <v>340</v>
      </c>
      <c r="K15" s="62" t="s">
        <v>1005</v>
      </c>
      <c r="L15" s="62" t="s">
        <v>1224</v>
      </c>
      <c r="M15" s="49" t="str">
        <f t="shared" si="0"/>
        <v>22/12/1987</v>
      </c>
      <c r="N15" s="50">
        <f t="shared" ca="1" si="1"/>
        <v>38</v>
      </c>
      <c r="O15" s="62" t="s">
        <v>988</v>
      </c>
      <c r="P15" s="62" t="s">
        <v>996</v>
      </c>
      <c r="Q15" s="62" t="s">
        <v>989</v>
      </c>
      <c r="S15" s="81" t="s">
        <v>2328</v>
      </c>
      <c r="T15" s="83" t="s">
        <v>2028</v>
      </c>
      <c r="U15" s="84">
        <v>46326</v>
      </c>
      <c r="V15" s="61" t="str">
        <f t="shared" si="2"/>
        <v>Dennis Murangiri Gitari</v>
      </c>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c r="BK15" s="61"/>
      <c r="BL15" s="61"/>
      <c r="BM15" s="61"/>
      <c r="BN15" s="61"/>
      <c r="BO15" s="61"/>
      <c r="BP15" s="61"/>
      <c r="BQ15" s="61"/>
      <c r="BR15" s="61"/>
      <c r="BS15" s="61"/>
      <c r="BT15" s="61"/>
      <c r="BU15" s="61"/>
      <c r="BV15" s="61"/>
      <c r="BW15" s="61"/>
      <c r="BX15" s="61"/>
      <c r="BY15" s="61"/>
      <c r="BZ15" s="61"/>
      <c r="CA15" s="61"/>
      <c r="CB15" s="61"/>
      <c r="CC15" s="61"/>
      <c r="CD15" s="61"/>
      <c r="CE15" s="61"/>
      <c r="CF15" s="61"/>
      <c r="CG15" s="61"/>
      <c r="CH15" s="61"/>
      <c r="CI15" s="61"/>
      <c r="CJ15" s="61"/>
      <c r="CK15" s="61"/>
      <c r="CL15" s="61"/>
      <c r="CM15" s="61"/>
      <c r="CN15" s="61"/>
      <c r="CP15" s="61"/>
      <c r="CQ15" s="61"/>
      <c r="CR15" s="61"/>
      <c r="CS15" s="61"/>
      <c r="CT15" s="61"/>
      <c r="CU15" s="61"/>
      <c r="CV15" s="61"/>
      <c r="CW15" s="61"/>
      <c r="CX15" s="61"/>
      <c r="CY15" s="61"/>
      <c r="CZ15" s="61"/>
      <c r="DA15" s="61"/>
      <c r="DB15" s="61"/>
      <c r="DC15" s="61"/>
      <c r="DD15" s="61"/>
      <c r="DE15" s="61"/>
      <c r="DF15" s="61"/>
      <c r="DG15" s="61"/>
      <c r="DH15" s="61"/>
      <c r="DI15" s="61"/>
      <c r="DJ15" s="61"/>
      <c r="DK15" s="61"/>
      <c r="DL15" s="61"/>
      <c r="DM15" s="61"/>
      <c r="DN15" s="61"/>
      <c r="DO15" s="61"/>
      <c r="DP15" s="61"/>
      <c r="DQ15" s="61"/>
      <c r="DR15" s="61"/>
      <c r="DS15" s="61"/>
      <c r="DT15" s="61"/>
      <c r="DU15" s="61"/>
      <c r="DV15" s="61"/>
      <c r="DW15" s="61"/>
      <c r="DX15" s="61"/>
      <c r="DY15" s="61"/>
      <c r="DZ15" s="61"/>
      <c r="EA15" s="61"/>
      <c r="EB15" s="61"/>
      <c r="EC15" s="61"/>
      <c r="ED15" s="61"/>
      <c r="EE15" s="61"/>
      <c r="EF15" s="61"/>
      <c r="EG15" s="61"/>
      <c r="EH15" s="61"/>
      <c r="EI15" s="61"/>
    </row>
    <row r="16" spans="1:139" s="66" customFormat="1" hidden="1">
      <c r="A16" s="64" t="s">
        <v>233</v>
      </c>
      <c r="B16" s="93" t="s">
        <v>2394</v>
      </c>
      <c r="C16" s="93" t="s">
        <v>1627</v>
      </c>
      <c r="D16" s="81" t="s">
        <v>394</v>
      </c>
      <c r="E16" s="81">
        <v>33031183</v>
      </c>
      <c r="F16" s="157" t="s">
        <v>2660</v>
      </c>
      <c r="G16" s="93" t="s">
        <v>83</v>
      </c>
      <c r="H16" s="93" t="s">
        <v>166</v>
      </c>
      <c r="I16" s="93" t="s">
        <v>1601</v>
      </c>
      <c r="J16" s="93" t="s">
        <v>393</v>
      </c>
      <c r="K16" s="62" t="s">
        <v>1005</v>
      </c>
      <c r="L16" s="62" t="s">
        <v>1237</v>
      </c>
      <c r="M16" s="49" t="str">
        <f t="shared" si="0"/>
        <v>02/09/1993</v>
      </c>
      <c r="N16" s="50">
        <f t="shared" ca="1" si="1"/>
        <v>32</v>
      </c>
      <c r="O16" s="62" t="s">
        <v>988</v>
      </c>
      <c r="P16" s="62" t="s">
        <v>983</v>
      </c>
      <c r="Q16" s="62" t="s">
        <v>989</v>
      </c>
      <c r="R16" s="62"/>
      <c r="S16" s="81" t="s">
        <v>2111</v>
      </c>
      <c r="T16" s="91" t="s">
        <v>2043</v>
      </c>
      <c r="U16" s="151">
        <v>45891</v>
      </c>
      <c r="V16" s="61" t="str">
        <f t="shared" si="2"/>
        <v>Dickens Koome Maruri</v>
      </c>
      <c r="W16" s="61"/>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c r="DQ16" s="68"/>
      <c r="DR16" s="68"/>
      <c r="DS16" s="68"/>
      <c r="DT16" s="68"/>
      <c r="DU16" s="68"/>
      <c r="DV16" s="68"/>
      <c r="DW16" s="68"/>
      <c r="DX16" s="68"/>
      <c r="DY16" s="68"/>
      <c r="DZ16" s="68"/>
      <c r="EA16" s="68"/>
      <c r="EB16" s="68"/>
      <c r="EC16" s="68"/>
      <c r="ED16" s="68"/>
      <c r="EE16" s="68"/>
      <c r="EF16" s="68"/>
      <c r="EG16" s="68"/>
      <c r="EH16" s="68"/>
      <c r="EI16" s="68"/>
    </row>
    <row r="17" spans="1:139" s="66" customFormat="1">
      <c r="A17" s="64" t="s">
        <v>34</v>
      </c>
      <c r="B17" s="93" t="s">
        <v>2372</v>
      </c>
      <c r="C17" s="93" t="s">
        <v>1626</v>
      </c>
      <c r="D17" s="81" t="s">
        <v>183</v>
      </c>
      <c r="E17" s="81" t="s">
        <v>2088</v>
      </c>
      <c r="F17" s="277" t="s">
        <v>2662</v>
      </c>
      <c r="G17" s="93" t="s">
        <v>21</v>
      </c>
      <c r="H17" s="93" t="s">
        <v>166</v>
      </c>
      <c r="I17" s="93" t="s">
        <v>1607</v>
      </c>
      <c r="J17" s="93" t="s">
        <v>182</v>
      </c>
      <c r="K17" s="62" t="s">
        <v>1005</v>
      </c>
      <c r="L17" s="62" t="s">
        <v>2571</v>
      </c>
      <c r="M17" s="49" t="str">
        <f t="shared" si="0"/>
        <v>03/09/1993</v>
      </c>
      <c r="N17" s="50">
        <f t="shared" ca="1" si="1"/>
        <v>32</v>
      </c>
      <c r="O17" s="62" t="s">
        <v>988</v>
      </c>
      <c r="P17" s="62" t="s">
        <v>1319</v>
      </c>
      <c r="Q17" s="62" t="s">
        <v>1197</v>
      </c>
      <c r="R17" s="62" t="s">
        <v>1498</v>
      </c>
      <c r="S17" s="62"/>
      <c r="T17" s="62"/>
      <c r="U17" s="62"/>
      <c r="V17" s="61" t="str">
        <f t="shared" si="2"/>
        <v>Doreen Kagendo</v>
      </c>
      <c r="W17" s="61"/>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P17" s="68"/>
      <c r="CQ17" s="68"/>
      <c r="CR17" s="68"/>
      <c r="CS17" s="68"/>
      <c r="CT17" s="68"/>
      <c r="CU17" s="68"/>
      <c r="CV17" s="68"/>
      <c r="CW17" s="68"/>
      <c r="CX17" s="68"/>
      <c r="CY17" s="68"/>
      <c r="CZ17" s="68"/>
      <c r="DA17" s="68"/>
      <c r="DB17" s="68"/>
      <c r="DC17" s="68"/>
      <c r="DD17" s="68"/>
      <c r="DE17" s="68"/>
      <c r="DF17" s="68"/>
      <c r="DG17" s="68"/>
      <c r="DH17" s="68"/>
      <c r="DI17" s="68"/>
      <c r="DJ17" s="68"/>
      <c r="DK17" s="68"/>
      <c r="DL17" s="68"/>
      <c r="DM17" s="68"/>
      <c r="DN17" s="68"/>
      <c r="DO17" s="68"/>
      <c r="DP17" s="68"/>
      <c r="DQ17" s="68"/>
      <c r="DR17" s="68"/>
      <c r="DS17" s="68"/>
      <c r="DT17" s="68"/>
      <c r="DU17" s="68"/>
      <c r="DV17" s="68"/>
      <c r="DW17" s="68"/>
      <c r="DX17" s="68"/>
      <c r="DY17" s="68"/>
      <c r="DZ17" s="68"/>
      <c r="EA17" s="68"/>
      <c r="EB17" s="68"/>
      <c r="EC17" s="68"/>
      <c r="ED17" s="68"/>
      <c r="EE17" s="68"/>
      <c r="EF17" s="68"/>
      <c r="EG17" s="68"/>
      <c r="EH17" s="68"/>
      <c r="EI17" s="68"/>
    </row>
    <row r="18" spans="1:139" s="62" customFormat="1">
      <c r="A18" s="64" t="s">
        <v>38</v>
      </c>
      <c r="B18" s="93" t="s">
        <v>2391</v>
      </c>
      <c r="C18" s="93" t="s">
        <v>1626</v>
      </c>
      <c r="D18" s="81" t="s">
        <v>187</v>
      </c>
      <c r="E18" s="81" t="s">
        <v>2089</v>
      </c>
      <c r="F18" s="277" t="s">
        <v>2663</v>
      </c>
      <c r="G18" s="93" t="s">
        <v>21</v>
      </c>
      <c r="H18" s="93" t="s">
        <v>166</v>
      </c>
      <c r="I18" s="93" t="s">
        <v>1609</v>
      </c>
      <c r="J18" s="93" t="s">
        <v>186</v>
      </c>
      <c r="K18" s="62" t="s">
        <v>1005</v>
      </c>
      <c r="L18" s="62" t="s">
        <v>1226</v>
      </c>
      <c r="M18" s="49" t="str">
        <f t="shared" si="0"/>
        <v>05/02/1990</v>
      </c>
      <c r="N18" s="50">
        <f t="shared" ca="1" si="1"/>
        <v>36</v>
      </c>
      <c r="O18" s="62" t="s">
        <v>988</v>
      </c>
      <c r="P18" s="62" t="s">
        <v>1500</v>
      </c>
      <c r="Q18" s="62" t="s">
        <v>1197</v>
      </c>
      <c r="R18" s="62" t="s">
        <v>1499</v>
      </c>
      <c r="V18" s="61" t="str">
        <f t="shared" si="2"/>
        <v>Doreen Kawira Michubu</v>
      </c>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P18" s="61"/>
      <c r="CQ18" s="61"/>
      <c r="CR18" s="61"/>
      <c r="CS18" s="61"/>
      <c r="CT18" s="61"/>
      <c r="CU18" s="61"/>
      <c r="CV18" s="61"/>
      <c r="CW18" s="61"/>
      <c r="CX18" s="61"/>
      <c r="CY18" s="61"/>
      <c r="CZ18" s="61"/>
      <c r="DA18" s="61"/>
      <c r="DB18" s="61"/>
      <c r="DC18" s="61"/>
      <c r="DD18" s="61"/>
      <c r="DE18" s="61"/>
      <c r="DF18" s="61"/>
      <c r="DG18" s="61"/>
      <c r="DH18" s="61"/>
      <c r="DI18" s="61"/>
      <c r="DJ18" s="61"/>
      <c r="DK18" s="61"/>
      <c r="DL18" s="61"/>
      <c r="DM18" s="61"/>
      <c r="DN18" s="61"/>
      <c r="DO18" s="61"/>
      <c r="DP18" s="61"/>
      <c r="DQ18" s="61"/>
      <c r="DR18" s="61"/>
      <c r="DS18" s="61"/>
      <c r="DT18" s="61"/>
      <c r="DU18" s="61"/>
      <c r="DV18" s="61"/>
      <c r="DW18" s="61"/>
      <c r="DX18" s="61"/>
      <c r="DY18" s="61"/>
      <c r="DZ18" s="61"/>
      <c r="EA18" s="61"/>
      <c r="EB18" s="61"/>
      <c r="EC18" s="61"/>
      <c r="ED18" s="61"/>
      <c r="EE18" s="61"/>
      <c r="EF18" s="61"/>
      <c r="EG18" s="61"/>
      <c r="EH18" s="61"/>
      <c r="EI18" s="61"/>
    </row>
    <row r="19" spans="1:139" s="62" customFormat="1">
      <c r="A19" s="64" t="s">
        <v>42</v>
      </c>
      <c r="B19" s="93" t="s">
        <v>2403</v>
      </c>
      <c r="C19" s="93" t="s">
        <v>1626</v>
      </c>
      <c r="D19" s="81" t="s">
        <v>190</v>
      </c>
      <c r="E19" s="81" t="s">
        <v>2093</v>
      </c>
      <c r="F19" s="277" t="s">
        <v>2664</v>
      </c>
      <c r="G19" s="93" t="s">
        <v>21</v>
      </c>
      <c r="H19" s="93" t="s">
        <v>166</v>
      </c>
      <c r="I19" s="93" t="s">
        <v>1604</v>
      </c>
      <c r="J19" s="93" t="s">
        <v>266</v>
      </c>
      <c r="K19" s="62" t="s">
        <v>1005</v>
      </c>
      <c r="L19" s="62" t="s">
        <v>1228</v>
      </c>
      <c r="M19" s="49" t="str">
        <f t="shared" si="0"/>
        <v>30/04/1984</v>
      </c>
      <c r="N19" s="50">
        <f t="shared" ca="1" si="1"/>
        <v>42</v>
      </c>
      <c r="O19" s="62" t="s">
        <v>1010</v>
      </c>
      <c r="P19" s="62" t="s">
        <v>1230</v>
      </c>
      <c r="Q19" s="62" t="s">
        <v>1231</v>
      </c>
      <c r="R19" s="62" t="s">
        <v>1497</v>
      </c>
      <c r="V19" s="61" t="str">
        <f t="shared" si="2"/>
        <v>Doreen Njura Guteta</v>
      </c>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61"/>
      <c r="DR19" s="61"/>
      <c r="DS19" s="61"/>
      <c r="DT19" s="61"/>
      <c r="DU19" s="61"/>
      <c r="DV19" s="61"/>
      <c r="DW19" s="61"/>
      <c r="DX19" s="61"/>
      <c r="DY19" s="61"/>
      <c r="DZ19" s="61"/>
      <c r="EA19" s="61"/>
      <c r="EB19" s="61"/>
      <c r="EC19" s="61"/>
      <c r="ED19" s="61"/>
      <c r="EE19" s="61"/>
      <c r="EF19" s="61"/>
      <c r="EG19" s="61"/>
      <c r="EH19" s="61"/>
      <c r="EI19" s="61"/>
    </row>
    <row r="20" spans="1:139" s="62" customFormat="1">
      <c r="A20" s="64" t="s">
        <v>319</v>
      </c>
      <c r="B20" s="93" t="s">
        <v>2416</v>
      </c>
      <c r="C20" s="93" t="s">
        <v>1626</v>
      </c>
      <c r="D20" s="81" t="s">
        <v>478</v>
      </c>
      <c r="E20" s="81">
        <v>30272559</v>
      </c>
      <c r="F20" s="277" t="s">
        <v>2572</v>
      </c>
      <c r="G20" s="93" t="s">
        <v>141</v>
      </c>
      <c r="H20" s="93" t="s">
        <v>166</v>
      </c>
      <c r="I20" s="93" t="s">
        <v>1604</v>
      </c>
      <c r="J20" s="93" t="s">
        <v>925</v>
      </c>
      <c r="K20" s="62" t="s">
        <v>1060</v>
      </c>
      <c r="L20" s="62" t="s">
        <v>1233</v>
      </c>
      <c r="M20" s="49" t="str">
        <f t="shared" si="0"/>
        <v>27/09/1993</v>
      </c>
      <c r="N20" s="50">
        <f t="shared" ca="1" si="1"/>
        <v>32</v>
      </c>
      <c r="O20" s="62" t="s">
        <v>998</v>
      </c>
      <c r="P20" s="62" t="s">
        <v>1232</v>
      </c>
      <c r="Q20" s="62" t="s">
        <v>1331</v>
      </c>
      <c r="S20" s="81" t="s">
        <v>2109</v>
      </c>
      <c r="T20" s="81">
        <v>488343</v>
      </c>
      <c r="U20" s="84">
        <v>46142</v>
      </c>
      <c r="V20" s="61" t="str">
        <f t="shared" si="2"/>
        <v>Dorothy Ntinyari</v>
      </c>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1"/>
      <c r="DV20" s="61"/>
      <c r="DW20" s="61"/>
      <c r="DX20" s="61"/>
      <c r="DY20" s="61"/>
      <c r="DZ20" s="61"/>
      <c r="EA20" s="61"/>
      <c r="EB20" s="61"/>
      <c r="EC20" s="61"/>
      <c r="ED20" s="61"/>
      <c r="EE20" s="61"/>
      <c r="EF20" s="61"/>
      <c r="EG20" s="61"/>
      <c r="EH20" s="61"/>
      <c r="EI20" s="61"/>
    </row>
    <row r="21" spans="1:139" s="62" customFormat="1">
      <c r="A21" s="64" t="s">
        <v>208</v>
      </c>
      <c r="B21" s="93" t="s">
        <v>2380</v>
      </c>
      <c r="C21" s="93" t="s">
        <v>1626</v>
      </c>
      <c r="D21" s="81" t="s">
        <v>366</v>
      </c>
      <c r="E21" s="81" t="s">
        <v>2045</v>
      </c>
      <c r="F21" s="277" t="s">
        <v>2590</v>
      </c>
      <c r="G21" s="93" t="s">
        <v>83</v>
      </c>
      <c r="H21" s="93" t="s">
        <v>166</v>
      </c>
      <c r="I21" s="93" t="s">
        <v>1603</v>
      </c>
      <c r="J21" s="93" t="s">
        <v>282</v>
      </c>
      <c r="K21" s="62" t="s">
        <v>1005</v>
      </c>
      <c r="L21" s="62" t="s">
        <v>1234</v>
      </c>
      <c r="M21" s="49" t="str">
        <f t="shared" si="0"/>
        <v>01/01/1985</v>
      </c>
      <c r="N21" s="50">
        <f t="shared" ca="1" si="1"/>
        <v>41</v>
      </c>
      <c r="O21" s="62" t="s">
        <v>988</v>
      </c>
      <c r="P21" s="62" t="s">
        <v>983</v>
      </c>
      <c r="Q21" s="62" t="s">
        <v>989</v>
      </c>
      <c r="S21" s="81" t="s">
        <v>2111</v>
      </c>
      <c r="T21" s="81" t="s">
        <v>2039</v>
      </c>
      <c r="U21" s="84">
        <v>46231</v>
      </c>
      <c r="V21" s="61" t="str">
        <f t="shared" si="2"/>
        <v>Dyna Muthoni</v>
      </c>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M21" s="61"/>
      <c r="CN21" s="61"/>
      <c r="CP21" s="61"/>
      <c r="CQ21" s="61"/>
      <c r="CR21" s="61"/>
      <c r="CS21" s="61"/>
      <c r="CT21" s="61"/>
      <c r="CU21" s="61"/>
      <c r="CV21" s="61"/>
      <c r="CW21" s="61"/>
      <c r="CX21" s="61"/>
      <c r="CY21" s="61"/>
      <c r="CZ21" s="61"/>
      <c r="DA21" s="61"/>
      <c r="DB21" s="61"/>
      <c r="DC21" s="61"/>
      <c r="DD21" s="61"/>
      <c r="DE21" s="61"/>
      <c r="DF21" s="61"/>
      <c r="DG21" s="61"/>
      <c r="DH21" s="61"/>
      <c r="DI21" s="61"/>
      <c r="DJ21" s="61"/>
      <c r="DK21" s="61"/>
      <c r="DL21" s="61"/>
      <c r="DM21" s="61"/>
      <c r="DN21" s="61"/>
      <c r="DO21" s="61"/>
      <c r="DP21" s="61"/>
      <c r="DQ21" s="61"/>
      <c r="DR21" s="61"/>
      <c r="DS21" s="61"/>
      <c r="DT21" s="61"/>
      <c r="DU21" s="61"/>
      <c r="DV21" s="61"/>
      <c r="DW21" s="61"/>
      <c r="DX21" s="61"/>
      <c r="DY21" s="61"/>
      <c r="DZ21" s="61"/>
      <c r="EA21" s="61"/>
      <c r="EB21" s="61"/>
      <c r="EC21" s="61"/>
      <c r="ED21" s="61"/>
      <c r="EE21" s="61"/>
      <c r="EF21" s="61"/>
      <c r="EG21" s="61"/>
      <c r="EH21" s="61"/>
      <c r="EI21" s="61"/>
    </row>
    <row r="22" spans="1:139" s="62" customFormat="1" hidden="1">
      <c r="A22" s="64" t="s">
        <v>46</v>
      </c>
      <c r="B22" s="93" t="s">
        <v>2413</v>
      </c>
      <c r="C22" s="93" t="s">
        <v>1627</v>
      </c>
      <c r="D22" s="81" t="s">
        <v>193</v>
      </c>
      <c r="E22" s="81" t="s">
        <v>2100</v>
      </c>
      <c r="F22" s="157" t="s">
        <v>2573</v>
      </c>
      <c r="G22" s="93" t="s">
        <v>21</v>
      </c>
      <c r="H22" s="93" t="s">
        <v>166</v>
      </c>
      <c r="I22" s="93" t="s">
        <v>1603</v>
      </c>
      <c r="J22" s="93" t="s">
        <v>2116</v>
      </c>
      <c r="K22" s="62" t="s">
        <v>1005</v>
      </c>
      <c r="L22" s="62" t="s">
        <v>1235</v>
      </c>
      <c r="M22" s="49" t="str">
        <f t="shared" si="0"/>
        <v>04/06/1992</v>
      </c>
      <c r="N22" s="50">
        <f t="shared" ca="1" si="1"/>
        <v>34</v>
      </c>
      <c r="O22" s="62" t="s">
        <v>988</v>
      </c>
      <c r="P22" s="62" t="s">
        <v>1184</v>
      </c>
      <c r="Q22" s="62" t="s">
        <v>1236</v>
      </c>
      <c r="R22" s="62" t="s">
        <v>1497</v>
      </c>
      <c r="V22" s="61" t="str">
        <f t="shared" si="2"/>
        <v>Emmanuel Mwenda M'Mauta</v>
      </c>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c r="BK22" s="61"/>
      <c r="BL22" s="61"/>
      <c r="BM22" s="61"/>
      <c r="BN22" s="61"/>
      <c r="BO22" s="61"/>
      <c r="BP22" s="61"/>
      <c r="BQ22" s="61"/>
      <c r="BR22" s="61"/>
      <c r="BS22" s="61"/>
      <c r="BT22" s="61"/>
      <c r="BU22" s="61"/>
      <c r="BV22" s="61"/>
      <c r="BW22" s="61"/>
      <c r="BX22" s="61"/>
      <c r="BY22" s="61"/>
      <c r="BZ22" s="61"/>
      <c r="CA22" s="61"/>
      <c r="CB22" s="61"/>
      <c r="CC22" s="61"/>
      <c r="CD22" s="61"/>
      <c r="CE22" s="61"/>
      <c r="CF22" s="61"/>
      <c r="CG22" s="61"/>
      <c r="CH22" s="61"/>
      <c r="CI22" s="61"/>
      <c r="CJ22" s="61"/>
      <c r="CK22" s="61"/>
      <c r="CL22" s="61"/>
      <c r="CM22" s="61"/>
      <c r="CN22" s="61"/>
      <c r="CP22" s="61"/>
      <c r="CQ22" s="61"/>
      <c r="CR22" s="61"/>
      <c r="CS22" s="61"/>
      <c r="CT22" s="61"/>
      <c r="CU22" s="61"/>
      <c r="CV22" s="61"/>
      <c r="CW22" s="61"/>
      <c r="CX22" s="61"/>
      <c r="CY22" s="61"/>
      <c r="CZ22" s="61"/>
      <c r="DA22" s="61"/>
      <c r="DB22" s="61"/>
      <c r="DC22" s="61"/>
      <c r="DD22" s="61"/>
      <c r="DE22" s="61"/>
      <c r="DF22" s="61"/>
      <c r="DG22" s="61"/>
      <c r="DH22" s="61"/>
      <c r="DI22" s="61"/>
      <c r="DJ22" s="61"/>
      <c r="DK22" s="61"/>
      <c r="DL22" s="61"/>
      <c r="DM22" s="61"/>
      <c r="DN22" s="61"/>
      <c r="DO22" s="61"/>
      <c r="DP22" s="61"/>
      <c r="DQ22" s="61"/>
      <c r="DR22" s="61"/>
      <c r="DS22" s="61"/>
      <c r="DT22" s="61"/>
      <c r="DU22" s="61"/>
      <c r="DV22" s="61"/>
      <c r="DW22" s="61"/>
      <c r="DX22" s="61"/>
      <c r="DY22" s="61"/>
      <c r="DZ22" s="61"/>
      <c r="EA22" s="61"/>
      <c r="EB22" s="61"/>
      <c r="EC22" s="61"/>
      <c r="ED22" s="61"/>
      <c r="EE22" s="61"/>
      <c r="EF22" s="61"/>
      <c r="EG22" s="61"/>
      <c r="EH22" s="61"/>
      <c r="EI22" s="61"/>
    </row>
    <row r="23" spans="1:139" s="62" customFormat="1">
      <c r="A23" s="64" t="s">
        <v>50</v>
      </c>
      <c r="B23" s="93" t="s">
        <v>2424</v>
      </c>
      <c r="C23" s="93" t="s">
        <v>1626</v>
      </c>
      <c r="D23" s="81" t="s">
        <v>196</v>
      </c>
      <c r="E23" s="81" t="s">
        <v>2103</v>
      </c>
      <c r="F23" s="277" t="s">
        <v>2665</v>
      </c>
      <c r="G23" s="93" t="s">
        <v>21</v>
      </c>
      <c r="H23" s="93" t="s">
        <v>166</v>
      </c>
      <c r="I23" s="93" t="s">
        <v>1604</v>
      </c>
      <c r="J23" s="93" t="s">
        <v>1576</v>
      </c>
      <c r="K23" s="62" t="s">
        <v>1005</v>
      </c>
      <c r="L23" s="62" t="s">
        <v>1238</v>
      </c>
      <c r="M23" s="49" t="str">
        <f t="shared" si="0"/>
        <v>13/08/1988</v>
      </c>
      <c r="N23" s="50">
        <f t="shared" ca="1" si="1"/>
        <v>37</v>
      </c>
      <c r="O23" s="62" t="s">
        <v>988</v>
      </c>
      <c r="P23" s="62" t="s">
        <v>1239</v>
      </c>
      <c r="Q23" s="62" t="s">
        <v>989</v>
      </c>
      <c r="R23" s="62" t="s">
        <v>1218</v>
      </c>
      <c r="V23" s="61" t="str">
        <f t="shared" si="2"/>
        <v>Eva Karimi Kimaita</v>
      </c>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M23" s="61"/>
      <c r="CN23" s="61"/>
      <c r="CP23" s="61"/>
      <c r="CQ23" s="61"/>
      <c r="CR23" s="61"/>
      <c r="CS23" s="61"/>
      <c r="CT23" s="61"/>
      <c r="CU23" s="61"/>
      <c r="CV23" s="61"/>
      <c r="CW23" s="61"/>
      <c r="CX23" s="61"/>
      <c r="CY23" s="61"/>
      <c r="CZ23" s="61"/>
      <c r="DA23" s="61"/>
      <c r="DB23" s="61"/>
      <c r="DC23" s="61"/>
      <c r="DD23" s="61"/>
      <c r="DE23" s="61"/>
      <c r="DF23" s="61"/>
      <c r="DG23" s="61"/>
      <c r="DH23" s="61"/>
      <c r="DI23" s="61"/>
      <c r="DJ23" s="61"/>
      <c r="DK23" s="61"/>
      <c r="DL23" s="61"/>
      <c r="DM23" s="61"/>
      <c r="DN23" s="61"/>
      <c r="DO23" s="61"/>
      <c r="DP23" s="61"/>
      <c r="DQ23" s="61"/>
      <c r="DR23" s="61"/>
      <c r="DS23" s="61"/>
      <c r="DT23" s="61"/>
      <c r="DU23" s="61"/>
      <c r="DV23" s="61"/>
      <c r="DW23" s="61"/>
      <c r="DX23" s="61"/>
      <c r="DY23" s="61"/>
      <c r="DZ23" s="61"/>
      <c r="EA23" s="61"/>
      <c r="EB23" s="61"/>
      <c r="EC23" s="61"/>
      <c r="ED23" s="61"/>
      <c r="EE23" s="61"/>
      <c r="EF23" s="61"/>
      <c r="EG23" s="61"/>
      <c r="EH23" s="61"/>
      <c r="EI23" s="61"/>
    </row>
    <row r="24" spans="1:139" s="62" customFormat="1">
      <c r="A24" s="64" t="s">
        <v>237</v>
      </c>
      <c r="B24" s="93" t="s">
        <v>2395</v>
      </c>
      <c r="C24" s="93" t="s">
        <v>1626</v>
      </c>
      <c r="D24" s="81" t="s">
        <v>398</v>
      </c>
      <c r="E24" s="81" t="s">
        <v>2014</v>
      </c>
      <c r="F24" s="277" t="s">
        <v>2574</v>
      </c>
      <c r="G24" s="93" t="s">
        <v>124</v>
      </c>
      <c r="H24" s="93" t="s">
        <v>166</v>
      </c>
      <c r="I24" s="93" t="s">
        <v>1603</v>
      </c>
      <c r="J24" s="93" t="s">
        <v>397</v>
      </c>
      <c r="K24" s="62" t="s">
        <v>1005</v>
      </c>
      <c r="L24" s="62" t="s">
        <v>1243</v>
      </c>
      <c r="M24" s="49" t="str">
        <f t="shared" si="0"/>
        <v>29/09/1994</v>
      </c>
      <c r="N24" s="50">
        <f t="shared" ca="1" si="1"/>
        <v>31</v>
      </c>
      <c r="O24" s="62" t="s">
        <v>988</v>
      </c>
      <c r="P24" s="62" t="s">
        <v>996</v>
      </c>
      <c r="Q24" s="62" t="s">
        <v>1098</v>
      </c>
      <c r="S24" s="81" t="s">
        <v>2328</v>
      </c>
      <c r="T24" s="83" t="s">
        <v>2029</v>
      </c>
      <c r="U24" s="84">
        <v>46326</v>
      </c>
      <c r="V24" s="61" t="str">
        <f t="shared" si="2"/>
        <v>Faith Kanja Kamairuu</v>
      </c>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M24" s="61"/>
      <c r="CN24" s="61"/>
      <c r="CP24" s="61"/>
      <c r="CQ24" s="61"/>
      <c r="CR24" s="61"/>
      <c r="CS24" s="61"/>
      <c r="CT24" s="61"/>
      <c r="CU24" s="61"/>
      <c r="CV24" s="61"/>
      <c r="CW24" s="61"/>
      <c r="CX24" s="61"/>
      <c r="CY24" s="61"/>
      <c r="CZ24" s="61"/>
      <c r="DA24" s="61"/>
      <c r="DB24" s="61"/>
      <c r="DC24" s="61"/>
      <c r="DD24" s="61"/>
      <c r="DE24" s="61"/>
      <c r="DF24" s="61"/>
      <c r="DG24" s="61"/>
      <c r="DH24" s="61"/>
      <c r="DI24" s="61"/>
      <c r="DJ24" s="61"/>
      <c r="DK24" s="61"/>
      <c r="DL24" s="61"/>
      <c r="DM24" s="61"/>
      <c r="DN24" s="61"/>
      <c r="DO24" s="61"/>
      <c r="DP24" s="61"/>
      <c r="DQ24" s="61"/>
      <c r="DR24" s="61"/>
      <c r="DS24" s="61"/>
      <c r="DT24" s="61"/>
      <c r="DU24" s="61"/>
      <c r="DV24" s="61"/>
      <c r="DW24" s="61"/>
      <c r="DX24" s="61"/>
      <c r="DY24" s="61"/>
      <c r="DZ24" s="61"/>
      <c r="EA24" s="61"/>
      <c r="EB24" s="61"/>
      <c r="EC24" s="61"/>
      <c r="ED24" s="61"/>
      <c r="EE24" s="61"/>
      <c r="EF24" s="61"/>
      <c r="EG24" s="61"/>
      <c r="EH24" s="61"/>
      <c r="EI24" s="61"/>
    </row>
    <row r="25" spans="1:139" s="62" customFormat="1">
      <c r="A25" s="64" t="s">
        <v>197</v>
      </c>
      <c r="B25" s="93" t="s">
        <v>2376</v>
      </c>
      <c r="C25" s="93" t="s">
        <v>1626</v>
      </c>
      <c r="D25" s="81" t="s">
        <v>355</v>
      </c>
      <c r="E25" s="81" t="s">
        <v>2057</v>
      </c>
      <c r="F25" s="277" t="s">
        <v>2576</v>
      </c>
      <c r="G25" s="93" t="s">
        <v>12</v>
      </c>
      <c r="H25" s="93" t="s">
        <v>166</v>
      </c>
      <c r="I25" s="93" t="s">
        <v>1600</v>
      </c>
      <c r="J25" s="93" t="s">
        <v>290</v>
      </c>
      <c r="K25" s="62" t="s">
        <v>1005</v>
      </c>
      <c r="L25" s="62" t="s">
        <v>1244</v>
      </c>
      <c r="M25" s="49" t="str">
        <f t="shared" si="0"/>
        <v>03/08/1983</v>
      </c>
      <c r="N25" s="50">
        <f t="shared" ca="1" si="1"/>
        <v>42</v>
      </c>
      <c r="O25" s="62" t="s">
        <v>988</v>
      </c>
      <c r="P25" s="62" t="s">
        <v>1229</v>
      </c>
      <c r="Q25" s="62" t="s">
        <v>1245</v>
      </c>
      <c r="S25" s="81" t="s">
        <v>2118</v>
      </c>
      <c r="T25" s="83" t="s">
        <v>2069</v>
      </c>
      <c r="U25" s="84">
        <v>46022</v>
      </c>
      <c r="V25" s="61" t="str">
        <f t="shared" si="2"/>
        <v>Faith Ncugune Kiambi</v>
      </c>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row>
    <row r="26" spans="1:139" s="66" customFormat="1" hidden="1">
      <c r="A26" s="64" t="s">
        <v>212</v>
      </c>
      <c r="B26" s="93" t="s">
        <v>2383</v>
      </c>
      <c r="C26" s="93" t="s">
        <v>1627</v>
      </c>
      <c r="D26" s="81" t="s">
        <v>370</v>
      </c>
      <c r="E26" s="81" t="s">
        <v>2046</v>
      </c>
      <c r="F26" s="157" t="s">
        <v>2575</v>
      </c>
      <c r="G26" s="93" t="s">
        <v>83</v>
      </c>
      <c r="H26" s="93" t="s">
        <v>166</v>
      </c>
      <c r="I26" s="93" t="s">
        <v>1608</v>
      </c>
      <c r="J26" s="93" t="s">
        <v>427</v>
      </c>
      <c r="K26" s="62" t="s">
        <v>1005</v>
      </c>
      <c r="L26" s="62" t="s">
        <v>1246</v>
      </c>
      <c r="M26" s="49" t="str">
        <f t="shared" si="0"/>
        <v>10/12/1986</v>
      </c>
      <c r="N26" s="50">
        <f t="shared" ca="1" si="1"/>
        <v>39</v>
      </c>
      <c r="O26" s="62" t="s">
        <v>988</v>
      </c>
      <c r="P26" s="62" t="s">
        <v>983</v>
      </c>
      <c r="Q26" s="62" t="s">
        <v>989</v>
      </c>
      <c r="R26" s="62"/>
      <c r="S26" s="81" t="s">
        <v>2111</v>
      </c>
      <c r="T26" s="81" t="s">
        <v>2040</v>
      </c>
      <c r="U26" s="84">
        <v>46281</v>
      </c>
      <c r="V26" s="68" t="str">
        <f t="shared" si="2"/>
        <v>Francis Mugambi Wilson</v>
      </c>
      <c r="W26" s="68"/>
      <c r="X26" s="246">
        <v>46022</v>
      </c>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68"/>
      <c r="BK26" s="68"/>
      <c r="BL26" s="68"/>
      <c r="BM26" s="68"/>
      <c r="BN26" s="68"/>
      <c r="BO26" s="68"/>
      <c r="BP26" s="68"/>
      <c r="BQ26" s="68"/>
      <c r="BR26" s="68"/>
      <c r="BS26" s="68"/>
      <c r="BT26" s="68"/>
      <c r="BU26" s="68"/>
      <c r="BV26" s="68"/>
      <c r="BW26" s="68"/>
      <c r="BX26" s="68"/>
      <c r="BY26" s="68"/>
      <c r="BZ26" s="68"/>
      <c r="CA26" s="68"/>
      <c r="CB26" s="68"/>
      <c r="CC26" s="68"/>
      <c r="CD26" s="68"/>
      <c r="CE26" s="68"/>
      <c r="CF26" s="68"/>
      <c r="CG26" s="68"/>
      <c r="CH26" s="68"/>
      <c r="CI26" s="68"/>
      <c r="CJ26" s="68"/>
      <c r="CK26" s="68"/>
      <c r="CL26" s="68"/>
      <c r="CM26" s="68"/>
      <c r="CN26" s="68"/>
      <c r="CP26" s="68"/>
      <c r="CQ26" s="68"/>
      <c r="CR26" s="68"/>
      <c r="CS26" s="68"/>
      <c r="CT26" s="68"/>
      <c r="CU26" s="68"/>
      <c r="CV26" s="68"/>
      <c r="CW26" s="68"/>
      <c r="CX26" s="68"/>
      <c r="CY26" s="68"/>
      <c r="CZ26" s="68"/>
      <c r="DA26" s="68"/>
      <c r="DB26" s="68"/>
      <c r="DC26" s="68"/>
      <c r="DD26" s="68"/>
      <c r="DE26" s="68"/>
      <c r="DF26" s="68"/>
      <c r="DG26" s="68"/>
      <c r="DH26" s="68"/>
      <c r="DI26" s="68"/>
      <c r="DJ26" s="68"/>
      <c r="DK26" s="68"/>
      <c r="DL26" s="68"/>
      <c r="DM26" s="68"/>
      <c r="DN26" s="68"/>
      <c r="DO26" s="68"/>
      <c r="DP26" s="68"/>
      <c r="DQ26" s="68"/>
      <c r="DR26" s="68"/>
      <c r="DS26" s="68"/>
      <c r="DT26" s="68"/>
      <c r="DU26" s="68"/>
      <c r="DV26" s="68"/>
      <c r="DW26" s="68"/>
      <c r="DX26" s="68"/>
      <c r="DY26" s="68"/>
      <c r="DZ26" s="68"/>
      <c r="EA26" s="68"/>
      <c r="EB26" s="68"/>
      <c r="EC26" s="68"/>
      <c r="ED26" s="68"/>
      <c r="EE26" s="68"/>
      <c r="EF26" s="68"/>
      <c r="EG26" s="68"/>
      <c r="EH26" s="68"/>
      <c r="EI26" s="68"/>
    </row>
    <row r="27" spans="1:139" s="62" customFormat="1">
      <c r="A27" s="64" t="s">
        <v>260</v>
      </c>
      <c r="B27" s="93" t="s">
        <v>2401</v>
      </c>
      <c r="C27" s="93" t="s">
        <v>1626</v>
      </c>
      <c r="D27" s="81" t="s">
        <v>418</v>
      </c>
      <c r="E27" s="81" t="s">
        <v>2092</v>
      </c>
      <c r="F27" s="277" t="s">
        <v>2577</v>
      </c>
      <c r="G27" s="93" t="s">
        <v>21</v>
      </c>
      <c r="H27" s="93" t="s">
        <v>166</v>
      </c>
      <c r="I27" s="93" t="s">
        <v>1604</v>
      </c>
      <c r="J27" s="93" t="s">
        <v>411</v>
      </c>
      <c r="K27" s="62" t="s">
        <v>1005</v>
      </c>
      <c r="L27" s="62" t="s">
        <v>1250</v>
      </c>
      <c r="M27" s="49" t="str">
        <f t="shared" si="0"/>
        <v>08/04/1996</v>
      </c>
      <c r="N27" s="50">
        <f t="shared" ca="1" si="1"/>
        <v>30</v>
      </c>
      <c r="O27" s="62" t="s">
        <v>988</v>
      </c>
      <c r="P27" s="62" t="s">
        <v>1184</v>
      </c>
      <c r="Q27" s="62" t="s">
        <v>1197</v>
      </c>
      <c r="R27" s="62" t="s">
        <v>1540</v>
      </c>
      <c r="V27" s="61" t="str">
        <f t="shared" si="2"/>
        <v>Fridah Kendi</v>
      </c>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M27" s="61"/>
      <c r="CN27" s="61"/>
      <c r="CP27" s="61"/>
      <c r="CQ27" s="61"/>
      <c r="CR27" s="61"/>
      <c r="CS27" s="61"/>
      <c r="CT27" s="61"/>
      <c r="CU27" s="61"/>
      <c r="CV27" s="61"/>
      <c r="CW27" s="61"/>
      <c r="CX27" s="61"/>
      <c r="CY27" s="61"/>
      <c r="CZ27" s="61"/>
      <c r="DA27" s="61"/>
      <c r="DB27" s="61"/>
      <c r="DC27" s="61"/>
      <c r="DD27" s="61"/>
      <c r="DE27" s="61"/>
      <c r="DF27" s="61"/>
      <c r="DG27" s="61"/>
      <c r="DH27" s="61"/>
      <c r="DI27" s="61"/>
      <c r="DJ27" s="61"/>
      <c r="DK27" s="61"/>
      <c r="DL27" s="61"/>
      <c r="DM27" s="61"/>
      <c r="DN27" s="61"/>
      <c r="DO27" s="61"/>
      <c r="DP27" s="61"/>
      <c r="DQ27" s="61"/>
      <c r="DR27" s="61"/>
      <c r="DS27" s="61"/>
      <c r="DT27" s="61"/>
      <c r="DU27" s="61"/>
      <c r="DV27" s="61"/>
      <c r="DW27" s="61"/>
      <c r="DX27" s="61"/>
      <c r="DY27" s="61"/>
      <c r="DZ27" s="61"/>
      <c r="EA27" s="61"/>
      <c r="EB27" s="61"/>
      <c r="EC27" s="61"/>
      <c r="ED27" s="61"/>
      <c r="EE27" s="61"/>
      <c r="EF27" s="61"/>
      <c r="EG27" s="61"/>
      <c r="EH27" s="61"/>
      <c r="EI27" s="61"/>
    </row>
    <row r="28" spans="1:139" s="66" customFormat="1">
      <c r="A28" s="64" t="s">
        <v>54</v>
      </c>
      <c r="B28" s="93" t="s">
        <v>2337</v>
      </c>
      <c r="C28" s="93" t="s">
        <v>1626</v>
      </c>
      <c r="D28" s="81" t="s">
        <v>200</v>
      </c>
      <c r="E28" s="81" t="s">
        <v>2074</v>
      </c>
      <c r="F28" s="277" t="s">
        <v>2578</v>
      </c>
      <c r="G28" s="93" t="s">
        <v>21</v>
      </c>
      <c r="H28" s="93" t="s">
        <v>166</v>
      </c>
      <c r="I28" s="93" t="s">
        <v>1608</v>
      </c>
      <c r="J28" s="93" t="s">
        <v>427</v>
      </c>
      <c r="K28" s="62" t="s">
        <v>1005</v>
      </c>
      <c r="L28" s="62" t="s">
        <v>1248</v>
      </c>
      <c r="M28" s="49" t="str">
        <f t="shared" si="0"/>
        <v>01/01/1990</v>
      </c>
      <c r="N28" s="50">
        <f t="shared" ca="1" si="1"/>
        <v>36</v>
      </c>
      <c r="O28" s="62" t="s">
        <v>988</v>
      </c>
      <c r="P28" s="62" t="s">
        <v>1227</v>
      </c>
      <c r="Q28" s="62" t="s">
        <v>1197</v>
      </c>
      <c r="R28" s="62" t="s">
        <v>1502</v>
      </c>
      <c r="S28" s="62"/>
      <c r="T28" s="62"/>
      <c r="U28" s="62"/>
      <c r="V28" s="61" t="str">
        <f t="shared" si="2"/>
        <v>Fridah Makena</v>
      </c>
      <c r="W28" s="61"/>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c r="BK28" s="68"/>
      <c r="BL28" s="68"/>
      <c r="BM28" s="68"/>
      <c r="BN28" s="68"/>
      <c r="BO28" s="68"/>
      <c r="BP28" s="68"/>
      <c r="BQ28" s="68"/>
      <c r="BR28" s="68"/>
      <c r="BS28" s="68"/>
      <c r="BT28" s="68"/>
      <c r="BU28" s="68"/>
      <c r="BV28" s="68"/>
      <c r="BW28" s="68"/>
      <c r="BX28" s="68"/>
      <c r="BY28" s="68"/>
      <c r="BZ28" s="68"/>
      <c r="CA28" s="68"/>
      <c r="CB28" s="68"/>
      <c r="CC28" s="68"/>
      <c r="CD28" s="68"/>
      <c r="CE28" s="68"/>
      <c r="CF28" s="68"/>
      <c r="CG28" s="68"/>
      <c r="CH28" s="68"/>
      <c r="CI28" s="68"/>
      <c r="CJ28" s="68"/>
      <c r="CK28" s="68"/>
      <c r="CL28" s="68"/>
      <c r="CM28" s="68"/>
      <c r="CN28" s="68"/>
      <c r="CP28" s="68"/>
      <c r="CQ28" s="68"/>
      <c r="CR28" s="68"/>
      <c r="CS28" s="68"/>
      <c r="CT28" s="68"/>
      <c r="CU28" s="68"/>
      <c r="CV28" s="68"/>
      <c r="CW28" s="68"/>
      <c r="CX28" s="68"/>
      <c r="CY28" s="68"/>
      <c r="CZ28" s="68"/>
      <c r="DA28" s="68"/>
      <c r="DB28" s="68"/>
      <c r="DC28" s="68"/>
      <c r="DD28" s="68"/>
      <c r="DE28" s="68"/>
      <c r="DF28" s="68"/>
      <c r="DG28" s="68"/>
      <c r="DH28" s="68"/>
      <c r="DI28" s="68"/>
      <c r="DJ28" s="68"/>
      <c r="DK28" s="68"/>
      <c r="DL28" s="68"/>
      <c r="DM28" s="68"/>
      <c r="DN28" s="68"/>
      <c r="DO28" s="68"/>
      <c r="DP28" s="68"/>
      <c r="DQ28" s="68"/>
      <c r="DR28" s="68"/>
      <c r="DS28" s="68"/>
      <c r="DT28" s="68"/>
      <c r="DU28" s="68"/>
      <c r="DV28" s="68"/>
      <c r="DW28" s="68"/>
      <c r="DX28" s="68"/>
      <c r="DY28" s="68"/>
      <c r="DZ28" s="68"/>
      <c r="EA28" s="68"/>
      <c r="EB28" s="68"/>
      <c r="EC28" s="68"/>
      <c r="ED28" s="68"/>
      <c r="EE28" s="68"/>
      <c r="EF28" s="68"/>
      <c r="EG28" s="68"/>
      <c r="EH28" s="68"/>
      <c r="EI28" s="68"/>
    </row>
    <row r="29" spans="1:139" s="62" customFormat="1">
      <c r="A29" s="64" t="s">
        <v>215</v>
      </c>
      <c r="B29" s="93" t="s">
        <v>2385</v>
      </c>
      <c r="C29" s="93" t="s">
        <v>1626</v>
      </c>
      <c r="D29" s="81" t="s">
        <v>374</v>
      </c>
      <c r="E29" s="81" t="s">
        <v>2047</v>
      </c>
      <c r="F29" s="277" t="s">
        <v>2579</v>
      </c>
      <c r="G29" s="93" t="s">
        <v>83</v>
      </c>
      <c r="H29" s="93" t="s">
        <v>166</v>
      </c>
      <c r="I29" s="93" t="s">
        <v>1604</v>
      </c>
      <c r="J29" s="93" t="s">
        <v>1576</v>
      </c>
      <c r="K29" s="62" t="s">
        <v>1005</v>
      </c>
      <c r="L29" s="62" t="s">
        <v>1251</v>
      </c>
      <c r="M29" s="49" t="str">
        <f t="shared" si="0"/>
        <v>05/08/1994</v>
      </c>
      <c r="N29" s="50">
        <f t="shared" ca="1" si="1"/>
        <v>31</v>
      </c>
      <c r="O29" s="62" t="s">
        <v>988</v>
      </c>
      <c r="P29" s="62" t="s">
        <v>983</v>
      </c>
      <c r="Q29" s="62" t="s">
        <v>1098</v>
      </c>
      <c r="S29" s="81" t="s">
        <v>2112</v>
      </c>
      <c r="T29" s="83">
        <v>8952</v>
      </c>
      <c r="U29" s="84">
        <v>46243</v>
      </c>
      <c r="V29" s="61" t="str">
        <f t="shared" si="2"/>
        <v>Fridah Naitore</v>
      </c>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1"/>
      <c r="DV29" s="61"/>
      <c r="DW29" s="61"/>
      <c r="DX29" s="61"/>
      <c r="DY29" s="61"/>
      <c r="DZ29" s="61"/>
      <c r="EA29" s="61"/>
      <c r="EB29" s="61"/>
      <c r="EC29" s="61"/>
      <c r="ED29" s="61"/>
      <c r="EE29" s="61"/>
      <c r="EF29" s="61"/>
      <c r="EG29" s="61"/>
      <c r="EH29" s="61"/>
      <c r="EI29" s="61"/>
    </row>
    <row r="30" spans="1:139" s="62" customFormat="1">
      <c r="A30" s="64" t="s">
        <v>60</v>
      </c>
      <c r="B30" s="93" t="s">
        <v>2342</v>
      </c>
      <c r="C30" s="93" t="s">
        <v>1626</v>
      </c>
      <c r="D30" s="81" t="s">
        <v>207</v>
      </c>
      <c r="E30" s="81" t="s">
        <v>2075</v>
      </c>
      <c r="F30" s="277" t="s">
        <v>2580</v>
      </c>
      <c r="G30" s="93" t="s">
        <v>21</v>
      </c>
      <c r="H30" s="93" t="s">
        <v>166</v>
      </c>
      <c r="I30" s="93" t="s">
        <v>1604</v>
      </c>
      <c r="J30" s="93" t="s">
        <v>2117</v>
      </c>
      <c r="K30" s="62" t="s">
        <v>1005</v>
      </c>
      <c r="L30" s="62" t="s">
        <v>1252</v>
      </c>
      <c r="M30" s="49" t="str">
        <f t="shared" si="0"/>
        <v>19/09/1988</v>
      </c>
      <c r="N30" s="50">
        <f t="shared" ca="1" si="1"/>
        <v>37</v>
      </c>
      <c r="O30" s="62" t="s">
        <v>988</v>
      </c>
      <c r="P30" s="62" t="s">
        <v>1253</v>
      </c>
      <c r="Q30" s="62" t="s">
        <v>989</v>
      </c>
      <c r="R30" s="62" t="s">
        <v>1539</v>
      </c>
      <c r="V30" s="61" t="str">
        <f t="shared" si="2"/>
        <v>Fridah Wangari Githendu</v>
      </c>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P30" s="61"/>
      <c r="CQ30" s="61"/>
      <c r="CR30" s="61"/>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1"/>
      <c r="DV30" s="61"/>
      <c r="DW30" s="61"/>
      <c r="DX30" s="61"/>
      <c r="DY30" s="61"/>
      <c r="DZ30" s="61"/>
      <c r="EA30" s="61"/>
      <c r="EB30" s="61"/>
      <c r="EC30" s="61"/>
      <c r="ED30" s="61"/>
      <c r="EE30" s="61"/>
      <c r="EF30" s="61"/>
      <c r="EG30" s="61"/>
      <c r="EH30" s="61"/>
      <c r="EI30" s="61"/>
    </row>
    <row r="31" spans="1:139" s="62" customFormat="1">
      <c r="A31" s="64" t="s">
        <v>10</v>
      </c>
      <c r="B31" s="93" t="s">
        <v>2336</v>
      </c>
      <c r="C31" s="93" t="s">
        <v>1626</v>
      </c>
      <c r="D31" s="81" t="s">
        <v>168</v>
      </c>
      <c r="E31" s="81" t="s">
        <v>2072</v>
      </c>
      <c r="F31" s="277" t="s">
        <v>2581</v>
      </c>
      <c r="G31" s="93" t="s">
        <v>21</v>
      </c>
      <c r="H31" s="93" t="s">
        <v>166</v>
      </c>
      <c r="I31" s="93" t="s">
        <v>1601</v>
      </c>
      <c r="J31" s="93" t="s">
        <v>393</v>
      </c>
      <c r="K31" s="62" t="s">
        <v>1005</v>
      </c>
      <c r="L31" s="62" t="s">
        <v>1254</v>
      </c>
      <c r="M31" s="49" t="str">
        <f t="shared" si="0"/>
        <v>31/12/1986</v>
      </c>
      <c r="N31" s="50">
        <f t="shared" ca="1" si="1"/>
        <v>39</v>
      </c>
      <c r="O31" s="62" t="s">
        <v>988</v>
      </c>
      <c r="P31" s="62" t="s">
        <v>1255</v>
      </c>
      <c r="Q31" s="62" t="s">
        <v>1256</v>
      </c>
      <c r="R31" s="62" t="s">
        <v>1541</v>
      </c>
      <c r="V31" s="61" t="str">
        <f t="shared" si="2"/>
        <v>Fridah Wanja</v>
      </c>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M31" s="61"/>
      <c r="CN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1"/>
      <c r="DV31" s="61"/>
      <c r="DW31" s="61"/>
      <c r="DX31" s="61"/>
      <c r="DY31" s="61"/>
      <c r="DZ31" s="61"/>
      <c r="EA31" s="61"/>
      <c r="EB31" s="61"/>
      <c r="EC31" s="61"/>
      <c r="ED31" s="61"/>
      <c r="EE31" s="61"/>
      <c r="EF31" s="61"/>
      <c r="EG31" s="61"/>
      <c r="EH31" s="61"/>
      <c r="EI31" s="61"/>
    </row>
    <row r="32" spans="1:139" s="62" customFormat="1">
      <c r="A32" s="64" t="s">
        <v>63</v>
      </c>
      <c r="B32" s="93" t="s">
        <v>2345</v>
      </c>
      <c r="C32" s="93" t="s">
        <v>1626</v>
      </c>
      <c r="D32" s="81" t="s">
        <v>211</v>
      </c>
      <c r="E32" s="81" t="s">
        <v>2076</v>
      </c>
      <c r="F32" s="278" t="s">
        <v>2582</v>
      </c>
      <c r="G32" s="93" t="s">
        <v>21</v>
      </c>
      <c r="H32" s="93" t="s">
        <v>166</v>
      </c>
      <c r="I32" s="93" t="s">
        <v>1600</v>
      </c>
      <c r="J32" s="93" t="s">
        <v>913</v>
      </c>
      <c r="K32" s="62" t="s">
        <v>1005</v>
      </c>
      <c r="L32" s="62" t="s">
        <v>1257</v>
      </c>
      <c r="M32" s="49" t="str">
        <f t="shared" si="0"/>
        <v>10/09/1997</v>
      </c>
      <c r="N32" s="50">
        <f t="shared" ca="1" si="1"/>
        <v>28</v>
      </c>
      <c r="O32" s="62" t="s">
        <v>988</v>
      </c>
      <c r="P32" s="62" t="s">
        <v>1184</v>
      </c>
      <c r="Q32" s="62" t="s">
        <v>2331</v>
      </c>
      <c r="R32" s="62" t="s">
        <v>1539</v>
      </c>
      <c r="V32" s="61" t="str">
        <f t="shared" si="2"/>
        <v xml:space="preserve">Gladys Makena Murea </v>
      </c>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1"/>
      <c r="DT32" s="61"/>
      <c r="DU32" s="61"/>
      <c r="DV32" s="61"/>
      <c r="DW32" s="61"/>
      <c r="DX32" s="61"/>
      <c r="DY32" s="61"/>
      <c r="DZ32" s="61"/>
      <c r="EA32" s="61"/>
      <c r="EB32" s="61"/>
      <c r="EC32" s="61"/>
      <c r="ED32" s="61"/>
      <c r="EE32" s="61"/>
      <c r="EF32" s="61"/>
      <c r="EG32" s="61"/>
      <c r="EH32" s="61"/>
      <c r="EI32" s="61"/>
    </row>
    <row r="33" spans="1:139" s="66" customFormat="1">
      <c r="A33" s="64" t="s">
        <v>363</v>
      </c>
      <c r="B33" s="93" t="s">
        <v>2430</v>
      </c>
      <c r="C33" s="93" t="s">
        <v>1626</v>
      </c>
      <c r="D33" s="81" t="s">
        <v>525</v>
      </c>
      <c r="E33" s="81">
        <v>32004865</v>
      </c>
      <c r="F33" s="277" t="s">
        <v>2583</v>
      </c>
      <c r="G33" s="93" t="s">
        <v>2123</v>
      </c>
      <c r="H33" s="93" t="s">
        <v>166</v>
      </c>
      <c r="I33" s="93" t="s">
        <v>1604</v>
      </c>
      <c r="J33" s="93" t="s">
        <v>925</v>
      </c>
      <c r="K33" s="62" t="s">
        <v>1036</v>
      </c>
      <c r="L33" s="62" t="s">
        <v>1258</v>
      </c>
      <c r="M33" s="49" t="str">
        <f t="shared" si="0"/>
        <v>07/12/1993</v>
      </c>
      <c r="N33" s="50">
        <f t="shared" ca="1" si="1"/>
        <v>32</v>
      </c>
      <c r="O33" s="62" t="s">
        <v>988</v>
      </c>
      <c r="P33" s="62" t="s">
        <v>2584</v>
      </c>
      <c r="Q33" s="62" t="s">
        <v>1057</v>
      </c>
      <c r="R33" s="62"/>
      <c r="S33" s="81" t="s">
        <v>2108</v>
      </c>
      <c r="T33" s="83" t="s">
        <v>2071</v>
      </c>
      <c r="U33" s="84">
        <v>46022</v>
      </c>
      <c r="V33" s="61" t="str">
        <f t="shared" si="2"/>
        <v>Gloria Mukami Njue</v>
      </c>
      <c r="W33" s="61"/>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68"/>
      <c r="BP33" s="68"/>
      <c r="BQ33" s="68"/>
      <c r="BR33" s="68"/>
      <c r="BS33" s="68"/>
      <c r="BT33" s="68"/>
      <c r="BU33" s="68"/>
      <c r="BV33" s="68"/>
      <c r="BW33" s="68"/>
      <c r="BX33" s="68"/>
      <c r="BY33" s="68"/>
      <c r="BZ33" s="68"/>
      <c r="CA33" s="68"/>
      <c r="CB33" s="68"/>
      <c r="CC33" s="68"/>
      <c r="CD33" s="68"/>
      <c r="CE33" s="68"/>
      <c r="CF33" s="68"/>
      <c r="CG33" s="68"/>
      <c r="CH33" s="68"/>
      <c r="CI33" s="68"/>
      <c r="CJ33" s="68"/>
      <c r="CK33" s="68"/>
      <c r="CL33" s="68"/>
      <c r="CM33" s="68"/>
      <c r="CN33" s="68"/>
      <c r="CP33" s="68"/>
      <c r="CQ33" s="68"/>
      <c r="CR33" s="68"/>
      <c r="CS33" s="68"/>
      <c r="CT33" s="68"/>
      <c r="CU33" s="68"/>
      <c r="CV33" s="68"/>
      <c r="CW33" s="68"/>
      <c r="CX33" s="68"/>
      <c r="CY33" s="68"/>
      <c r="CZ33" s="68"/>
      <c r="DA33" s="68"/>
      <c r="DB33" s="68"/>
      <c r="DC33" s="68"/>
      <c r="DD33" s="68"/>
      <c r="DE33" s="68"/>
      <c r="DF33" s="68"/>
      <c r="DG33" s="68"/>
      <c r="DH33" s="68"/>
      <c r="DI33" s="68"/>
      <c r="DJ33" s="68"/>
      <c r="DK33" s="68"/>
      <c r="DL33" s="68"/>
      <c r="DM33" s="68"/>
      <c r="DN33" s="68"/>
      <c r="DO33" s="68"/>
      <c r="DP33" s="68"/>
      <c r="DQ33" s="68"/>
      <c r="DR33" s="68"/>
      <c r="DS33" s="68"/>
      <c r="DT33" s="68"/>
      <c r="DU33" s="68"/>
      <c r="DV33" s="68"/>
      <c r="DW33" s="68"/>
      <c r="DX33" s="68"/>
      <c r="DY33" s="68"/>
      <c r="DZ33" s="68"/>
      <c r="EA33" s="68"/>
      <c r="EB33" s="68"/>
      <c r="EC33" s="68"/>
      <c r="ED33" s="68"/>
      <c r="EE33" s="68"/>
      <c r="EF33" s="68"/>
      <c r="EG33" s="68"/>
      <c r="EH33" s="68"/>
      <c r="EI33" s="68"/>
    </row>
    <row r="34" spans="1:139" s="62" customFormat="1">
      <c r="A34" s="64" t="s">
        <v>67</v>
      </c>
      <c r="B34" s="93" t="s">
        <v>2346</v>
      </c>
      <c r="C34" s="93" t="s">
        <v>1626</v>
      </c>
      <c r="D34" s="81" t="s">
        <v>214</v>
      </c>
      <c r="E34" s="81" t="s">
        <v>2077</v>
      </c>
      <c r="F34" s="277" t="s">
        <v>2586</v>
      </c>
      <c r="G34" s="93" t="s">
        <v>21</v>
      </c>
      <c r="H34" s="93" t="s">
        <v>166</v>
      </c>
      <c r="I34" s="93" t="s">
        <v>1604</v>
      </c>
      <c r="J34" s="93" t="s">
        <v>1578</v>
      </c>
      <c r="K34" s="62" t="s">
        <v>1005</v>
      </c>
      <c r="L34" s="62" t="s">
        <v>1262</v>
      </c>
      <c r="M34" s="49" t="str">
        <f t="shared" si="0"/>
        <v>12/12/1990</v>
      </c>
      <c r="N34" s="50">
        <f t="shared" ref="N34:N65" ca="1" si="3">IF(M34="","",DATEDIF(M34,TODAY(),"Y"))</f>
        <v>35</v>
      </c>
      <c r="O34" s="62" t="s">
        <v>1010</v>
      </c>
      <c r="P34" s="62" t="s">
        <v>1539</v>
      </c>
      <c r="V34" s="61" t="str">
        <f t="shared" si="2"/>
        <v>Halima Abdi Hassan</v>
      </c>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1"/>
      <c r="CG34" s="61"/>
      <c r="CH34" s="61"/>
      <c r="CI34" s="61"/>
      <c r="CJ34" s="61"/>
      <c r="CK34" s="61"/>
      <c r="CL34" s="61"/>
      <c r="CM34" s="61"/>
      <c r="CN34" s="61"/>
      <c r="CP34" s="61"/>
      <c r="CQ34" s="61"/>
      <c r="CR34" s="61"/>
      <c r="CS34" s="61"/>
      <c r="CT34" s="61"/>
      <c r="CU34" s="61"/>
      <c r="CV34" s="61"/>
      <c r="CW34" s="61"/>
      <c r="CX34" s="61"/>
      <c r="CY34" s="61"/>
      <c r="CZ34" s="61"/>
      <c r="DA34" s="61"/>
      <c r="DB34" s="61"/>
      <c r="DC34" s="61"/>
      <c r="DD34" s="61"/>
      <c r="DE34" s="61"/>
      <c r="DF34" s="61"/>
      <c r="DG34" s="61"/>
      <c r="DH34" s="61"/>
      <c r="DI34" s="61"/>
      <c r="DJ34" s="61"/>
      <c r="DK34" s="61"/>
      <c r="DL34" s="61"/>
      <c r="DM34" s="61"/>
      <c r="DN34" s="61"/>
      <c r="DO34" s="61"/>
      <c r="DP34" s="61"/>
      <c r="DQ34" s="61"/>
      <c r="DR34" s="61"/>
      <c r="DS34" s="61"/>
      <c r="DT34" s="61"/>
      <c r="DU34" s="61"/>
      <c r="DV34" s="61"/>
      <c r="DW34" s="61"/>
      <c r="DX34" s="61"/>
      <c r="DY34" s="61"/>
      <c r="DZ34" s="61"/>
      <c r="EA34" s="61"/>
      <c r="EB34" s="61"/>
      <c r="EC34" s="61"/>
      <c r="ED34" s="61"/>
      <c r="EE34" s="61"/>
      <c r="EF34" s="61"/>
      <c r="EG34" s="61"/>
      <c r="EH34" s="61"/>
      <c r="EI34" s="61"/>
    </row>
    <row r="35" spans="1:139" s="62" customFormat="1">
      <c r="A35" s="64" t="s">
        <v>349</v>
      </c>
      <c r="B35" s="93" t="s">
        <v>2426</v>
      </c>
      <c r="C35" s="93" t="s">
        <v>1626</v>
      </c>
      <c r="D35" s="81" t="s">
        <v>509</v>
      </c>
      <c r="E35" s="81">
        <v>29121758</v>
      </c>
      <c r="F35" s="277" t="s">
        <v>2587</v>
      </c>
      <c r="G35" s="93" t="s">
        <v>141</v>
      </c>
      <c r="H35" s="93" t="s">
        <v>166</v>
      </c>
      <c r="I35" s="93" t="s">
        <v>1611</v>
      </c>
      <c r="J35" s="93" t="s">
        <v>1577</v>
      </c>
      <c r="K35" s="62" t="s">
        <v>1263</v>
      </c>
      <c r="L35" s="62" t="s">
        <v>1264</v>
      </c>
      <c r="M35" s="49" t="str">
        <f t="shared" si="0"/>
        <v>20/02/1992</v>
      </c>
      <c r="N35" s="50">
        <f t="shared" ca="1" si="3"/>
        <v>34</v>
      </c>
      <c r="O35" s="62" t="s">
        <v>988</v>
      </c>
      <c r="P35" s="62" t="s">
        <v>2121</v>
      </c>
      <c r="Q35" s="62" t="s">
        <v>1265</v>
      </c>
      <c r="S35" s="81" t="s">
        <v>2109</v>
      </c>
      <c r="T35" s="83">
        <v>513463</v>
      </c>
      <c r="U35" s="84">
        <v>46265</v>
      </c>
      <c r="V35" s="61" t="str">
        <f t="shared" si="2"/>
        <v>Immaculate Njeri Mwangi</v>
      </c>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1"/>
      <c r="CG35" s="61"/>
      <c r="CH35" s="61"/>
      <c r="CI35" s="61"/>
      <c r="CJ35" s="61"/>
      <c r="CK35" s="61"/>
      <c r="CL35" s="61"/>
      <c r="CM35" s="61"/>
      <c r="CN35" s="61"/>
      <c r="CP35" s="61"/>
      <c r="CQ35" s="61"/>
      <c r="CR35" s="61"/>
      <c r="CS35" s="61"/>
      <c r="CT35" s="61"/>
      <c r="CU35" s="61"/>
      <c r="CV35" s="61"/>
      <c r="CW35" s="61"/>
      <c r="CX35" s="61"/>
      <c r="CY35" s="61"/>
      <c r="CZ35" s="61"/>
      <c r="DA35" s="61"/>
      <c r="DB35" s="61"/>
      <c r="DC35" s="61"/>
      <c r="DD35" s="61"/>
      <c r="DE35" s="61"/>
      <c r="DF35" s="61"/>
      <c r="DG35" s="61"/>
      <c r="DH35" s="61"/>
      <c r="DI35" s="61"/>
      <c r="DJ35" s="61"/>
      <c r="DK35" s="61"/>
      <c r="DL35" s="61"/>
      <c r="DM35" s="61"/>
      <c r="DN35" s="61"/>
      <c r="DO35" s="61"/>
      <c r="DP35" s="61"/>
      <c r="DQ35" s="61"/>
      <c r="DR35" s="61"/>
      <c r="DS35" s="61"/>
      <c r="DT35" s="61"/>
      <c r="DU35" s="61"/>
      <c r="DV35" s="61"/>
      <c r="DW35" s="61"/>
      <c r="DX35" s="61"/>
      <c r="DY35" s="61"/>
      <c r="DZ35" s="61"/>
      <c r="EA35" s="61"/>
      <c r="EB35" s="61"/>
      <c r="EC35" s="61"/>
      <c r="ED35" s="61"/>
      <c r="EE35" s="61"/>
      <c r="EF35" s="61"/>
      <c r="EG35" s="61"/>
      <c r="EH35" s="61"/>
      <c r="EI35" s="61"/>
    </row>
    <row r="36" spans="1:139" s="62" customFormat="1">
      <c r="A36" s="64" t="s">
        <v>19</v>
      </c>
      <c r="B36" s="93" t="s">
        <v>2588</v>
      </c>
      <c r="C36" s="93" t="s">
        <v>1626</v>
      </c>
      <c r="D36" s="81" t="s">
        <v>172</v>
      </c>
      <c r="E36" s="81">
        <v>23866645</v>
      </c>
      <c r="F36" s="277" t="s">
        <v>2632</v>
      </c>
      <c r="G36" s="93" t="s">
        <v>21</v>
      </c>
      <c r="H36" s="93" t="s">
        <v>166</v>
      </c>
      <c r="I36" s="93" t="s">
        <v>1603</v>
      </c>
      <c r="J36" s="93" t="s">
        <v>282</v>
      </c>
      <c r="K36" s="62" t="s">
        <v>1005</v>
      </c>
      <c r="L36" s="62" t="s">
        <v>2633</v>
      </c>
      <c r="M36" s="49" t="str">
        <f t="shared" si="0"/>
        <v>04/12/1984</v>
      </c>
      <c r="N36" s="50">
        <f t="shared" ca="1" si="3"/>
        <v>41</v>
      </c>
      <c r="O36" s="62" t="s">
        <v>988</v>
      </c>
      <c r="P36" s="62" t="s">
        <v>1266</v>
      </c>
      <c r="Q36" s="62" t="s">
        <v>1267</v>
      </c>
      <c r="R36" s="62" t="s">
        <v>1539</v>
      </c>
      <c r="V36" s="61" t="str">
        <f t="shared" si="2"/>
        <v xml:space="preserve">Ruth Philip Inokobia </v>
      </c>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M36" s="61"/>
      <c r="CN36" s="61"/>
      <c r="CP36" s="61"/>
      <c r="CQ36" s="61"/>
      <c r="CR36" s="61"/>
      <c r="CS36" s="61"/>
      <c r="CT36" s="61"/>
      <c r="CU36" s="61"/>
      <c r="CV36" s="61"/>
      <c r="CW36" s="61"/>
      <c r="CX36" s="61"/>
      <c r="CY36" s="61"/>
      <c r="CZ36" s="61"/>
      <c r="DA36" s="61"/>
      <c r="DB36" s="61"/>
      <c r="DC36" s="61"/>
      <c r="DD36" s="61"/>
      <c r="DE36" s="61"/>
      <c r="DF36" s="61"/>
      <c r="DG36" s="61"/>
      <c r="DH36" s="61"/>
      <c r="DI36" s="61"/>
      <c r="DJ36" s="61"/>
      <c r="DK36" s="61"/>
      <c r="DL36" s="61"/>
      <c r="DM36" s="61"/>
      <c r="DN36" s="61"/>
      <c r="DO36" s="61"/>
      <c r="DP36" s="61"/>
      <c r="DQ36" s="61"/>
      <c r="DR36" s="61"/>
      <c r="DS36" s="61"/>
      <c r="DT36" s="61"/>
      <c r="DU36" s="61"/>
      <c r="DV36" s="61"/>
      <c r="DW36" s="61"/>
      <c r="DX36" s="61"/>
      <c r="DY36" s="61"/>
      <c r="DZ36" s="61"/>
      <c r="EA36" s="61"/>
      <c r="EB36" s="61"/>
      <c r="EC36" s="61"/>
      <c r="ED36" s="61"/>
      <c r="EE36" s="61"/>
      <c r="EF36" s="61"/>
      <c r="EG36" s="61"/>
      <c r="EH36" s="61"/>
      <c r="EI36" s="61"/>
    </row>
    <row r="37" spans="1:139" s="62" customFormat="1">
      <c r="A37" s="64" t="s">
        <v>222</v>
      </c>
      <c r="B37" s="93" t="s">
        <v>2389</v>
      </c>
      <c r="C37" s="93" t="s">
        <v>1626</v>
      </c>
      <c r="D37" s="81" t="s">
        <v>382</v>
      </c>
      <c r="E37" s="81" t="s">
        <v>2048</v>
      </c>
      <c r="F37" s="277" t="s">
        <v>2589</v>
      </c>
      <c r="G37" s="93" t="s">
        <v>83</v>
      </c>
      <c r="H37" s="93" t="s">
        <v>166</v>
      </c>
      <c r="I37" s="93" t="s">
        <v>1609</v>
      </c>
      <c r="J37" s="93" t="s">
        <v>914</v>
      </c>
      <c r="K37" s="62" t="s">
        <v>1005</v>
      </c>
      <c r="L37" s="62" t="s">
        <v>1553</v>
      </c>
      <c r="M37" s="49" t="str">
        <f t="shared" si="0"/>
        <v>03/10/1990</v>
      </c>
      <c r="N37" s="50">
        <f t="shared" ca="1" si="3"/>
        <v>35</v>
      </c>
      <c r="O37" s="62" t="s">
        <v>988</v>
      </c>
      <c r="P37" s="62" t="s">
        <v>983</v>
      </c>
      <c r="Q37" s="62" t="s">
        <v>1125</v>
      </c>
      <c r="S37" s="81" t="s">
        <v>2111</v>
      </c>
      <c r="T37" s="81" t="s">
        <v>2042</v>
      </c>
      <c r="U37" s="84">
        <v>45862</v>
      </c>
      <c r="V37" s="61" t="str">
        <f t="shared" si="2"/>
        <v>Jackline Gatwiri Kimencu</v>
      </c>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M37" s="61"/>
      <c r="CN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1"/>
      <c r="DP37" s="61"/>
      <c r="DQ37" s="61"/>
      <c r="DR37" s="61"/>
      <c r="DS37" s="61"/>
      <c r="DT37" s="61"/>
      <c r="DU37" s="61"/>
      <c r="DV37" s="61"/>
      <c r="DW37" s="61"/>
      <c r="DX37" s="61"/>
      <c r="DY37" s="61"/>
      <c r="DZ37" s="61"/>
      <c r="EA37" s="61"/>
      <c r="EB37" s="61"/>
      <c r="EC37" s="61"/>
      <c r="ED37" s="61"/>
      <c r="EE37" s="61"/>
      <c r="EF37" s="61"/>
      <c r="EG37" s="61"/>
      <c r="EH37" s="61"/>
      <c r="EI37" s="61"/>
    </row>
    <row r="38" spans="1:139" s="62" customFormat="1">
      <c r="A38" s="64" t="s">
        <v>77</v>
      </c>
      <c r="B38" s="93" t="s">
        <v>2347</v>
      </c>
      <c r="C38" s="93" t="s">
        <v>1626</v>
      </c>
      <c r="D38" s="81" t="s">
        <v>224</v>
      </c>
      <c r="E38" s="81">
        <v>13620905</v>
      </c>
      <c r="F38" s="277" t="s">
        <v>2591</v>
      </c>
      <c r="G38" s="93" t="s">
        <v>21</v>
      </c>
      <c r="H38" s="93" t="s">
        <v>166</v>
      </c>
      <c r="I38" s="93" t="s">
        <v>1604</v>
      </c>
      <c r="J38" s="93" t="s">
        <v>925</v>
      </c>
      <c r="K38" s="62" t="s">
        <v>1005</v>
      </c>
      <c r="L38" s="62" t="s">
        <v>1272</v>
      </c>
      <c r="M38" s="49" t="str">
        <f t="shared" si="0"/>
        <v>11/07/1975</v>
      </c>
      <c r="N38" s="50">
        <f t="shared" ca="1" si="3"/>
        <v>51</v>
      </c>
      <c r="O38" s="62" t="s">
        <v>988</v>
      </c>
      <c r="P38" s="62" t="s">
        <v>1002</v>
      </c>
      <c r="Q38" s="62" t="s">
        <v>1273</v>
      </c>
      <c r="R38" s="62" t="s">
        <v>1540</v>
      </c>
      <c r="V38" s="61" t="str">
        <f t="shared" si="2"/>
        <v>Jane Mukwanjeru</v>
      </c>
      <c r="W38" s="61"/>
      <c r="X38" s="61"/>
      <c r="Y38" s="61"/>
      <c r="Z38" s="61"/>
      <c r="AA38" s="61"/>
      <c r="AB38" s="61"/>
      <c r="AC38" s="61"/>
      <c r="AD38" s="61"/>
      <c r="AE38" s="61"/>
      <c r="AF38" s="61"/>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1"/>
      <c r="BZ38" s="61"/>
      <c r="CA38" s="61"/>
      <c r="CB38" s="61"/>
      <c r="CC38" s="61"/>
      <c r="CD38" s="61"/>
      <c r="CE38" s="61"/>
      <c r="CF38" s="61"/>
      <c r="CG38" s="61"/>
      <c r="CH38" s="61"/>
      <c r="CI38" s="61"/>
      <c r="CJ38" s="61"/>
      <c r="CK38" s="61"/>
      <c r="CL38" s="61"/>
      <c r="CM38" s="61"/>
      <c r="CN38" s="61"/>
      <c r="CP38" s="61"/>
      <c r="CQ38" s="61"/>
      <c r="CR38" s="61"/>
      <c r="CS38" s="61"/>
      <c r="CT38" s="61"/>
      <c r="CU38" s="61"/>
      <c r="CV38" s="61"/>
      <c r="CW38" s="61"/>
      <c r="CX38" s="61"/>
      <c r="CY38" s="61"/>
      <c r="CZ38" s="61"/>
      <c r="DA38" s="61"/>
      <c r="DB38" s="61"/>
      <c r="DC38" s="61"/>
      <c r="DD38" s="61"/>
      <c r="DE38" s="61"/>
      <c r="DF38" s="61"/>
      <c r="DG38" s="61"/>
      <c r="DH38" s="61"/>
      <c r="DI38" s="61"/>
      <c r="DJ38" s="61"/>
      <c r="DK38" s="61"/>
      <c r="DL38" s="61"/>
      <c r="DM38" s="61"/>
      <c r="DN38" s="61"/>
      <c r="DO38" s="61"/>
      <c r="DP38" s="61"/>
      <c r="DQ38" s="61"/>
      <c r="DR38" s="61"/>
      <c r="DS38" s="61"/>
      <c r="DT38" s="61"/>
      <c r="DU38" s="61"/>
      <c r="DV38" s="61"/>
      <c r="DW38" s="61"/>
      <c r="DX38" s="61"/>
      <c r="DY38" s="61"/>
      <c r="DZ38" s="61"/>
      <c r="EA38" s="61"/>
      <c r="EB38" s="61"/>
      <c r="EC38" s="61"/>
      <c r="ED38" s="61"/>
      <c r="EE38" s="61"/>
      <c r="EF38" s="61"/>
      <c r="EG38" s="61"/>
      <c r="EH38" s="61"/>
      <c r="EI38" s="61"/>
    </row>
    <row r="39" spans="1:139" s="62" customFormat="1">
      <c r="A39" s="64" t="s">
        <v>136</v>
      </c>
      <c r="B39" s="93" t="s">
        <v>2359</v>
      </c>
      <c r="C39" s="93" t="s">
        <v>1626</v>
      </c>
      <c r="D39" s="81" t="s">
        <v>291</v>
      </c>
      <c r="E39" s="81" t="s">
        <v>2107</v>
      </c>
      <c r="F39" s="277" t="s">
        <v>2592</v>
      </c>
      <c r="G39" s="93" t="s">
        <v>21</v>
      </c>
      <c r="H39" s="93" t="s">
        <v>166</v>
      </c>
      <c r="I39" s="93" t="s">
        <v>1600</v>
      </c>
      <c r="J39" s="93" t="s">
        <v>340</v>
      </c>
      <c r="K39" s="62" t="s">
        <v>1005</v>
      </c>
      <c r="L39" s="62" t="s">
        <v>1554</v>
      </c>
      <c r="M39" s="49" t="str">
        <f t="shared" si="0"/>
        <v>01/01/1986</v>
      </c>
      <c r="N39" s="50">
        <f t="shared" ca="1" si="3"/>
        <v>40</v>
      </c>
      <c r="O39" s="62" t="s">
        <v>988</v>
      </c>
      <c r="P39" s="62" t="s">
        <v>1167</v>
      </c>
      <c r="Q39" s="62" t="s">
        <v>1275</v>
      </c>
      <c r="R39" s="62" t="s">
        <v>1539</v>
      </c>
      <c r="V39" s="61" t="str">
        <f t="shared" si="2"/>
        <v>Josephine Kathure Kithinji</v>
      </c>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1"/>
      <c r="DV39" s="61"/>
      <c r="DW39" s="61"/>
      <c r="DX39" s="61"/>
      <c r="DY39" s="61"/>
      <c r="DZ39" s="61"/>
      <c r="EA39" s="61"/>
      <c r="EB39" s="61"/>
      <c r="EC39" s="61"/>
      <c r="ED39" s="61"/>
      <c r="EE39" s="61"/>
      <c r="EF39" s="61"/>
      <c r="EG39" s="61"/>
      <c r="EH39" s="61"/>
      <c r="EI39" s="61"/>
    </row>
    <row r="40" spans="1:139" s="62" customFormat="1">
      <c r="A40" s="64" t="s">
        <v>326</v>
      </c>
      <c r="B40" s="93" t="s">
        <v>2418</v>
      </c>
      <c r="C40" s="93" t="s">
        <v>1626</v>
      </c>
      <c r="D40" s="81" t="s">
        <v>485</v>
      </c>
      <c r="E40" s="81">
        <v>28416206</v>
      </c>
      <c r="F40" s="277" t="s">
        <v>2593</v>
      </c>
      <c r="G40" s="93" t="s">
        <v>935</v>
      </c>
      <c r="H40" s="93" t="s">
        <v>166</v>
      </c>
      <c r="I40" s="93" t="s">
        <v>1609</v>
      </c>
      <c r="J40" s="93" t="s">
        <v>914</v>
      </c>
      <c r="K40" s="62" t="s">
        <v>1005</v>
      </c>
      <c r="L40" s="62" t="s">
        <v>1205</v>
      </c>
      <c r="M40" s="49" t="str">
        <f t="shared" si="0"/>
        <v>01/01/1988</v>
      </c>
      <c r="N40" s="50">
        <f t="shared" ca="1" si="3"/>
        <v>38</v>
      </c>
      <c r="O40" s="62" t="s">
        <v>988</v>
      </c>
      <c r="P40" s="62" t="s">
        <v>996</v>
      </c>
      <c r="Q40" s="62" t="s">
        <v>1284</v>
      </c>
      <c r="S40" s="81" t="s">
        <v>2328</v>
      </c>
      <c r="T40" s="83" t="s">
        <v>2032</v>
      </c>
      <c r="U40" s="84">
        <v>46173</v>
      </c>
      <c r="V40" s="61" t="str">
        <f t="shared" si="2"/>
        <v>Josphine Kananu</v>
      </c>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M40" s="61"/>
      <c r="CN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1"/>
      <c r="DP40" s="61"/>
      <c r="DQ40" s="61"/>
      <c r="DR40" s="61"/>
      <c r="DS40" s="61"/>
      <c r="DT40" s="61"/>
      <c r="DU40" s="61"/>
      <c r="DV40" s="61"/>
      <c r="DW40" s="61"/>
      <c r="DX40" s="61"/>
      <c r="DY40" s="61"/>
      <c r="DZ40" s="61"/>
      <c r="EA40" s="61"/>
      <c r="EB40" s="61"/>
      <c r="EC40" s="61"/>
      <c r="ED40" s="61"/>
      <c r="EE40" s="61"/>
      <c r="EF40" s="61"/>
      <c r="EG40" s="61"/>
      <c r="EH40" s="61"/>
      <c r="EI40" s="61"/>
    </row>
    <row r="41" spans="1:139" s="66" customFormat="1">
      <c r="A41" s="64" t="s">
        <v>280</v>
      </c>
      <c r="B41" s="93" t="s">
        <v>2408</v>
      </c>
      <c r="C41" s="93" t="s">
        <v>1626</v>
      </c>
      <c r="D41" s="81" t="s">
        <v>438</v>
      </c>
      <c r="E41" s="81" t="s">
        <v>2095</v>
      </c>
      <c r="F41" s="277" t="s">
        <v>2594</v>
      </c>
      <c r="G41" s="93" t="s">
        <v>21</v>
      </c>
      <c r="H41" s="93" t="s">
        <v>166</v>
      </c>
      <c r="I41" s="93" t="s">
        <v>1603</v>
      </c>
      <c r="J41" s="93" t="s">
        <v>2116</v>
      </c>
      <c r="K41" s="62" t="s">
        <v>1005</v>
      </c>
      <c r="L41" s="62" t="s">
        <v>1279</v>
      </c>
      <c r="M41" s="49" t="str">
        <f t="shared" si="0"/>
        <v>14/06/1985</v>
      </c>
      <c r="N41" s="50">
        <f t="shared" ca="1" si="3"/>
        <v>41</v>
      </c>
      <c r="O41" s="62" t="s">
        <v>988</v>
      </c>
      <c r="P41" s="62" t="s">
        <v>1280</v>
      </c>
      <c r="Q41" s="62" t="s">
        <v>1256</v>
      </c>
      <c r="R41" s="62" t="s">
        <v>1539</v>
      </c>
      <c r="S41" s="62"/>
      <c r="T41" s="62"/>
      <c r="U41" s="62"/>
      <c r="V41" s="61" t="str">
        <f t="shared" si="2"/>
        <v>Joy Kagwiria Kaunga</v>
      </c>
      <c r="W41" s="61"/>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8"/>
      <c r="BM41" s="68"/>
      <c r="BN41" s="68"/>
      <c r="BO41" s="68"/>
      <c r="BP41" s="68"/>
      <c r="BQ41" s="68"/>
      <c r="BR41" s="68"/>
      <c r="BS41" s="68"/>
      <c r="BT41" s="68"/>
      <c r="BU41" s="68"/>
      <c r="BV41" s="68"/>
      <c r="BW41" s="68"/>
      <c r="BX41" s="68"/>
      <c r="BY41" s="68"/>
      <c r="BZ41" s="68"/>
      <c r="CA41" s="68"/>
      <c r="CB41" s="68"/>
      <c r="CC41" s="68"/>
      <c r="CD41" s="68"/>
      <c r="CE41" s="68"/>
      <c r="CF41" s="68"/>
      <c r="CG41" s="68"/>
      <c r="CH41" s="68"/>
      <c r="CI41" s="68"/>
      <c r="CJ41" s="68"/>
      <c r="CK41" s="68"/>
      <c r="CL41" s="68"/>
      <c r="CM41" s="68"/>
      <c r="CN41" s="68"/>
      <c r="CP41" s="68"/>
      <c r="CQ41" s="68"/>
      <c r="CR41" s="68"/>
      <c r="CS41" s="68"/>
      <c r="CT41" s="68"/>
      <c r="CU41" s="68"/>
      <c r="CV41" s="68"/>
      <c r="CW41" s="68"/>
      <c r="CX41" s="68"/>
      <c r="CY41" s="68"/>
      <c r="CZ41" s="68"/>
      <c r="DA41" s="68"/>
      <c r="DB41" s="68"/>
      <c r="DC41" s="68"/>
      <c r="DD41" s="68"/>
      <c r="DE41" s="68"/>
      <c r="DF41" s="68"/>
      <c r="DG41" s="68"/>
      <c r="DH41" s="68"/>
      <c r="DI41" s="68"/>
      <c r="DJ41" s="68"/>
      <c r="DK41" s="68"/>
      <c r="DL41" s="68"/>
      <c r="DM41" s="68"/>
      <c r="DN41" s="68"/>
      <c r="DO41" s="68"/>
      <c r="DP41" s="68"/>
      <c r="DQ41" s="68"/>
      <c r="DR41" s="68"/>
      <c r="DS41" s="68"/>
      <c r="DT41" s="68"/>
      <c r="DU41" s="68"/>
      <c r="DV41" s="68"/>
      <c r="DW41" s="68"/>
      <c r="DX41" s="68"/>
      <c r="DY41" s="68"/>
      <c r="DZ41" s="68"/>
      <c r="EA41" s="68"/>
      <c r="EB41" s="68"/>
      <c r="EC41" s="68"/>
      <c r="ED41" s="68"/>
      <c r="EE41" s="68"/>
      <c r="EF41" s="68"/>
      <c r="EG41" s="68"/>
      <c r="EH41" s="68"/>
      <c r="EI41" s="68"/>
    </row>
    <row r="42" spans="1:139" s="66" customFormat="1">
      <c r="A42" s="64" t="s">
        <v>264</v>
      </c>
      <c r="B42" s="93" t="s">
        <v>2402</v>
      </c>
      <c r="C42" s="93" t="s">
        <v>1626</v>
      </c>
      <c r="D42" s="117" t="s">
        <v>421</v>
      </c>
      <c r="E42" s="81" t="s">
        <v>2052</v>
      </c>
      <c r="F42" s="277" t="s">
        <v>2597</v>
      </c>
      <c r="G42" s="93" t="s">
        <v>407</v>
      </c>
      <c r="H42" s="93" t="s">
        <v>166</v>
      </c>
      <c r="I42" s="93" t="s">
        <v>1604</v>
      </c>
      <c r="J42" s="93" t="s">
        <v>411</v>
      </c>
      <c r="K42" s="62" t="s">
        <v>1005</v>
      </c>
      <c r="L42" s="62" t="s">
        <v>1288</v>
      </c>
      <c r="M42" s="49" t="str">
        <f t="shared" si="0"/>
        <v>03/12/1994</v>
      </c>
      <c r="N42" s="50">
        <f t="shared" ca="1" si="3"/>
        <v>31</v>
      </c>
      <c r="O42" s="62" t="s">
        <v>998</v>
      </c>
      <c r="P42" s="62" t="s">
        <v>1289</v>
      </c>
      <c r="Q42" s="62" t="s">
        <v>1068</v>
      </c>
      <c r="R42" s="62"/>
      <c r="S42" s="62"/>
      <c r="T42" s="62"/>
      <c r="U42" s="62"/>
      <c r="V42" s="61" t="str">
        <f t="shared" si="2"/>
        <v>Juster Kendi</v>
      </c>
      <c r="W42" s="61"/>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68"/>
      <c r="BK42" s="68"/>
      <c r="BL42" s="68"/>
      <c r="BM42" s="68"/>
      <c r="BN42" s="68"/>
      <c r="BO42" s="68"/>
      <c r="BP42" s="68"/>
      <c r="BQ42" s="68"/>
      <c r="BR42" s="68"/>
      <c r="BS42" s="68"/>
      <c r="BT42" s="68"/>
      <c r="BU42" s="68"/>
      <c r="BV42" s="68"/>
      <c r="BW42" s="68"/>
      <c r="BX42" s="68"/>
      <c r="BY42" s="68"/>
      <c r="BZ42" s="68"/>
      <c r="CA42" s="68"/>
      <c r="CB42" s="68"/>
      <c r="CC42" s="68"/>
      <c r="CD42" s="68"/>
      <c r="CE42" s="68"/>
      <c r="CF42" s="68"/>
      <c r="CG42" s="68"/>
      <c r="CH42" s="68"/>
      <c r="CI42" s="68"/>
      <c r="CJ42" s="68"/>
      <c r="CK42" s="68"/>
      <c r="CL42" s="68"/>
      <c r="CM42" s="68"/>
      <c r="CN42" s="68"/>
      <c r="CP42" s="68"/>
      <c r="CQ42" s="68"/>
      <c r="CR42" s="68"/>
      <c r="CS42" s="68"/>
      <c r="CT42" s="68"/>
      <c r="CU42" s="68"/>
      <c r="CV42" s="68"/>
      <c r="CW42" s="68"/>
      <c r="CX42" s="68"/>
      <c r="CY42" s="68"/>
      <c r="CZ42" s="68"/>
      <c r="DA42" s="68"/>
      <c r="DB42" s="68"/>
      <c r="DC42" s="68"/>
      <c r="DD42" s="68"/>
      <c r="DE42" s="68"/>
      <c r="DF42" s="68"/>
      <c r="DG42" s="68"/>
      <c r="DH42" s="68"/>
      <c r="DI42" s="68"/>
      <c r="DJ42" s="68"/>
      <c r="DK42" s="68"/>
      <c r="DL42" s="68"/>
      <c r="DM42" s="68"/>
      <c r="DN42" s="68"/>
      <c r="DO42" s="68"/>
      <c r="DP42" s="68"/>
      <c r="DQ42" s="68"/>
      <c r="DR42" s="68"/>
      <c r="DS42" s="68"/>
      <c r="DT42" s="68"/>
      <c r="DU42" s="68"/>
      <c r="DV42" s="68"/>
      <c r="DW42" s="68"/>
      <c r="DX42" s="68"/>
      <c r="DY42" s="68"/>
      <c r="DZ42" s="68"/>
      <c r="EA42" s="68"/>
      <c r="EB42" s="68"/>
      <c r="EC42" s="68"/>
      <c r="ED42" s="68"/>
      <c r="EE42" s="68"/>
      <c r="EF42" s="68"/>
      <c r="EG42" s="68"/>
      <c r="EH42" s="68"/>
      <c r="EI42" s="68"/>
    </row>
    <row r="43" spans="1:139" s="62" customFormat="1" hidden="1">
      <c r="A43" s="64" t="s">
        <v>322</v>
      </c>
      <c r="B43" s="93" t="s">
        <v>2417</v>
      </c>
      <c r="C43" s="93" t="s">
        <v>1627</v>
      </c>
      <c r="D43" s="81" t="s">
        <v>2015</v>
      </c>
      <c r="E43" s="81">
        <v>30921808</v>
      </c>
      <c r="F43" s="157" t="s">
        <v>2599</v>
      </c>
      <c r="G43" s="93" t="s">
        <v>124</v>
      </c>
      <c r="H43" s="93" t="s">
        <v>166</v>
      </c>
      <c r="I43" s="93" t="s">
        <v>1604</v>
      </c>
      <c r="J43" s="93" t="s">
        <v>925</v>
      </c>
      <c r="K43" s="62" t="s">
        <v>1295</v>
      </c>
      <c r="L43" s="62" t="s">
        <v>1566</v>
      </c>
      <c r="M43" s="94">
        <v>34328</v>
      </c>
      <c r="N43" s="50">
        <f t="shared" ca="1" si="3"/>
        <v>32</v>
      </c>
      <c r="O43" s="62" t="s">
        <v>988</v>
      </c>
      <c r="P43" s="62" t="s">
        <v>996</v>
      </c>
      <c r="Q43" s="62" t="s">
        <v>1170</v>
      </c>
      <c r="S43" s="81" t="s">
        <v>2328</v>
      </c>
      <c r="T43" s="83" t="s">
        <v>2031</v>
      </c>
      <c r="U43" s="84">
        <v>46295</v>
      </c>
      <c r="V43" s="61" t="str">
        <f t="shared" si="2"/>
        <v>Kennedy Kaunda Kisilu</v>
      </c>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P43" s="61"/>
      <c r="CQ43" s="61"/>
      <c r="CR43" s="61"/>
      <c r="CS43" s="61"/>
      <c r="CT43" s="61"/>
      <c r="CU43" s="61"/>
      <c r="CV43" s="61"/>
      <c r="CW43" s="61"/>
      <c r="CX43" s="61"/>
      <c r="CY43" s="61"/>
      <c r="CZ43" s="61"/>
      <c r="DA43" s="61"/>
      <c r="DB43" s="61"/>
      <c r="DC43" s="61"/>
      <c r="DD43" s="61"/>
      <c r="DE43" s="61"/>
      <c r="DF43" s="61"/>
      <c r="DG43" s="61"/>
      <c r="DH43" s="61"/>
      <c r="DI43" s="61"/>
      <c r="DJ43" s="61"/>
      <c r="DK43" s="61"/>
      <c r="DL43" s="61"/>
      <c r="DM43" s="61"/>
      <c r="DN43" s="61"/>
      <c r="DO43" s="61"/>
      <c r="DP43" s="61"/>
      <c r="DQ43" s="61"/>
      <c r="DR43" s="61"/>
      <c r="DS43" s="61"/>
      <c r="DT43" s="61"/>
      <c r="DU43" s="61"/>
      <c r="DV43" s="61"/>
      <c r="DW43" s="61"/>
      <c r="DX43" s="61"/>
      <c r="DY43" s="61"/>
      <c r="DZ43" s="61"/>
      <c r="EA43" s="61"/>
      <c r="EB43" s="61"/>
      <c r="EC43" s="61"/>
      <c r="ED43" s="61"/>
      <c r="EE43" s="61"/>
      <c r="EF43" s="61"/>
      <c r="EG43" s="61"/>
      <c r="EH43" s="61"/>
      <c r="EI43" s="61"/>
    </row>
    <row r="44" spans="1:139" s="62" customFormat="1">
      <c r="A44" s="64" t="s">
        <v>284</v>
      </c>
      <c r="B44" s="93" t="s">
        <v>2409</v>
      </c>
      <c r="C44" s="93" t="s">
        <v>1626</v>
      </c>
      <c r="D44" s="81" t="s">
        <v>442</v>
      </c>
      <c r="E44" s="81" t="s">
        <v>2096</v>
      </c>
      <c r="F44" s="277" t="s">
        <v>2600</v>
      </c>
      <c r="G44" s="93" t="s">
        <v>21</v>
      </c>
      <c r="H44" s="93" t="s">
        <v>166</v>
      </c>
      <c r="I44" s="93" t="s">
        <v>1600</v>
      </c>
      <c r="J44" s="93" t="s">
        <v>290</v>
      </c>
      <c r="K44" s="62" t="s">
        <v>1005</v>
      </c>
      <c r="L44" s="62" t="s">
        <v>1296</v>
      </c>
      <c r="M44" s="94">
        <v>28169</v>
      </c>
      <c r="N44" s="50">
        <f t="shared" ca="1" si="3"/>
        <v>49</v>
      </c>
      <c r="O44" s="62" t="s">
        <v>1010</v>
      </c>
      <c r="P44" s="62" t="s">
        <v>1542</v>
      </c>
      <c r="R44" s="62" t="s">
        <v>1539</v>
      </c>
      <c r="V44" s="61" t="str">
        <f t="shared" si="2"/>
        <v>Kestine Kagweni Phares</v>
      </c>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c r="CF44" s="61"/>
      <c r="CG44" s="61"/>
      <c r="CH44" s="61"/>
      <c r="CI44" s="61"/>
      <c r="CJ44" s="61"/>
      <c r="CK44" s="61"/>
      <c r="CL44" s="61"/>
      <c r="CM44" s="61"/>
      <c r="CN44" s="61"/>
      <c r="CP44" s="61"/>
      <c r="CQ44" s="61"/>
      <c r="CR44" s="61"/>
      <c r="CS44" s="61"/>
      <c r="CT44" s="61"/>
      <c r="CU44" s="61"/>
      <c r="CV44" s="61"/>
      <c r="CW44" s="61"/>
      <c r="CX44" s="61"/>
      <c r="CY44" s="61"/>
      <c r="CZ44" s="61"/>
      <c r="DA44" s="61"/>
      <c r="DB44" s="61"/>
      <c r="DC44" s="61"/>
      <c r="DD44" s="61"/>
      <c r="DE44" s="61"/>
      <c r="DF44" s="61"/>
      <c r="DG44" s="61"/>
      <c r="DH44" s="61"/>
      <c r="DI44" s="61"/>
      <c r="DJ44" s="61"/>
      <c r="DK44" s="61"/>
      <c r="DL44" s="61"/>
      <c r="DM44" s="61"/>
      <c r="DN44" s="61"/>
      <c r="DO44" s="61"/>
      <c r="DP44" s="61"/>
      <c r="DQ44" s="61"/>
      <c r="DR44" s="61"/>
      <c r="DS44" s="61"/>
      <c r="DT44" s="61"/>
      <c r="DU44" s="61"/>
      <c r="DV44" s="61"/>
      <c r="DW44" s="61"/>
      <c r="DX44" s="61"/>
      <c r="DY44" s="61"/>
      <c r="DZ44" s="61"/>
      <c r="EA44" s="61"/>
      <c r="EB44" s="61"/>
      <c r="EC44" s="61"/>
      <c r="ED44" s="61"/>
      <c r="EE44" s="61"/>
      <c r="EF44" s="61"/>
      <c r="EG44" s="61"/>
      <c r="EH44" s="61"/>
      <c r="EI44" s="61"/>
    </row>
    <row r="45" spans="1:139" s="62" customFormat="1">
      <c r="A45" s="64" t="s">
        <v>330</v>
      </c>
      <c r="B45" s="93" t="s">
        <v>2419</v>
      </c>
      <c r="C45" s="93" t="s">
        <v>1626</v>
      </c>
      <c r="D45" s="81" t="s">
        <v>488</v>
      </c>
      <c r="E45" s="81" t="s">
        <v>2101</v>
      </c>
      <c r="F45" s="277" t="s">
        <v>2601</v>
      </c>
      <c r="G45" s="93" t="s">
        <v>21</v>
      </c>
      <c r="H45" s="93" t="s">
        <v>166</v>
      </c>
      <c r="I45" s="93" t="s">
        <v>1607</v>
      </c>
      <c r="J45" s="93" t="s">
        <v>182</v>
      </c>
      <c r="K45" s="62" t="s">
        <v>1063</v>
      </c>
      <c r="L45" s="62" t="s">
        <v>1297</v>
      </c>
      <c r="M45" s="49" t="str">
        <f t="shared" ref="M45:M77" si="4">IF(L45="","",TEXT(DATEVALUE(SUBSTITUTE(SUBSTITUTE(SUBSTITUTE(SUBSTITUTE(SUBSTITUTE(L45,"st",""),"nd",""),"rd",""),"th",""),"TH","")),"dd/mm/yyyy"))</f>
        <v>25/12/1998</v>
      </c>
      <c r="N45" s="50">
        <f t="shared" ca="1" si="3"/>
        <v>27</v>
      </c>
      <c r="O45" s="62" t="s">
        <v>988</v>
      </c>
      <c r="P45" s="62" t="s">
        <v>1282</v>
      </c>
      <c r="Q45" s="62" t="s">
        <v>1197</v>
      </c>
      <c r="R45" s="62" t="s">
        <v>1539</v>
      </c>
      <c r="V45" s="61" t="str">
        <f t="shared" si="2"/>
        <v>Leah Muthoni Muchori</v>
      </c>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1"/>
      <c r="DV45" s="61"/>
      <c r="DW45" s="61"/>
      <c r="DX45" s="61"/>
      <c r="DY45" s="61"/>
      <c r="DZ45" s="61"/>
      <c r="EA45" s="61"/>
      <c r="EB45" s="61"/>
      <c r="EC45" s="61"/>
      <c r="ED45" s="61"/>
      <c r="EE45" s="61"/>
      <c r="EF45" s="61"/>
      <c r="EG45" s="61"/>
      <c r="EH45" s="61"/>
      <c r="EI45" s="61"/>
    </row>
    <row r="46" spans="1:139" s="66" customFormat="1">
      <c r="A46" s="64" t="s">
        <v>93</v>
      </c>
      <c r="B46" s="93" t="s">
        <v>2348</v>
      </c>
      <c r="C46" s="93" t="s">
        <v>1626</v>
      </c>
      <c r="D46" s="81" t="s">
        <v>240</v>
      </c>
      <c r="E46" s="81" t="s">
        <v>2078</v>
      </c>
      <c r="F46" s="277" t="s">
        <v>2602</v>
      </c>
      <c r="G46" s="93" t="s">
        <v>21</v>
      </c>
      <c r="H46" s="93" t="s">
        <v>166</v>
      </c>
      <c r="I46" s="93" t="s">
        <v>1609</v>
      </c>
      <c r="J46" s="93" t="s">
        <v>914</v>
      </c>
      <c r="K46" s="62" t="s">
        <v>1005</v>
      </c>
      <c r="L46" s="62" t="s">
        <v>1298</v>
      </c>
      <c r="M46" s="49" t="str">
        <f t="shared" si="4"/>
        <v>19/06/1993</v>
      </c>
      <c r="N46" s="50">
        <f t="shared" ca="1" si="3"/>
        <v>33</v>
      </c>
      <c r="O46" s="62" t="s">
        <v>988</v>
      </c>
      <c r="P46" s="62" t="s">
        <v>1038</v>
      </c>
      <c r="Q46" s="62" t="s">
        <v>1197</v>
      </c>
      <c r="R46" s="62" t="s">
        <v>1539</v>
      </c>
      <c r="S46" s="62"/>
      <c r="T46" s="62"/>
      <c r="U46" s="62"/>
      <c r="V46" s="153"/>
      <c r="W46" s="61"/>
      <c r="X46" s="246">
        <v>45859</v>
      </c>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c r="BS46" s="68"/>
      <c r="BT46" s="68"/>
      <c r="BU46" s="68"/>
      <c r="BV46" s="68"/>
      <c r="BW46" s="68"/>
      <c r="BX46" s="68"/>
      <c r="BY46" s="68"/>
      <c r="BZ46" s="68"/>
      <c r="CA46" s="68"/>
      <c r="CB46" s="68"/>
      <c r="CC46" s="68"/>
      <c r="CD46" s="68"/>
      <c r="CE46" s="68"/>
      <c r="CF46" s="68"/>
      <c r="CG46" s="68"/>
      <c r="CH46" s="68"/>
      <c r="CI46" s="68"/>
      <c r="CJ46" s="68"/>
      <c r="CK46" s="68"/>
      <c r="CL46" s="68"/>
      <c r="CM46" s="68"/>
      <c r="CN46" s="68"/>
      <c r="CP46" s="68"/>
      <c r="CQ46" s="68"/>
      <c r="CR46" s="68"/>
      <c r="CS46" s="68"/>
      <c r="CT46" s="68"/>
      <c r="CU46" s="68"/>
      <c r="CV46" s="68"/>
      <c r="CW46" s="68"/>
      <c r="CX46" s="68"/>
      <c r="CY46" s="68"/>
      <c r="CZ46" s="68"/>
      <c r="DA46" s="68"/>
      <c r="DB46" s="68"/>
      <c r="DC46" s="68"/>
      <c r="DD46" s="68"/>
      <c r="DE46" s="68"/>
      <c r="DF46" s="68"/>
      <c r="DG46" s="68"/>
      <c r="DH46" s="68"/>
      <c r="DI46" s="68"/>
      <c r="DJ46" s="68"/>
      <c r="DK46" s="68"/>
      <c r="DL46" s="68"/>
      <c r="DM46" s="68"/>
      <c r="DN46" s="68"/>
      <c r="DO46" s="68"/>
      <c r="DP46" s="68"/>
      <c r="DQ46" s="68"/>
      <c r="DR46" s="68"/>
      <c r="DS46" s="68"/>
      <c r="DT46" s="68"/>
      <c r="DU46" s="68"/>
      <c r="DV46" s="68"/>
      <c r="DW46" s="68"/>
      <c r="DX46" s="68"/>
      <c r="DY46" s="68"/>
      <c r="DZ46" s="68"/>
      <c r="EA46" s="68"/>
      <c r="EB46" s="68"/>
      <c r="EC46" s="68"/>
      <c r="ED46" s="68"/>
      <c r="EE46" s="68"/>
      <c r="EF46" s="68"/>
      <c r="EG46" s="68"/>
      <c r="EH46" s="68"/>
      <c r="EI46" s="68"/>
    </row>
    <row r="47" spans="1:139" s="62" customFormat="1">
      <c r="A47" s="64" t="s">
        <v>225</v>
      </c>
      <c r="B47" s="93" t="s">
        <v>2390</v>
      </c>
      <c r="C47" s="93" t="s">
        <v>1626</v>
      </c>
      <c r="D47" s="81" t="s">
        <v>386</v>
      </c>
      <c r="E47" s="81" t="s">
        <v>2049</v>
      </c>
      <c r="F47" s="277" t="s">
        <v>2603</v>
      </c>
      <c r="G47" s="93" t="s">
        <v>83</v>
      </c>
      <c r="H47" s="93" t="s">
        <v>166</v>
      </c>
      <c r="I47" s="93" t="s">
        <v>1600</v>
      </c>
      <c r="J47" s="93" t="s">
        <v>290</v>
      </c>
      <c r="K47" s="62" t="s">
        <v>1005</v>
      </c>
      <c r="L47" s="62" t="s">
        <v>1299</v>
      </c>
      <c r="M47" s="49" t="str">
        <f t="shared" si="4"/>
        <v>15/05/1992</v>
      </c>
      <c r="N47" s="50">
        <f t="shared" ca="1" si="3"/>
        <v>34</v>
      </c>
      <c r="O47" s="62" t="s">
        <v>988</v>
      </c>
      <c r="P47" s="62" t="s">
        <v>983</v>
      </c>
      <c r="Q47" s="62" t="s">
        <v>1098</v>
      </c>
      <c r="S47" s="159" t="s">
        <v>2112</v>
      </c>
      <c r="T47" s="83">
        <v>8959</v>
      </c>
      <c r="U47" s="84">
        <v>46244</v>
      </c>
      <c r="V47" s="61" t="str">
        <f t="shared" si="2"/>
        <v>Lenity Mukami Kirimi</v>
      </c>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c r="BZ47" s="61"/>
      <c r="CA47" s="61"/>
      <c r="CB47" s="61"/>
      <c r="CC47" s="61"/>
      <c r="CD47" s="61"/>
      <c r="CE47" s="61"/>
      <c r="CF47" s="61"/>
      <c r="CG47" s="61"/>
      <c r="CH47" s="61"/>
      <c r="CI47" s="61"/>
      <c r="CJ47" s="61"/>
      <c r="CK47" s="61"/>
      <c r="CL47" s="61"/>
      <c r="CM47" s="61"/>
      <c r="CN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1"/>
      <c r="DP47" s="61"/>
      <c r="DQ47" s="61"/>
      <c r="DR47" s="61"/>
      <c r="DS47" s="61"/>
      <c r="DT47" s="61"/>
      <c r="DU47" s="61"/>
      <c r="DV47" s="61"/>
      <c r="DW47" s="61"/>
      <c r="DX47" s="61"/>
      <c r="DY47" s="61"/>
      <c r="DZ47" s="61"/>
      <c r="EA47" s="61"/>
      <c r="EB47" s="61"/>
      <c r="EC47" s="61"/>
      <c r="ED47" s="61"/>
      <c r="EE47" s="61"/>
      <c r="EF47" s="61"/>
      <c r="EG47" s="61"/>
      <c r="EH47" s="61"/>
      <c r="EI47" s="61"/>
    </row>
    <row r="48" spans="1:139" s="66" customFormat="1">
      <c r="A48" s="64" t="s">
        <v>342</v>
      </c>
      <c r="B48" s="93" t="s">
        <v>2423</v>
      </c>
      <c r="C48" s="93" t="s">
        <v>1626</v>
      </c>
      <c r="D48" s="81" t="s">
        <v>499</v>
      </c>
      <c r="E48" s="81">
        <v>32511351</v>
      </c>
      <c r="F48" s="277" t="s">
        <v>2604</v>
      </c>
      <c r="G48" s="93" t="s">
        <v>2102</v>
      </c>
      <c r="H48" s="93" t="s">
        <v>166</v>
      </c>
      <c r="I48" s="93" t="s">
        <v>1607</v>
      </c>
      <c r="J48" s="93" t="s">
        <v>1575</v>
      </c>
      <c r="K48" s="62" t="s">
        <v>1301</v>
      </c>
      <c r="L48" s="62" t="s">
        <v>1302</v>
      </c>
      <c r="M48" s="49" t="str">
        <f t="shared" si="4"/>
        <v>23/09/1995</v>
      </c>
      <c r="N48" s="50">
        <f t="shared" ca="1" si="3"/>
        <v>30</v>
      </c>
      <c r="O48" s="62" t="s">
        <v>998</v>
      </c>
      <c r="P48" s="62" t="s">
        <v>1300</v>
      </c>
      <c r="Q48" s="62" t="s">
        <v>1236</v>
      </c>
      <c r="R48" s="62"/>
      <c r="S48" s="62"/>
      <c r="T48" s="62"/>
      <c r="U48" s="62"/>
      <c r="V48" s="61" t="str">
        <f t="shared" si="2"/>
        <v>Lois Mulekyo Kyalo</v>
      </c>
      <c r="W48" s="61"/>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68"/>
      <c r="BK48" s="68"/>
      <c r="BL48" s="68"/>
      <c r="BM48" s="68"/>
      <c r="BN48" s="68"/>
      <c r="BO48" s="68"/>
      <c r="BP48" s="68"/>
      <c r="BQ48" s="68"/>
      <c r="BR48" s="68"/>
      <c r="BS48" s="68"/>
      <c r="BT48" s="68"/>
      <c r="BU48" s="68"/>
      <c r="BV48" s="68"/>
      <c r="BW48" s="68"/>
      <c r="BX48" s="68"/>
      <c r="BY48" s="68"/>
      <c r="BZ48" s="68"/>
      <c r="CA48" s="68"/>
      <c r="CB48" s="68"/>
      <c r="CC48" s="68"/>
      <c r="CD48" s="68"/>
      <c r="CE48" s="68"/>
      <c r="CF48" s="68"/>
      <c r="CG48" s="68"/>
      <c r="CH48" s="68"/>
      <c r="CI48" s="68"/>
      <c r="CJ48" s="68"/>
      <c r="CK48" s="68"/>
      <c r="CL48" s="68"/>
      <c r="CM48" s="68"/>
      <c r="CN48" s="68"/>
      <c r="CP48" s="68"/>
      <c r="CQ48" s="68"/>
      <c r="CR48" s="68"/>
      <c r="CS48" s="68"/>
      <c r="CT48" s="68"/>
      <c r="CU48" s="68"/>
      <c r="CV48" s="68"/>
      <c r="CW48" s="68"/>
      <c r="CX48" s="68"/>
      <c r="CY48" s="68"/>
      <c r="CZ48" s="68"/>
      <c r="DA48" s="68"/>
      <c r="DB48" s="68"/>
      <c r="DC48" s="68"/>
      <c r="DD48" s="68"/>
      <c r="DE48" s="68"/>
      <c r="DF48" s="68"/>
      <c r="DG48" s="68"/>
      <c r="DH48" s="68"/>
      <c r="DI48" s="68"/>
      <c r="DJ48" s="68"/>
      <c r="DK48" s="68"/>
      <c r="DL48" s="68"/>
      <c r="DM48" s="68"/>
      <c r="DN48" s="68"/>
      <c r="DO48" s="68"/>
      <c r="DP48" s="68"/>
      <c r="DQ48" s="68"/>
      <c r="DR48" s="68"/>
      <c r="DS48" s="68"/>
      <c r="DT48" s="68"/>
      <c r="DU48" s="68"/>
      <c r="DV48" s="68"/>
      <c r="DW48" s="68"/>
      <c r="DX48" s="68"/>
      <c r="DY48" s="68"/>
      <c r="DZ48" s="68"/>
      <c r="EA48" s="68"/>
      <c r="EB48" s="68"/>
      <c r="EC48" s="68"/>
      <c r="ED48" s="68"/>
      <c r="EE48" s="68"/>
      <c r="EF48" s="68"/>
      <c r="EG48" s="68"/>
      <c r="EH48" s="68"/>
      <c r="EI48" s="68"/>
    </row>
    <row r="49" spans="1:139" s="66" customFormat="1">
      <c r="A49" s="64" t="s">
        <v>229</v>
      </c>
      <c r="B49" s="93" t="s">
        <v>2393</v>
      </c>
      <c r="C49" s="93" t="s">
        <v>1626</v>
      </c>
      <c r="D49" s="81" t="s">
        <v>390</v>
      </c>
      <c r="E49" s="81" t="s">
        <v>2050</v>
      </c>
      <c r="F49" s="277" t="s">
        <v>2605</v>
      </c>
      <c r="G49" s="93" t="s">
        <v>83</v>
      </c>
      <c r="H49" s="93" t="s">
        <v>166</v>
      </c>
      <c r="I49" s="93" t="s">
        <v>1602</v>
      </c>
      <c r="J49" s="93" t="s">
        <v>920</v>
      </c>
      <c r="K49" s="62" t="s">
        <v>1005</v>
      </c>
      <c r="L49" s="62" t="s">
        <v>1305</v>
      </c>
      <c r="M49" s="49" t="str">
        <f t="shared" si="4"/>
        <v>17/07/1984</v>
      </c>
      <c r="N49" s="50">
        <f t="shared" ca="1" si="3"/>
        <v>42</v>
      </c>
      <c r="O49" s="62" t="s">
        <v>998</v>
      </c>
      <c r="P49" s="62" t="s">
        <v>2327</v>
      </c>
      <c r="Q49" s="62" t="s">
        <v>1068</v>
      </c>
      <c r="R49" s="62" t="s">
        <v>2120</v>
      </c>
      <c r="S49" s="159" t="s">
        <v>2119</v>
      </c>
      <c r="T49" s="83">
        <v>1398</v>
      </c>
      <c r="U49" s="84">
        <v>46022</v>
      </c>
      <c r="V49" s="61" t="str">
        <f t="shared" si="2"/>
        <v>Lynette Gakii Mutua</v>
      </c>
      <c r="W49" s="61"/>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8"/>
      <c r="BH49" s="68"/>
      <c r="BI49" s="68"/>
      <c r="BJ49" s="68"/>
      <c r="BK49" s="68"/>
      <c r="BL49" s="68"/>
      <c r="BM49" s="68"/>
      <c r="BN49" s="68"/>
      <c r="BO49" s="68"/>
      <c r="BP49" s="68"/>
      <c r="BQ49" s="68"/>
      <c r="BR49" s="68"/>
      <c r="BS49" s="68"/>
      <c r="BT49" s="68"/>
      <c r="BU49" s="68"/>
      <c r="BV49" s="68"/>
      <c r="BW49" s="68"/>
      <c r="BX49" s="68"/>
      <c r="BY49" s="68"/>
      <c r="BZ49" s="68"/>
      <c r="CA49" s="68"/>
      <c r="CB49" s="68"/>
      <c r="CC49" s="68"/>
      <c r="CD49" s="68"/>
      <c r="CE49" s="68"/>
      <c r="CF49" s="68"/>
      <c r="CG49" s="68"/>
      <c r="CH49" s="68"/>
      <c r="CI49" s="68"/>
      <c r="CJ49" s="68"/>
      <c r="CK49" s="68"/>
      <c r="CL49" s="68"/>
      <c r="CM49" s="68"/>
      <c r="CN49" s="68"/>
      <c r="CP49" s="68"/>
      <c r="CQ49" s="68"/>
      <c r="CR49" s="68"/>
      <c r="CS49" s="68"/>
      <c r="CT49" s="68"/>
      <c r="CU49" s="68"/>
      <c r="CV49" s="68"/>
      <c r="CW49" s="68"/>
      <c r="CX49" s="68"/>
      <c r="CY49" s="68"/>
      <c r="CZ49" s="68"/>
      <c r="DA49" s="68"/>
      <c r="DB49" s="68"/>
      <c r="DC49" s="68"/>
      <c r="DD49" s="68"/>
      <c r="DE49" s="68"/>
      <c r="DF49" s="68"/>
      <c r="DG49" s="68"/>
      <c r="DH49" s="68"/>
      <c r="DI49" s="68"/>
      <c r="DJ49" s="68"/>
      <c r="DK49" s="68"/>
      <c r="DL49" s="68"/>
      <c r="DM49" s="68"/>
      <c r="DN49" s="68"/>
      <c r="DO49" s="68"/>
      <c r="DP49" s="68"/>
      <c r="DQ49" s="68"/>
      <c r="DR49" s="68"/>
      <c r="DS49" s="68"/>
      <c r="DT49" s="68"/>
      <c r="DU49" s="68"/>
      <c r="DV49" s="68"/>
      <c r="DW49" s="68"/>
      <c r="DX49" s="68"/>
      <c r="DY49" s="68"/>
      <c r="DZ49" s="68"/>
      <c r="EA49" s="68"/>
      <c r="EB49" s="68"/>
      <c r="EC49" s="68"/>
      <c r="ED49" s="68"/>
      <c r="EE49" s="68"/>
      <c r="EF49" s="68"/>
      <c r="EG49" s="68"/>
      <c r="EH49" s="68"/>
      <c r="EI49" s="68"/>
    </row>
    <row r="50" spans="1:139" s="62" customFormat="1">
      <c r="A50" s="64" t="s">
        <v>252</v>
      </c>
      <c r="B50" s="93" t="s">
        <v>2398</v>
      </c>
      <c r="C50" s="93" t="s">
        <v>1626</v>
      </c>
      <c r="D50" s="117" t="s">
        <v>412</v>
      </c>
      <c r="E50" s="117" t="s">
        <v>2333</v>
      </c>
      <c r="F50" s="279" t="s">
        <v>2606</v>
      </c>
      <c r="G50" s="93" t="s">
        <v>83</v>
      </c>
      <c r="H50" s="93" t="s">
        <v>166</v>
      </c>
      <c r="I50" s="93" t="s">
        <v>1604</v>
      </c>
      <c r="J50" s="93" t="s">
        <v>411</v>
      </c>
      <c r="K50" s="62" t="s">
        <v>1005</v>
      </c>
      <c r="L50" s="62" t="s">
        <v>1306</v>
      </c>
      <c r="M50" s="49" t="str">
        <f t="shared" si="4"/>
        <v>27/11/1995</v>
      </c>
      <c r="N50" s="50">
        <f t="shared" ca="1" si="3"/>
        <v>30</v>
      </c>
      <c r="O50" s="62" t="s">
        <v>1010</v>
      </c>
      <c r="P50" s="62" t="s">
        <v>1247</v>
      </c>
      <c r="Q50" s="62" t="s">
        <v>1057</v>
      </c>
      <c r="S50" s="81" t="s">
        <v>2111</v>
      </c>
      <c r="T50" s="81" t="s">
        <v>2477</v>
      </c>
      <c r="U50" s="84">
        <v>46350</v>
      </c>
      <c r="V50" s="61" t="str">
        <f t="shared" si="2"/>
        <v>Magdaline Mueke Mutua</v>
      </c>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1"/>
      <c r="BZ50" s="61"/>
      <c r="CA50" s="61"/>
      <c r="CB50" s="61"/>
      <c r="CC50" s="61"/>
      <c r="CD50" s="61"/>
      <c r="CE50" s="61"/>
      <c r="CF50" s="61"/>
      <c r="CG50" s="61"/>
      <c r="CH50" s="61"/>
      <c r="CI50" s="61"/>
      <c r="CJ50" s="61"/>
      <c r="CK50" s="61"/>
      <c r="CL50" s="61"/>
      <c r="CM50" s="61"/>
      <c r="CN50" s="61"/>
      <c r="CP50" s="61"/>
      <c r="CQ50" s="61"/>
      <c r="CR50" s="61"/>
      <c r="CS50" s="61"/>
      <c r="CT50" s="61"/>
      <c r="CU50" s="61"/>
      <c r="CV50" s="61"/>
      <c r="CW50" s="61"/>
      <c r="CX50" s="61"/>
      <c r="CY50" s="61"/>
      <c r="CZ50" s="61"/>
      <c r="DA50" s="61"/>
      <c r="DB50" s="61"/>
      <c r="DC50" s="61"/>
      <c r="DD50" s="61"/>
      <c r="DE50" s="61"/>
      <c r="DF50" s="61"/>
      <c r="DG50" s="61"/>
      <c r="DH50" s="61"/>
      <c r="DI50" s="61"/>
      <c r="DJ50" s="61"/>
      <c r="DK50" s="61"/>
      <c r="DL50" s="61"/>
      <c r="DM50" s="61"/>
      <c r="DN50" s="61"/>
      <c r="DO50" s="61"/>
      <c r="DP50" s="61"/>
      <c r="DQ50" s="61"/>
      <c r="DR50" s="61"/>
      <c r="DS50" s="61"/>
      <c r="DT50" s="61"/>
      <c r="DU50" s="61"/>
      <c r="DV50" s="61"/>
      <c r="DW50" s="61"/>
      <c r="DX50" s="61"/>
      <c r="DY50" s="61"/>
      <c r="DZ50" s="61"/>
      <c r="EA50" s="61"/>
      <c r="EB50" s="61"/>
      <c r="EC50" s="61"/>
      <c r="ED50" s="61"/>
      <c r="EE50" s="61"/>
      <c r="EF50" s="61"/>
      <c r="EG50" s="61"/>
      <c r="EH50" s="61"/>
      <c r="EI50" s="61"/>
    </row>
    <row r="51" spans="1:139" s="66" customFormat="1">
      <c r="A51" s="64"/>
      <c r="B51" s="93" t="s">
        <v>2434</v>
      </c>
      <c r="C51" s="93" t="s">
        <v>1626</v>
      </c>
      <c r="D51" s="179" t="s">
        <v>2334</v>
      </c>
      <c r="E51" s="156">
        <v>33897067</v>
      </c>
      <c r="F51" s="280"/>
      <c r="G51" s="64" t="s">
        <v>124</v>
      </c>
      <c r="H51" s="64" t="s">
        <v>166</v>
      </c>
      <c r="I51" s="64" t="s">
        <v>1602</v>
      </c>
      <c r="J51" s="65" t="s">
        <v>2472</v>
      </c>
      <c r="K51" s="62" t="s">
        <v>1519</v>
      </c>
      <c r="L51" s="62" t="s">
        <v>1573</v>
      </c>
      <c r="M51" s="49" t="str">
        <f t="shared" si="4"/>
        <v>22/09/1997</v>
      </c>
      <c r="N51" s="50">
        <f t="shared" ca="1" si="3"/>
        <v>28</v>
      </c>
      <c r="O51" s="62" t="s">
        <v>988</v>
      </c>
      <c r="P51" s="62" t="s">
        <v>1516</v>
      </c>
      <c r="Q51" s="62" t="s">
        <v>1170</v>
      </c>
      <c r="R51" s="62"/>
      <c r="S51" s="81" t="s">
        <v>2328</v>
      </c>
      <c r="T51" s="83" t="s">
        <v>2035</v>
      </c>
      <c r="U51" s="84">
        <v>45991</v>
      </c>
      <c r="V51" s="61" t="str">
        <f t="shared" si="2"/>
        <v>Mary Kabeti</v>
      </c>
      <c r="W51" s="61"/>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c r="BJ51" s="68"/>
      <c r="BK51" s="68"/>
      <c r="BL51" s="68"/>
      <c r="BM51" s="68"/>
      <c r="BN51" s="68"/>
      <c r="BO51" s="68"/>
      <c r="BP51" s="68"/>
      <c r="BQ51" s="68"/>
      <c r="BR51" s="68"/>
      <c r="BS51" s="68"/>
      <c r="BT51" s="68"/>
      <c r="BU51" s="68"/>
      <c r="BV51" s="68"/>
      <c r="BW51" s="68"/>
      <c r="BX51" s="68"/>
      <c r="BY51" s="68"/>
      <c r="BZ51" s="68"/>
      <c r="CA51" s="68"/>
      <c r="CB51" s="68"/>
      <c r="CC51" s="68"/>
      <c r="CD51" s="68"/>
      <c r="CE51" s="68"/>
      <c r="CF51" s="68"/>
      <c r="CG51" s="68"/>
      <c r="CH51" s="68"/>
      <c r="CI51" s="68"/>
      <c r="CJ51" s="68"/>
      <c r="CK51" s="68"/>
      <c r="CL51" s="68"/>
      <c r="CM51" s="68"/>
      <c r="CN51" s="68"/>
      <c r="CP51" s="68"/>
      <c r="CQ51" s="68"/>
      <c r="CR51" s="68"/>
      <c r="CS51" s="68"/>
      <c r="CT51" s="68"/>
      <c r="CU51" s="68"/>
      <c r="CV51" s="68"/>
      <c r="CW51" s="68"/>
      <c r="CX51" s="68"/>
      <c r="CY51" s="68"/>
      <c r="CZ51" s="68"/>
      <c r="DA51" s="68"/>
      <c r="DB51" s="68"/>
      <c r="DC51" s="68"/>
      <c r="DD51" s="68"/>
      <c r="DE51" s="68"/>
      <c r="DF51" s="68"/>
      <c r="DG51" s="68"/>
      <c r="DH51" s="68"/>
      <c r="DI51" s="68"/>
      <c r="DJ51" s="68"/>
      <c r="DK51" s="68"/>
      <c r="DL51" s="68"/>
      <c r="DM51" s="68"/>
      <c r="DN51" s="68"/>
      <c r="DO51" s="68"/>
      <c r="DP51" s="68"/>
      <c r="DQ51" s="68"/>
      <c r="DR51" s="68"/>
      <c r="DS51" s="68"/>
      <c r="DT51" s="68"/>
      <c r="DU51" s="68"/>
      <c r="DV51" s="68"/>
      <c r="DW51" s="68"/>
      <c r="DX51" s="68"/>
      <c r="DY51" s="68"/>
      <c r="DZ51" s="68"/>
      <c r="EA51" s="68"/>
      <c r="EB51" s="68"/>
      <c r="EC51" s="68"/>
      <c r="ED51" s="68"/>
      <c r="EE51" s="68"/>
      <c r="EF51" s="68"/>
      <c r="EG51" s="68"/>
      <c r="EH51" s="68"/>
      <c r="EI51" s="68"/>
    </row>
    <row r="52" spans="1:139" s="62" customFormat="1">
      <c r="A52" s="64" t="s">
        <v>292</v>
      </c>
      <c r="B52" s="93" t="s">
        <v>2412</v>
      </c>
      <c r="C52" s="93" t="s">
        <v>1626</v>
      </c>
      <c r="D52" s="81" t="s">
        <v>449</v>
      </c>
      <c r="E52" s="81" t="s">
        <v>2098</v>
      </c>
      <c r="F52" s="277" t="s">
        <v>2608</v>
      </c>
      <c r="G52" s="93" t="s">
        <v>21</v>
      </c>
      <c r="H52" s="93" t="s">
        <v>166</v>
      </c>
      <c r="I52" s="93" t="s">
        <v>1600</v>
      </c>
      <c r="J52" s="93" t="s">
        <v>290</v>
      </c>
      <c r="K52" s="62" t="s">
        <v>1005</v>
      </c>
      <c r="L52" s="62" t="s">
        <v>2609</v>
      </c>
      <c r="M52" s="49" t="str">
        <f t="shared" si="4"/>
        <v>25/05/1978</v>
      </c>
      <c r="N52" s="50">
        <f t="shared" ca="1" si="3"/>
        <v>48</v>
      </c>
      <c r="O52" s="62" t="s">
        <v>988</v>
      </c>
      <c r="P52" s="62" t="s">
        <v>1310</v>
      </c>
      <c r="Q52" s="62" t="s">
        <v>1168</v>
      </c>
      <c r="R52" s="62" t="s">
        <v>1539</v>
      </c>
      <c r="V52" s="61" t="str">
        <f t="shared" si="2"/>
        <v>Mercy  Nkatha Murungi</v>
      </c>
      <c r="W52" s="61"/>
      <c r="X52" s="61"/>
      <c r="Y52" s="61"/>
      <c r="Z52" s="61"/>
      <c r="AA52" s="61"/>
      <c r="AB52" s="61"/>
      <c r="AC52" s="61"/>
      <c r="AD52" s="61"/>
      <c r="AE52" s="61"/>
      <c r="AF52" s="61"/>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1"/>
      <c r="BZ52" s="61"/>
      <c r="CA52" s="61"/>
      <c r="CB52" s="61"/>
      <c r="CC52" s="61"/>
      <c r="CD52" s="61"/>
      <c r="CE52" s="61"/>
      <c r="CF52" s="61"/>
      <c r="CG52" s="61"/>
      <c r="CH52" s="61"/>
      <c r="CI52" s="61"/>
      <c r="CJ52" s="61"/>
      <c r="CK52" s="61"/>
      <c r="CL52" s="61"/>
      <c r="CM52" s="61"/>
      <c r="CN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1"/>
      <c r="DV52" s="61"/>
      <c r="DW52" s="61"/>
      <c r="DX52" s="61"/>
      <c r="DY52" s="61"/>
      <c r="DZ52" s="61"/>
      <c r="EA52" s="61"/>
      <c r="EB52" s="61"/>
      <c r="EC52" s="61"/>
      <c r="ED52" s="61"/>
      <c r="EE52" s="61"/>
      <c r="EF52" s="61"/>
      <c r="EG52" s="61"/>
      <c r="EH52" s="61"/>
      <c r="EI52" s="61"/>
    </row>
    <row r="53" spans="1:139" s="66" customFormat="1">
      <c r="A53" s="64" t="s">
        <v>352</v>
      </c>
      <c r="B53" s="93" t="s">
        <v>2427</v>
      </c>
      <c r="C53" s="93" t="s">
        <v>1626</v>
      </c>
      <c r="D53" s="81" t="s">
        <v>513</v>
      </c>
      <c r="E53" s="81">
        <v>36877300</v>
      </c>
      <c r="F53" s="277" t="s">
        <v>2612</v>
      </c>
      <c r="G53" s="93" t="s">
        <v>21</v>
      </c>
      <c r="H53" s="93" t="s">
        <v>166</v>
      </c>
      <c r="I53" s="93" t="s">
        <v>1611</v>
      </c>
      <c r="J53" s="93" t="s">
        <v>317</v>
      </c>
      <c r="K53" s="62" t="s">
        <v>1315</v>
      </c>
      <c r="L53" s="62" t="s">
        <v>1314</v>
      </c>
      <c r="M53" s="49" t="str">
        <f t="shared" si="4"/>
        <v>23/08/1998</v>
      </c>
      <c r="N53" s="50">
        <f t="shared" ca="1" si="3"/>
        <v>27</v>
      </c>
      <c r="O53" s="62" t="s">
        <v>1010</v>
      </c>
      <c r="P53" s="62" t="s">
        <v>2122</v>
      </c>
      <c r="Q53" s="62" t="s">
        <v>1316</v>
      </c>
      <c r="R53" s="62" t="s">
        <v>1497</v>
      </c>
      <c r="S53" s="62"/>
      <c r="T53" s="62"/>
      <c r="U53" s="62"/>
      <c r="V53" s="61" t="str">
        <f t="shared" si="2"/>
        <v xml:space="preserve">Moreen Kendi </v>
      </c>
      <c r="W53" s="61"/>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N53" s="68"/>
      <c r="BO53" s="68"/>
      <c r="BP53" s="68"/>
      <c r="BQ53" s="68"/>
      <c r="BR53" s="68"/>
      <c r="BS53" s="68"/>
      <c r="BT53" s="68"/>
      <c r="BU53" s="68"/>
      <c r="BV53" s="68"/>
      <c r="BW53" s="68"/>
      <c r="BX53" s="68"/>
      <c r="BY53" s="68"/>
      <c r="BZ53" s="68"/>
      <c r="CA53" s="68"/>
      <c r="CB53" s="68"/>
      <c r="CC53" s="68"/>
      <c r="CD53" s="68"/>
      <c r="CE53" s="68"/>
      <c r="CF53" s="68"/>
      <c r="CG53" s="68"/>
      <c r="CH53" s="68"/>
      <c r="CI53" s="68"/>
      <c r="CJ53" s="68"/>
      <c r="CK53" s="68"/>
      <c r="CL53" s="68"/>
      <c r="CM53" s="68"/>
      <c r="CN53" s="68"/>
      <c r="CP53" s="68"/>
      <c r="CQ53" s="68"/>
      <c r="CR53" s="68"/>
      <c r="CS53" s="68"/>
      <c r="CT53" s="68"/>
      <c r="CU53" s="68"/>
      <c r="CV53" s="68"/>
      <c r="CW53" s="68"/>
      <c r="CX53" s="68"/>
      <c r="CY53" s="68"/>
      <c r="CZ53" s="68"/>
      <c r="DA53" s="68"/>
      <c r="DB53" s="68"/>
      <c r="DC53" s="68"/>
      <c r="DD53" s="68"/>
      <c r="DE53" s="68"/>
      <c r="DF53" s="68"/>
      <c r="DG53" s="68"/>
      <c r="DH53" s="68"/>
      <c r="DI53" s="68"/>
      <c r="DJ53" s="68"/>
      <c r="DK53" s="68"/>
      <c r="DL53" s="68"/>
      <c r="DM53" s="68"/>
      <c r="DN53" s="68"/>
      <c r="DO53" s="68"/>
      <c r="DP53" s="68"/>
      <c r="DQ53" s="68"/>
      <c r="DR53" s="68"/>
      <c r="DS53" s="68"/>
      <c r="DT53" s="68"/>
      <c r="DU53" s="68"/>
      <c r="DV53" s="68"/>
      <c r="DW53" s="68"/>
      <c r="DX53" s="68"/>
      <c r="DY53" s="68"/>
      <c r="DZ53" s="68"/>
      <c r="EA53" s="68"/>
      <c r="EB53" s="68"/>
      <c r="EC53" s="68"/>
      <c r="ED53" s="68"/>
      <c r="EE53" s="68"/>
      <c r="EF53" s="68"/>
      <c r="EG53" s="68"/>
      <c r="EH53" s="68"/>
      <c r="EI53" s="68"/>
    </row>
    <row r="54" spans="1:139" s="62" customFormat="1" hidden="1">
      <c r="A54" s="64" t="s">
        <v>188</v>
      </c>
      <c r="B54" s="93" t="s">
        <v>2370</v>
      </c>
      <c r="C54" s="93" t="s">
        <v>1627</v>
      </c>
      <c r="D54" s="81" t="s">
        <v>345</v>
      </c>
      <c r="E54" s="81" t="s">
        <v>2013</v>
      </c>
      <c r="F54" s="157" t="s">
        <v>2613</v>
      </c>
      <c r="G54" s="93" t="s">
        <v>124</v>
      </c>
      <c r="H54" s="93" t="s">
        <v>166</v>
      </c>
      <c r="I54" s="93" t="s">
        <v>1609</v>
      </c>
      <c r="J54" s="93" t="s">
        <v>186</v>
      </c>
      <c r="K54" s="62" t="s">
        <v>1005</v>
      </c>
      <c r="L54" s="62" t="s">
        <v>1317</v>
      </c>
      <c r="M54" s="49" t="str">
        <f t="shared" si="4"/>
        <v>08/12/1992</v>
      </c>
      <c r="N54" s="50">
        <f t="shared" ca="1" si="3"/>
        <v>33</v>
      </c>
      <c r="O54" s="62" t="s">
        <v>988</v>
      </c>
      <c r="P54" s="62" t="s">
        <v>996</v>
      </c>
      <c r="Q54" s="62" t="s">
        <v>1013</v>
      </c>
      <c r="S54" s="81" t="s">
        <v>2328</v>
      </c>
      <c r="T54" s="83" t="s">
        <v>2614</v>
      </c>
      <c r="U54" s="84">
        <v>46203</v>
      </c>
      <c r="V54" s="61" t="str">
        <f t="shared" si="2"/>
        <v xml:space="preserve">Morris Mutuma </v>
      </c>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1"/>
      <c r="DV54" s="61"/>
      <c r="DW54" s="61"/>
      <c r="DX54" s="61"/>
      <c r="DY54" s="61"/>
      <c r="DZ54" s="61"/>
      <c r="EA54" s="61"/>
      <c r="EB54" s="61"/>
      <c r="EC54" s="61"/>
      <c r="ED54" s="61"/>
      <c r="EE54" s="61"/>
      <c r="EF54" s="61"/>
      <c r="EG54" s="61"/>
      <c r="EH54" s="61"/>
      <c r="EI54" s="61"/>
    </row>
    <row r="55" spans="1:139" s="66" customFormat="1" hidden="1">
      <c r="A55" s="64" t="s">
        <v>97</v>
      </c>
      <c r="B55" s="93" t="s">
        <v>2615</v>
      </c>
      <c r="C55" s="93" t="s">
        <v>1627</v>
      </c>
      <c r="D55" s="81" t="s">
        <v>243</v>
      </c>
      <c r="E55" s="81" t="s">
        <v>2079</v>
      </c>
      <c r="F55" s="157" t="s">
        <v>2616</v>
      </c>
      <c r="G55" s="93" t="s">
        <v>21</v>
      </c>
      <c r="H55" s="93" t="s">
        <v>166</v>
      </c>
      <c r="I55" s="93" t="s">
        <v>1604</v>
      </c>
      <c r="J55" s="93" t="s">
        <v>925</v>
      </c>
      <c r="K55" s="62" t="s">
        <v>1005</v>
      </c>
      <c r="L55" s="62" t="s">
        <v>1318</v>
      </c>
      <c r="M55" s="49" t="str">
        <f t="shared" si="4"/>
        <v>20/05/1986</v>
      </c>
      <c r="N55" s="50">
        <f t="shared" ca="1" si="3"/>
        <v>40</v>
      </c>
      <c r="O55" s="62" t="s">
        <v>988</v>
      </c>
      <c r="P55" s="62" t="s">
        <v>1319</v>
      </c>
      <c r="Q55" s="62" t="s">
        <v>1278</v>
      </c>
      <c r="R55" s="62" t="s">
        <v>1539</v>
      </c>
      <c r="S55" s="62"/>
      <c r="T55" s="62"/>
      <c r="U55" s="62"/>
      <c r="V55" s="61" t="str">
        <f t="shared" si="2"/>
        <v>Nelson Kamande Ng'Ang'A</v>
      </c>
      <c r="W55" s="61"/>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68"/>
      <c r="BK55" s="68"/>
      <c r="BL55" s="68"/>
      <c r="BM55" s="68"/>
      <c r="BN55" s="68"/>
      <c r="BO55" s="68"/>
      <c r="BP55" s="68"/>
      <c r="BQ55" s="68"/>
      <c r="BR55" s="68"/>
      <c r="BS55" s="68"/>
      <c r="BT55" s="68"/>
      <c r="BU55" s="68"/>
      <c r="BV55" s="68"/>
      <c r="BW55" s="68"/>
      <c r="BX55" s="68"/>
      <c r="BY55" s="68"/>
      <c r="BZ55" s="68"/>
      <c r="CA55" s="68"/>
      <c r="CB55" s="68"/>
      <c r="CC55" s="68"/>
      <c r="CD55" s="68"/>
      <c r="CE55" s="68"/>
      <c r="CF55" s="68"/>
      <c r="CG55" s="68"/>
      <c r="CH55" s="68"/>
      <c r="CI55" s="68"/>
      <c r="CJ55" s="68"/>
      <c r="CK55" s="68"/>
      <c r="CL55" s="68"/>
      <c r="CM55" s="68"/>
      <c r="CN55" s="68"/>
      <c r="CP55" s="68"/>
      <c r="CQ55" s="68"/>
      <c r="CR55" s="68"/>
      <c r="CS55" s="68"/>
      <c r="CT55" s="68"/>
      <c r="CU55" s="68"/>
      <c r="CV55" s="68"/>
      <c r="CW55" s="68"/>
      <c r="CX55" s="68"/>
      <c r="CY55" s="68"/>
      <c r="CZ55" s="68"/>
      <c r="DA55" s="68"/>
      <c r="DB55" s="68"/>
      <c r="DC55" s="68"/>
      <c r="DD55" s="68"/>
      <c r="DE55" s="68"/>
      <c r="DF55" s="68"/>
      <c r="DG55" s="68"/>
      <c r="DH55" s="68"/>
      <c r="DI55" s="68"/>
      <c r="DJ55" s="68"/>
      <c r="DK55" s="68"/>
      <c r="DL55" s="68"/>
      <c r="DM55" s="68"/>
      <c r="DN55" s="68"/>
      <c r="DO55" s="68"/>
      <c r="DP55" s="68"/>
      <c r="DQ55" s="68"/>
      <c r="DR55" s="68"/>
      <c r="DS55" s="68"/>
      <c r="DT55" s="68"/>
      <c r="DU55" s="68"/>
      <c r="DV55" s="68"/>
      <c r="DW55" s="68"/>
      <c r="DX55" s="68"/>
      <c r="DY55" s="68"/>
      <c r="DZ55" s="68"/>
      <c r="EA55" s="68"/>
      <c r="EB55" s="68"/>
      <c r="EC55" s="68"/>
      <c r="ED55" s="68"/>
      <c r="EE55" s="68"/>
      <c r="EF55" s="68"/>
      <c r="EG55" s="68"/>
      <c r="EH55" s="68"/>
      <c r="EI55" s="68"/>
    </row>
    <row r="56" spans="1:139" s="62" customFormat="1">
      <c r="A56" s="64" t="s">
        <v>268</v>
      </c>
      <c r="B56" s="93" t="s">
        <v>2404</v>
      </c>
      <c r="C56" s="93" t="s">
        <v>1626</v>
      </c>
      <c r="D56" s="81" t="s">
        <v>428</v>
      </c>
      <c r="E56" s="81" t="s">
        <v>2055</v>
      </c>
      <c r="F56" s="277" t="s">
        <v>2617</v>
      </c>
      <c r="G56" s="93" t="s">
        <v>141</v>
      </c>
      <c r="H56" s="93" t="s">
        <v>166</v>
      </c>
      <c r="I56" s="93" t="s">
        <v>1608</v>
      </c>
      <c r="J56" s="93" t="s">
        <v>427</v>
      </c>
      <c r="K56" s="62" t="s">
        <v>1005</v>
      </c>
      <c r="L56" s="62" t="s">
        <v>1322</v>
      </c>
      <c r="M56" s="49" t="str">
        <f t="shared" si="4"/>
        <v>25/05/1995</v>
      </c>
      <c r="N56" s="50">
        <f t="shared" ca="1" si="3"/>
        <v>31</v>
      </c>
      <c r="O56" s="62" t="s">
        <v>988</v>
      </c>
      <c r="P56" s="62" t="s">
        <v>2121</v>
      </c>
      <c r="Q56" s="62" t="s">
        <v>1057</v>
      </c>
      <c r="S56" s="81" t="s">
        <v>2109</v>
      </c>
      <c r="T56" s="83">
        <v>512993</v>
      </c>
      <c r="U56" s="84">
        <v>46265</v>
      </c>
      <c r="V56" s="61" t="str">
        <f t="shared" si="2"/>
        <v>Pamela Nkatha Nkubu</v>
      </c>
      <c r="W56" s="61"/>
      <c r="X56" s="61"/>
      <c r="Y56" s="61"/>
      <c r="Z56" s="61"/>
      <c r="AA56" s="61"/>
      <c r="AB56" s="61"/>
      <c r="AC56" s="61"/>
      <c r="AD56" s="61"/>
      <c r="AE56" s="61"/>
      <c r="AF56" s="61"/>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1"/>
      <c r="BZ56" s="61"/>
      <c r="CA56" s="61"/>
      <c r="CB56" s="61"/>
      <c r="CC56" s="61"/>
      <c r="CD56" s="61"/>
      <c r="CE56" s="61"/>
      <c r="CF56" s="61"/>
      <c r="CG56" s="61"/>
      <c r="CH56" s="61"/>
      <c r="CI56" s="61"/>
      <c r="CJ56" s="61"/>
      <c r="CK56" s="61"/>
      <c r="CL56" s="61"/>
      <c r="CM56" s="61"/>
      <c r="CN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61"/>
      <c r="DR56" s="61"/>
      <c r="DS56" s="61"/>
      <c r="DT56" s="61"/>
      <c r="DU56" s="61"/>
      <c r="DV56" s="61"/>
      <c r="DW56" s="61"/>
      <c r="DX56" s="61"/>
      <c r="DY56" s="61"/>
      <c r="DZ56" s="61"/>
      <c r="EA56" s="61"/>
      <c r="EB56" s="61"/>
      <c r="EC56" s="61"/>
      <c r="ED56" s="61"/>
      <c r="EE56" s="61"/>
      <c r="EF56" s="61"/>
      <c r="EG56" s="61"/>
      <c r="EH56" s="61"/>
      <c r="EI56" s="61"/>
    </row>
    <row r="57" spans="1:139" s="62" customFormat="1" hidden="1">
      <c r="A57" s="64" t="s">
        <v>315</v>
      </c>
      <c r="B57" s="93" t="s">
        <v>2415</v>
      </c>
      <c r="C57" s="93" t="s">
        <v>1627</v>
      </c>
      <c r="D57" s="117" t="s">
        <v>474</v>
      </c>
      <c r="E57" s="117" t="s">
        <v>2335</v>
      </c>
      <c r="F57" s="180" t="s">
        <v>2618</v>
      </c>
      <c r="G57" s="93" t="s">
        <v>124</v>
      </c>
      <c r="H57" s="93" t="s">
        <v>166</v>
      </c>
      <c r="I57" s="93" t="s">
        <v>1608</v>
      </c>
      <c r="J57" s="93" t="s">
        <v>344</v>
      </c>
      <c r="K57" s="62" t="s">
        <v>1323</v>
      </c>
      <c r="L57" s="62" t="s">
        <v>2619</v>
      </c>
      <c r="M57" s="49" t="str">
        <f t="shared" si="4"/>
        <v>27/06/1996</v>
      </c>
      <c r="N57" s="50">
        <f t="shared" ca="1" si="3"/>
        <v>30</v>
      </c>
      <c r="O57" s="62" t="s">
        <v>1188</v>
      </c>
      <c r="P57" s="62" t="s">
        <v>996</v>
      </c>
      <c r="Q57" s="62" t="s">
        <v>1057</v>
      </c>
      <c r="S57" s="83" t="s">
        <v>2328</v>
      </c>
      <c r="T57" s="83" t="s">
        <v>2030</v>
      </c>
      <c r="U57" s="84">
        <v>46326</v>
      </c>
      <c r="V57" s="61" t="str">
        <f t="shared" si="2"/>
        <v>Patrick Mutua Karuti</v>
      </c>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61"/>
      <c r="DR57" s="61"/>
      <c r="DS57" s="61"/>
      <c r="DT57" s="61"/>
      <c r="DU57" s="61"/>
      <c r="DV57" s="61"/>
      <c r="DW57" s="61"/>
      <c r="DX57" s="61"/>
      <c r="DY57" s="61"/>
      <c r="DZ57" s="61"/>
      <c r="EA57" s="61"/>
      <c r="EB57" s="61"/>
      <c r="EC57" s="61"/>
      <c r="ED57" s="61"/>
      <c r="EE57" s="61"/>
      <c r="EF57" s="61"/>
      <c r="EG57" s="61"/>
      <c r="EH57" s="61"/>
      <c r="EI57" s="61"/>
    </row>
    <row r="58" spans="1:139" s="62" customFormat="1" hidden="1">
      <c r="A58" s="64" t="s">
        <v>191</v>
      </c>
      <c r="B58" s="93" t="s">
        <v>2371</v>
      </c>
      <c r="C58" s="93" t="s">
        <v>1627</v>
      </c>
      <c r="D58" s="81" t="s">
        <v>348</v>
      </c>
      <c r="E58" s="81" t="s">
        <v>2053</v>
      </c>
      <c r="F58" s="157" t="s">
        <v>2620</v>
      </c>
      <c r="G58" s="93" t="s">
        <v>12</v>
      </c>
      <c r="H58" s="93" t="s">
        <v>166</v>
      </c>
      <c r="I58" s="93" t="s">
        <v>1604</v>
      </c>
      <c r="J58" s="93" t="s">
        <v>925</v>
      </c>
      <c r="K58" s="62" t="s">
        <v>1005</v>
      </c>
      <c r="L58" s="62" t="s">
        <v>1324</v>
      </c>
      <c r="M58" s="49" t="str">
        <f t="shared" si="4"/>
        <v>04/07/1989</v>
      </c>
      <c r="N58" s="50">
        <f t="shared" ca="1" si="3"/>
        <v>37</v>
      </c>
      <c r="O58" s="62" t="s">
        <v>988</v>
      </c>
      <c r="P58" s="62" t="s">
        <v>1229</v>
      </c>
      <c r="Q58" s="62" t="s">
        <v>1125</v>
      </c>
      <c r="S58" s="81" t="s">
        <v>2118</v>
      </c>
      <c r="T58" s="83" t="s">
        <v>2067</v>
      </c>
      <c r="U58" s="84">
        <v>46022</v>
      </c>
      <c r="V58" s="61" t="str">
        <f t="shared" si="2"/>
        <v>Paul Mutwiri Kirimi</v>
      </c>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P58" s="61"/>
      <c r="CQ58" s="61"/>
      <c r="CR58" s="61"/>
      <c r="CS58" s="61"/>
      <c r="CT58" s="61"/>
      <c r="CU58" s="61"/>
      <c r="CV58" s="61"/>
      <c r="CW58" s="61"/>
      <c r="CX58" s="61"/>
      <c r="CY58" s="61"/>
      <c r="CZ58" s="61"/>
      <c r="DA58" s="61"/>
      <c r="DB58" s="61"/>
      <c r="DC58" s="61"/>
      <c r="DD58" s="61"/>
      <c r="DE58" s="61"/>
      <c r="DF58" s="61"/>
      <c r="DG58" s="61"/>
      <c r="DH58" s="61"/>
      <c r="DI58" s="61"/>
      <c r="DJ58" s="61"/>
      <c r="DK58" s="61"/>
      <c r="DL58" s="61"/>
      <c r="DM58" s="61"/>
      <c r="DN58" s="61"/>
      <c r="DO58" s="61"/>
      <c r="DP58" s="61"/>
      <c r="DQ58" s="61"/>
      <c r="DR58" s="61"/>
      <c r="DS58" s="61"/>
      <c r="DT58" s="61"/>
      <c r="DU58" s="61"/>
      <c r="DV58" s="61"/>
      <c r="DW58" s="61"/>
      <c r="DX58" s="61"/>
      <c r="DY58" s="61"/>
      <c r="DZ58" s="61"/>
      <c r="EA58" s="61"/>
      <c r="EB58" s="61"/>
      <c r="EC58" s="61"/>
      <c r="ED58" s="61"/>
      <c r="EE58" s="61"/>
      <c r="EF58" s="61"/>
      <c r="EG58" s="61"/>
      <c r="EH58" s="61"/>
      <c r="EI58" s="61"/>
    </row>
    <row r="59" spans="1:139" s="66" customFormat="1" hidden="1">
      <c r="A59" s="64" t="s">
        <v>133</v>
      </c>
      <c r="B59" s="93" t="s">
        <v>2358</v>
      </c>
      <c r="C59" s="93" t="s">
        <v>1627</v>
      </c>
      <c r="D59" s="81" t="s">
        <v>287</v>
      </c>
      <c r="E59" s="81" t="s">
        <v>2106</v>
      </c>
      <c r="F59" s="157" t="s">
        <v>2621</v>
      </c>
      <c r="G59" s="93" t="s">
        <v>21</v>
      </c>
      <c r="H59" s="93" t="s">
        <v>166</v>
      </c>
      <c r="I59" s="93" t="s">
        <v>1608</v>
      </c>
      <c r="J59" s="93" t="s">
        <v>427</v>
      </c>
      <c r="K59" s="62" t="s">
        <v>1005</v>
      </c>
      <c r="L59" s="62" t="s">
        <v>1555</v>
      </c>
      <c r="M59" s="49" t="str">
        <f t="shared" si="4"/>
        <v>03/01/1993</v>
      </c>
      <c r="N59" s="50">
        <f t="shared" ca="1" si="3"/>
        <v>33</v>
      </c>
      <c r="O59" s="62" t="s">
        <v>988</v>
      </c>
      <c r="P59" s="62" t="s">
        <v>1038</v>
      </c>
      <c r="Q59" s="62" t="s">
        <v>1155</v>
      </c>
      <c r="R59" s="62" t="s">
        <v>1539</v>
      </c>
      <c r="S59" s="62"/>
      <c r="T59" s="62"/>
      <c r="U59" s="62"/>
      <c r="V59" s="61" t="str">
        <f t="shared" si="2"/>
        <v>Paul Thuranira Isaac</v>
      </c>
      <c r="W59" s="61"/>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c r="CC59" s="68"/>
      <c r="CD59" s="68"/>
      <c r="CE59" s="68"/>
      <c r="CF59" s="68"/>
      <c r="CG59" s="68"/>
      <c r="CH59" s="68"/>
      <c r="CI59" s="68"/>
      <c r="CJ59" s="68"/>
      <c r="CK59" s="68"/>
      <c r="CL59" s="68"/>
      <c r="CM59" s="68"/>
      <c r="CN59" s="68"/>
      <c r="CP59" s="68"/>
      <c r="CQ59" s="68"/>
      <c r="CR59" s="68"/>
      <c r="CS59" s="68"/>
      <c r="CT59" s="68"/>
      <c r="CU59" s="68"/>
      <c r="CV59" s="68"/>
      <c r="CW59" s="68"/>
      <c r="CX59" s="68"/>
      <c r="CY59" s="68"/>
      <c r="CZ59" s="68"/>
      <c r="DA59" s="68"/>
      <c r="DB59" s="68"/>
      <c r="DC59" s="68"/>
      <c r="DD59" s="68"/>
      <c r="DE59" s="68"/>
      <c r="DF59" s="68"/>
      <c r="DG59" s="68"/>
      <c r="DH59" s="68"/>
      <c r="DI59" s="68"/>
      <c r="DJ59" s="68"/>
      <c r="DK59" s="68"/>
      <c r="DL59" s="68"/>
      <c r="DM59" s="68"/>
      <c r="DN59" s="68"/>
      <c r="DO59" s="68"/>
      <c r="DP59" s="68"/>
      <c r="DQ59" s="68"/>
      <c r="DR59" s="68"/>
      <c r="DS59" s="68"/>
      <c r="DT59" s="68"/>
      <c r="DU59" s="68"/>
      <c r="DV59" s="68"/>
      <c r="DW59" s="68"/>
      <c r="DX59" s="68"/>
      <c r="DY59" s="68"/>
      <c r="DZ59" s="68"/>
      <c r="EA59" s="68"/>
      <c r="EB59" s="68"/>
      <c r="EC59" s="68"/>
      <c r="ED59" s="68"/>
      <c r="EE59" s="68"/>
      <c r="EF59" s="68"/>
      <c r="EG59" s="68"/>
      <c r="EH59" s="68"/>
      <c r="EI59" s="68"/>
    </row>
    <row r="60" spans="1:139" s="62" customFormat="1">
      <c r="A60" s="64" t="s">
        <v>177</v>
      </c>
      <c r="B60" s="93" t="s">
        <v>2368</v>
      </c>
      <c r="C60" s="93" t="s">
        <v>1626</v>
      </c>
      <c r="D60" s="89" t="s">
        <v>333</v>
      </c>
      <c r="E60" s="81" t="s">
        <v>2011</v>
      </c>
      <c r="F60" s="277" t="s">
        <v>2622</v>
      </c>
      <c r="G60" s="93" t="s">
        <v>124</v>
      </c>
      <c r="H60" s="93" t="s">
        <v>166</v>
      </c>
      <c r="I60" s="93" t="s">
        <v>1603</v>
      </c>
      <c r="J60" s="93" t="s">
        <v>282</v>
      </c>
      <c r="K60" s="62" t="s">
        <v>1005</v>
      </c>
      <c r="L60" s="62" t="s">
        <v>1329</v>
      </c>
      <c r="M60" s="49" t="str">
        <f t="shared" si="4"/>
        <v>12/03/1994</v>
      </c>
      <c r="N60" s="50">
        <f t="shared" ca="1" si="3"/>
        <v>32</v>
      </c>
      <c r="O60" s="62" t="s">
        <v>988</v>
      </c>
      <c r="P60" s="62" t="s">
        <v>996</v>
      </c>
      <c r="Q60" s="62" t="s">
        <v>1098</v>
      </c>
      <c r="S60" s="89" t="s">
        <v>2328</v>
      </c>
      <c r="T60" s="160" t="s">
        <v>2027</v>
      </c>
      <c r="U60" s="84">
        <v>46356</v>
      </c>
      <c r="V60" s="61" t="str">
        <f t="shared" si="2"/>
        <v>Peninah Gacheri Kobia</v>
      </c>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1"/>
      <c r="DV60" s="61"/>
      <c r="DW60" s="61"/>
      <c r="DX60" s="61"/>
      <c r="DY60" s="61"/>
      <c r="DZ60" s="61"/>
      <c r="EA60" s="61"/>
      <c r="EB60" s="61"/>
      <c r="EC60" s="61"/>
      <c r="ED60" s="61"/>
      <c r="EE60" s="61"/>
      <c r="EF60" s="61"/>
      <c r="EG60" s="61"/>
      <c r="EH60" s="61"/>
      <c r="EI60" s="61"/>
    </row>
    <row r="61" spans="1:139" s="62" customFormat="1">
      <c r="A61" s="64" t="s">
        <v>107</v>
      </c>
      <c r="B61" s="93" t="s">
        <v>2351</v>
      </c>
      <c r="C61" s="93" t="s">
        <v>1626</v>
      </c>
      <c r="D61" s="81" t="s">
        <v>255</v>
      </c>
      <c r="E61" s="81" t="s">
        <v>2080</v>
      </c>
      <c r="F61" s="277" t="s">
        <v>2623</v>
      </c>
      <c r="G61" s="93" t="s">
        <v>21</v>
      </c>
      <c r="H61" s="93" t="s">
        <v>166</v>
      </c>
      <c r="I61" s="93" t="s">
        <v>1611</v>
      </c>
      <c r="J61" s="93" t="s">
        <v>1577</v>
      </c>
      <c r="K61" s="62" t="s">
        <v>1005</v>
      </c>
      <c r="L61" s="62" t="s">
        <v>1328</v>
      </c>
      <c r="M61" s="49" t="str">
        <f t="shared" si="4"/>
        <v>15/09/1989</v>
      </c>
      <c r="N61" s="50">
        <f t="shared" ca="1" si="3"/>
        <v>36</v>
      </c>
      <c r="O61" s="62" t="s">
        <v>988</v>
      </c>
      <c r="P61" s="62" t="s">
        <v>1503</v>
      </c>
      <c r="Q61" s="62" t="s">
        <v>989</v>
      </c>
      <c r="R61" s="62" t="s">
        <v>1539</v>
      </c>
      <c r="V61" s="61" t="str">
        <f t="shared" si="2"/>
        <v>Peninah Gatwiri Kubania</v>
      </c>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1"/>
      <c r="DV61" s="61"/>
      <c r="DW61" s="61"/>
      <c r="DX61" s="61"/>
      <c r="DY61" s="61"/>
      <c r="DZ61" s="61"/>
      <c r="EA61" s="61"/>
      <c r="EB61" s="61"/>
      <c r="EC61" s="61"/>
      <c r="ED61" s="61"/>
      <c r="EE61" s="61"/>
      <c r="EF61" s="61"/>
      <c r="EG61" s="61"/>
      <c r="EH61" s="61"/>
      <c r="EI61" s="61"/>
    </row>
    <row r="62" spans="1:139" s="62" customFormat="1" hidden="1">
      <c r="A62" s="64" t="s">
        <v>194</v>
      </c>
      <c r="B62" s="93" t="s">
        <v>2375</v>
      </c>
      <c r="C62" s="93" t="s">
        <v>1627</v>
      </c>
      <c r="D62" s="81" t="s">
        <v>351</v>
      </c>
      <c r="E62" s="81" t="s">
        <v>2056</v>
      </c>
      <c r="F62" s="157" t="s">
        <v>2625</v>
      </c>
      <c r="G62" s="93" t="s">
        <v>12</v>
      </c>
      <c r="H62" s="93" t="s">
        <v>166</v>
      </c>
      <c r="I62" s="93" t="s">
        <v>1603</v>
      </c>
      <c r="J62" s="93" t="s">
        <v>282</v>
      </c>
      <c r="K62" s="62" t="s">
        <v>1005</v>
      </c>
      <c r="L62" s="62" t="s">
        <v>1330</v>
      </c>
      <c r="M62" s="49" t="str">
        <f t="shared" si="4"/>
        <v>13/01/1979</v>
      </c>
      <c r="N62" s="50">
        <f t="shared" ca="1" si="3"/>
        <v>47</v>
      </c>
      <c r="O62" s="62" t="s">
        <v>988</v>
      </c>
      <c r="P62" s="62" t="s">
        <v>1229</v>
      </c>
      <c r="Q62" s="62" t="s">
        <v>1331</v>
      </c>
      <c r="S62" s="81" t="s">
        <v>2118</v>
      </c>
      <c r="T62" s="83" t="s">
        <v>2068</v>
      </c>
      <c r="U62" s="84">
        <v>46022</v>
      </c>
      <c r="V62" s="68" t="str">
        <f t="shared" si="2"/>
        <v>Peter Muriuki Anampiu</v>
      </c>
      <c r="W62" s="68"/>
      <c r="X62" s="246">
        <v>46022</v>
      </c>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61"/>
      <c r="DR62" s="61"/>
      <c r="DS62" s="61"/>
      <c r="DT62" s="61"/>
      <c r="DU62" s="61"/>
      <c r="DV62" s="61"/>
      <c r="DW62" s="61"/>
      <c r="DX62" s="61"/>
      <c r="DY62" s="61"/>
      <c r="DZ62" s="61"/>
      <c r="EA62" s="61"/>
      <c r="EB62" s="61"/>
      <c r="EC62" s="61"/>
      <c r="ED62" s="61"/>
      <c r="EE62" s="61"/>
      <c r="EF62" s="61"/>
      <c r="EG62" s="61"/>
      <c r="EH62" s="61"/>
      <c r="EI62" s="61"/>
    </row>
    <row r="63" spans="1:139" s="62" customFormat="1" hidden="1">
      <c r="A63" s="64" t="s">
        <v>161</v>
      </c>
      <c r="B63" s="93" t="s">
        <v>2364</v>
      </c>
      <c r="C63" s="93" t="s">
        <v>1627</v>
      </c>
      <c r="D63" s="81" t="s">
        <v>318</v>
      </c>
      <c r="E63" s="81" t="s">
        <v>2008</v>
      </c>
      <c r="F63" s="157" t="s">
        <v>2626</v>
      </c>
      <c r="G63" s="93" t="s">
        <v>124</v>
      </c>
      <c r="H63" s="93" t="s">
        <v>166</v>
      </c>
      <c r="I63" s="93" t="s">
        <v>1611</v>
      </c>
      <c r="J63" s="93" t="s">
        <v>317</v>
      </c>
      <c r="K63" s="62" t="s">
        <v>1005</v>
      </c>
      <c r="L63" s="62" t="s">
        <v>1332</v>
      </c>
      <c r="M63" s="49" t="str">
        <f t="shared" si="4"/>
        <v>24/06/1988</v>
      </c>
      <c r="N63" s="50">
        <f t="shared" ca="1" si="3"/>
        <v>38</v>
      </c>
      <c r="O63" s="62" t="s">
        <v>988</v>
      </c>
      <c r="P63" s="62" t="s">
        <v>996</v>
      </c>
      <c r="Q63" s="62" t="s">
        <v>1125</v>
      </c>
      <c r="S63" s="81" t="s">
        <v>2328</v>
      </c>
      <c r="T63" s="83" t="s">
        <v>2024</v>
      </c>
      <c r="U63" s="84">
        <v>46356</v>
      </c>
      <c r="V63" s="61" t="str">
        <f t="shared" si="2"/>
        <v>Peter Riungu Gikundi</v>
      </c>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c r="EA63" s="61"/>
      <c r="EB63" s="61"/>
      <c r="EC63" s="61"/>
      <c r="ED63" s="61"/>
      <c r="EE63" s="61"/>
      <c r="EF63" s="61"/>
      <c r="EG63" s="61"/>
      <c r="EH63" s="61"/>
      <c r="EI63" s="61"/>
    </row>
    <row r="64" spans="1:139" s="62" customFormat="1">
      <c r="A64" s="64" t="s">
        <v>367</v>
      </c>
      <c r="B64" s="93" t="s">
        <v>2432</v>
      </c>
      <c r="C64" s="93" t="s">
        <v>1626</v>
      </c>
      <c r="D64" s="81" t="s">
        <v>2060</v>
      </c>
      <c r="E64" s="81">
        <v>33448533</v>
      </c>
      <c r="F64" s="277" t="s">
        <v>2627</v>
      </c>
      <c r="G64" s="93" t="s">
        <v>141</v>
      </c>
      <c r="H64" s="93" t="s">
        <v>166</v>
      </c>
      <c r="I64" s="93" t="s">
        <v>1612</v>
      </c>
      <c r="J64" s="93" t="s">
        <v>455</v>
      </c>
      <c r="K64" s="62" t="s">
        <v>1333</v>
      </c>
      <c r="L64" s="62" t="s">
        <v>2628</v>
      </c>
      <c r="M64" s="49" t="str">
        <f t="shared" si="4"/>
        <v>22/05/1996</v>
      </c>
      <c r="N64" s="50">
        <f t="shared" ca="1" si="3"/>
        <v>30</v>
      </c>
      <c r="O64" s="62" t="s">
        <v>988</v>
      </c>
      <c r="P64" s="62" t="s">
        <v>2121</v>
      </c>
      <c r="Q64" s="62" t="s">
        <v>1334</v>
      </c>
      <c r="S64" s="81" t="s">
        <v>2109</v>
      </c>
      <c r="T64" s="83">
        <v>513795</v>
      </c>
      <c r="U64" s="84">
        <v>46265</v>
      </c>
      <c r="V64" s="61" t="str">
        <f t="shared" si="2"/>
        <v>Polly Kagwiria Murithi</v>
      </c>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1"/>
      <c r="DT64" s="61"/>
      <c r="DU64" s="61"/>
      <c r="DV64" s="61"/>
      <c r="DW64" s="61"/>
      <c r="DX64" s="61"/>
      <c r="DY64" s="61"/>
      <c r="DZ64" s="61"/>
      <c r="EA64" s="61"/>
      <c r="EB64" s="61"/>
      <c r="EC64" s="61"/>
      <c r="ED64" s="61"/>
      <c r="EE64" s="61"/>
      <c r="EF64" s="61"/>
      <c r="EG64" s="61"/>
      <c r="EH64" s="61"/>
      <c r="EI64" s="61"/>
    </row>
    <row r="65" spans="1:139" s="62" customFormat="1">
      <c r="A65" s="64" t="s">
        <v>356</v>
      </c>
      <c r="B65" s="93" t="s">
        <v>2629</v>
      </c>
      <c r="C65" s="93" t="s">
        <v>1626</v>
      </c>
      <c r="D65" s="148" t="s">
        <v>517</v>
      </c>
      <c r="E65" s="81">
        <v>25742564</v>
      </c>
      <c r="F65" s="277" t="s">
        <v>2630</v>
      </c>
      <c r="G65" s="93" t="s">
        <v>21</v>
      </c>
      <c r="H65" s="93" t="s">
        <v>166</v>
      </c>
      <c r="I65" s="93" t="s">
        <v>1600</v>
      </c>
      <c r="J65" s="93" t="s">
        <v>919</v>
      </c>
      <c r="K65" s="62" t="s">
        <v>1036</v>
      </c>
      <c r="L65" s="62" t="s">
        <v>1338</v>
      </c>
      <c r="M65" s="49" t="str">
        <f t="shared" si="4"/>
        <v>27/12/1984</v>
      </c>
      <c r="N65" s="50">
        <f t="shared" ca="1" si="3"/>
        <v>41</v>
      </c>
      <c r="O65" s="62" t="s">
        <v>988</v>
      </c>
      <c r="P65" s="62" t="s">
        <v>1072</v>
      </c>
      <c r="Q65" s="62" t="s">
        <v>1340</v>
      </c>
      <c r="R65" s="62" t="s">
        <v>1496</v>
      </c>
      <c r="V65" s="61" t="str">
        <f t="shared" ref="V65:V110" si="5">PROPER(B65)</f>
        <v>Rosechristiner Watetu Karemi</v>
      </c>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61"/>
      <c r="DR65" s="61"/>
      <c r="DS65" s="61"/>
      <c r="DT65" s="61"/>
      <c r="DU65" s="61"/>
      <c r="DV65" s="61"/>
      <c r="DW65" s="61"/>
      <c r="DX65" s="61"/>
      <c r="DY65" s="61"/>
      <c r="DZ65" s="61"/>
      <c r="EA65" s="61"/>
      <c r="EB65" s="61"/>
      <c r="EC65" s="61"/>
      <c r="ED65" s="61"/>
      <c r="EE65" s="61"/>
      <c r="EF65" s="61"/>
      <c r="EG65" s="61"/>
      <c r="EH65" s="61"/>
      <c r="EI65" s="61"/>
    </row>
    <row r="66" spans="1:139" s="62" customFormat="1">
      <c r="A66" s="64" t="s">
        <v>272</v>
      </c>
      <c r="B66" s="93" t="s">
        <v>2405</v>
      </c>
      <c r="C66" s="93" t="s">
        <v>1626</v>
      </c>
      <c r="D66" s="81" t="s">
        <v>431</v>
      </c>
      <c r="E66" s="81" t="s">
        <v>2054</v>
      </c>
      <c r="F66" s="277" t="s">
        <v>2631</v>
      </c>
      <c r="G66" s="93" t="s">
        <v>141</v>
      </c>
      <c r="H66" s="93" t="s">
        <v>166</v>
      </c>
      <c r="I66" s="93" t="s">
        <v>1603</v>
      </c>
      <c r="J66" s="93" t="s">
        <v>282</v>
      </c>
      <c r="K66" s="62" t="s">
        <v>1005</v>
      </c>
      <c r="L66" s="62" t="s">
        <v>1339</v>
      </c>
      <c r="M66" s="49" t="str">
        <f t="shared" si="4"/>
        <v>20/03/1995</v>
      </c>
      <c r="N66" s="50">
        <f t="shared" ref="N66:N77" ca="1" si="6">IF(M66="","",DATEDIF(M66,TODAY(),"Y"))</f>
        <v>31</v>
      </c>
      <c r="O66" s="63" t="s">
        <v>998</v>
      </c>
      <c r="P66" s="62" t="s">
        <v>2154</v>
      </c>
      <c r="Q66" s="62" t="s">
        <v>1068</v>
      </c>
      <c r="S66" s="81" t="s">
        <v>2109</v>
      </c>
      <c r="T66" s="83">
        <v>507512</v>
      </c>
      <c r="U66" s="84">
        <v>46234</v>
      </c>
      <c r="V66" s="68" t="str">
        <f t="shared" si="5"/>
        <v>Roselyne Kendi Kabiringu</v>
      </c>
      <c r="W66" s="68"/>
      <c r="X66" s="246">
        <v>46022</v>
      </c>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row>
    <row r="67" spans="1:139" s="66" customFormat="1">
      <c r="A67" s="64" t="s">
        <v>383</v>
      </c>
      <c r="B67" s="93" t="s">
        <v>2340</v>
      </c>
      <c r="C67" s="93" t="s">
        <v>1626</v>
      </c>
      <c r="D67" s="81" t="s">
        <v>2061</v>
      </c>
      <c r="E67" s="106">
        <v>26179102</v>
      </c>
      <c r="F67" s="281" t="s">
        <v>2634</v>
      </c>
      <c r="G67" s="93" t="s">
        <v>2115</v>
      </c>
      <c r="H67" s="93" t="s">
        <v>166</v>
      </c>
      <c r="I67" s="93" t="s">
        <v>1603</v>
      </c>
      <c r="J67" s="93" t="s">
        <v>282</v>
      </c>
      <c r="K67" s="62" t="s">
        <v>1028</v>
      </c>
      <c r="L67" s="62" t="s">
        <v>1344</v>
      </c>
      <c r="M67" s="49" t="str">
        <f t="shared" si="4"/>
        <v>01/01/1971</v>
      </c>
      <c r="N67" s="50">
        <f t="shared" ca="1" si="6"/>
        <v>55</v>
      </c>
      <c r="O67" s="62" t="s">
        <v>1188</v>
      </c>
      <c r="P67" s="62" t="s">
        <v>1345</v>
      </c>
      <c r="Q67" s="62" t="s">
        <v>989</v>
      </c>
      <c r="R67" s="62"/>
      <c r="S67" s="81" t="s">
        <v>2108</v>
      </c>
      <c r="T67" s="83" t="s">
        <v>2065</v>
      </c>
      <c r="U67" s="84">
        <v>46022</v>
      </c>
      <c r="V67" s="61" t="str">
        <f t="shared" si="5"/>
        <v>Salome Gacheri Ikiara</v>
      </c>
      <c r="W67" s="61"/>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c r="BO67" s="68"/>
      <c r="BP67" s="68"/>
      <c r="BQ67" s="68"/>
      <c r="BR67" s="68"/>
      <c r="BS67" s="68"/>
      <c r="BT67" s="68"/>
      <c r="BU67" s="68"/>
      <c r="BV67" s="68"/>
      <c r="BW67" s="68"/>
      <c r="BX67" s="68"/>
      <c r="BY67" s="68"/>
      <c r="BZ67" s="68"/>
      <c r="CA67" s="68"/>
      <c r="CB67" s="68"/>
      <c r="CC67" s="68"/>
      <c r="CD67" s="68"/>
      <c r="CE67" s="68"/>
      <c r="CF67" s="68"/>
      <c r="CG67" s="68"/>
      <c r="CH67" s="68"/>
      <c r="CI67" s="68"/>
      <c r="CJ67" s="68"/>
      <c r="CK67" s="68"/>
      <c r="CL67" s="68"/>
      <c r="CM67" s="68"/>
      <c r="CN67" s="68"/>
      <c r="CP67" s="68"/>
      <c r="CQ67" s="68"/>
      <c r="CR67" s="68"/>
      <c r="CS67" s="68"/>
      <c r="CT67" s="68"/>
      <c r="CU67" s="68"/>
      <c r="CV67" s="68"/>
      <c r="CW67" s="68"/>
      <c r="CX67" s="68"/>
      <c r="CY67" s="68"/>
      <c r="CZ67" s="68"/>
      <c r="DA67" s="68"/>
      <c r="DB67" s="68"/>
      <c r="DC67" s="68"/>
      <c r="DD67" s="68"/>
      <c r="DE67" s="68"/>
      <c r="DF67" s="68"/>
      <c r="DG67" s="68"/>
      <c r="DH67" s="68"/>
      <c r="DI67" s="68"/>
      <c r="DJ67" s="68"/>
      <c r="DK67" s="68"/>
      <c r="DL67" s="68"/>
      <c r="DM67" s="68"/>
      <c r="DN67" s="68"/>
      <c r="DO67" s="68"/>
      <c r="DP67" s="68"/>
      <c r="DQ67" s="68"/>
      <c r="DR67" s="68"/>
      <c r="DS67" s="68"/>
      <c r="DT67" s="68"/>
      <c r="DU67" s="68"/>
      <c r="DV67" s="68"/>
      <c r="DW67" s="68"/>
      <c r="DX67" s="68"/>
      <c r="DY67" s="68"/>
      <c r="DZ67" s="68"/>
      <c r="EA67" s="68"/>
      <c r="EB67" s="68"/>
      <c r="EC67" s="68"/>
      <c r="ED67" s="68"/>
      <c r="EE67" s="68"/>
      <c r="EF67" s="68"/>
      <c r="EG67" s="68"/>
      <c r="EH67" s="68"/>
      <c r="EI67" s="68"/>
    </row>
    <row r="68" spans="1:139" s="62" customFormat="1">
      <c r="A68" s="64" t="s">
        <v>111</v>
      </c>
      <c r="B68" s="93" t="s">
        <v>2352</v>
      </c>
      <c r="C68" s="93" t="s">
        <v>1626</v>
      </c>
      <c r="D68" s="81" t="s">
        <v>259</v>
      </c>
      <c r="E68" s="81" t="s">
        <v>2081</v>
      </c>
      <c r="F68" s="277" t="s">
        <v>2635</v>
      </c>
      <c r="G68" s="93" t="s">
        <v>21</v>
      </c>
      <c r="H68" s="93" t="s">
        <v>166</v>
      </c>
      <c r="I68" s="93" t="s">
        <v>1605</v>
      </c>
      <c r="J68" s="93" t="s">
        <v>328</v>
      </c>
      <c r="K68" s="62" t="s">
        <v>1005</v>
      </c>
      <c r="L68" s="62" t="s">
        <v>1341</v>
      </c>
      <c r="M68" s="49" t="str">
        <f t="shared" si="4"/>
        <v>15/06/1970</v>
      </c>
      <c r="N68" s="50">
        <f t="shared" ca="1" si="6"/>
        <v>56</v>
      </c>
      <c r="O68" s="62" t="s">
        <v>1010</v>
      </c>
      <c r="P68" s="62" t="s">
        <v>1342</v>
      </c>
      <c r="Q68" s="62" t="s">
        <v>1343</v>
      </c>
      <c r="R68" s="62" t="s">
        <v>1539</v>
      </c>
      <c r="V68" s="61" t="str">
        <f t="shared" si="5"/>
        <v>Salome Kinya Abdi</v>
      </c>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c r="EE68" s="61"/>
      <c r="EF68" s="61"/>
      <c r="EG68" s="61"/>
      <c r="EH68" s="61"/>
      <c r="EI68" s="61"/>
    </row>
    <row r="69" spans="1:139" s="62" customFormat="1">
      <c r="A69" s="64" t="s">
        <v>115</v>
      </c>
      <c r="B69" s="93" t="s">
        <v>2353</v>
      </c>
      <c r="C69" s="93" t="s">
        <v>1626</v>
      </c>
      <c r="D69" s="148" t="s">
        <v>263</v>
      </c>
      <c r="E69" s="81" t="s">
        <v>2082</v>
      </c>
      <c r="F69" s="277" t="s">
        <v>2636</v>
      </c>
      <c r="G69" s="93" t="s">
        <v>21</v>
      </c>
      <c r="H69" s="93" t="s">
        <v>166</v>
      </c>
      <c r="I69" s="93" t="s">
        <v>1608</v>
      </c>
      <c r="J69" s="93" t="s">
        <v>344</v>
      </c>
      <c r="K69" s="62" t="s">
        <v>1005</v>
      </c>
      <c r="L69" s="62" t="s">
        <v>1346</v>
      </c>
      <c r="M69" s="49" t="str">
        <f t="shared" si="4"/>
        <v>07/02/1987</v>
      </c>
      <c r="N69" s="50">
        <f t="shared" ca="1" si="6"/>
        <v>39</v>
      </c>
      <c r="O69" s="62" t="s">
        <v>1010</v>
      </c>
      <c r="P69" s="62" t="s">
        <v>1347</v>
      </c>
      <c r="Q69" s="62" t="s">
        <v>1567</v>
      </c>
      <c r="R69" s="62" t="s">
        <v>1539</v>
      </c>
      <c r="V69" s="61" t="str">
        <f t="shared" si="5"/>
        <v>Sarah Mithika Kagwiria</v>
      </c>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1"/>
      <c r="DV69" s="61"/>
      <c r="DW69" s="61"/>
      <c r="DX69" s="61"/>
      <c r="DY69" s="61"/>
      <c r="DZ69" s="61"/>
      <c r="EA69" s="61"/>
      <c r="EB69" s="61"/>
      <c r="EC69" s="61"/>
      <c r="ED69" s="61"/>
      <c r="EE69" s="61"/>
      <c r="EF69" s="61"/>
      <c r="EG69" s="61"/>
      <c r="EH69" s="61"/>
      <c r="EI69" s="61"/>
    </row>
    <row r="70" spans="1:139" s="62" customFormat="1">
      <c r="A70" s="64" t="s">
        <v>118</v>
      </c>
      <c r="B70" s="93" t="s">
        <v>2354</v>
      </c>
      <c r="C70" s="93" t="s">
        <v>1626</v>
      </c>
      <c r="D70" s="81" t="s">
        <v>267</v>
      </c>
      <c r="E70" s="81" t="s">
        <v>2083</v>
      </c>
      <c r="F70" s="277" t="s">
        <v>2637</v>
      </c>
      <c r="G70" s="93" t="s">
        <v>21</v>
      </c>
      <c r="H70" s="93" t="s">
        <v>166</v>
      </c>
      <c r="I70" s="93" t="s">
        <v>1604</v>
      </c>
      <c r="J70" s="93" t="s">
        <v>925</v>
      </c>
      <c r="K70" s="62" t="s">
        <v>1005</v>
      </c>
      <c r="L70" s="62" t="s">
        <v>1348</v>
      </c>
      <c r="M70" s="49" t="str">
        <f t="shared" si="4"/>
        <v>03/12/1996</v>
      </c>
      <c r="N70" s="50">
        <f t="shared" ca="1" si="6"/>
        <v>29</v>
      </c>
      <c r="O70" s="62" t="s">
        <v>988</v>
      </c>
      <c r="P70" s="62" t="s">
        <v>1227</v>
      </c>
      <c r="Q70" s="62" t="s">
        <v>1197</v>
      </c>
      <c r="R70" s="62" t="s">
        <v>1539</v>
      </c>
      <c r="V70" s="61" t="str">
        <f t="shared" si="5"/>
        <v>Sharon Kendi Mbae</v>
      </c>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P70" s="61"/>
      <c r="CQ70" s="61"/>
      <c r="CR70" s="61"/>
      <c r="CS70" s="61"/>
      <c r="CT70" s="61"/>
      <c r="CU70" s="61"/>
      <c r="CV70" s="61"/>
      <c r="CW70" s="61"/>
      <c r="CX70" s="61"/>
      <c r="CY70" s="61"/>
      <c r="CZ70" s="61"/>
      <c r="DA70" s="61"/>
      <c r="DB70" s="61"/>
      <c r="DC70" s="61"/>
      <c r="DD70" s="61"/>
      <c r="DE70" s="61"/>
      <c r="DF70" s="61"/>
      <c r="DG70" s="61"/>
      <c r="DH70" s="61"/>
      <c r="DI70" s="61"/>
      <c r="DJ70" s="61"/>
      <c r="DK70" s="61"/>
      <c r="DL70" s="61"/>
      <c r="DM70" s="61"/>
      <c r="DN70" s="61"/>
      <c r="DO70" s="61"/>
      <c r="DP70" s="61"/>
      <c r="DQ70" s="61"/>
      <c r="DR70" s="61"/>
      <c r="DS70" s="61"/>
      <c r="DT70" s="61"/>
      <c r="DU70" s="61"/>
      <c r="DV70" s="61"/>
      <c r="DW70" s="61"/>
      <c r="DX70" s="61"/>
      <c r="DY70" s="61"/>
      <c r="DZ70" s="61"/>
      <c r="EA70" s="61"/>
      <c r="EB70" s="61"/>
      <c r="EC70" s="61"/>
      <c r="ED70" s="61"/>
      <c r="EE70" s="61"/>
      <c r="EF70" s="61"/>
      <c r="EG70" s="61"/>
      <c r="EH70" s="61"/>
      <c r="EI70" s="61"/>
    </row>
    <row r="71" spans="1:139" s="62" customFormat="1">
      <c r="A71" s="64" t="s">
        <v>201</v>
      </c>
      <c r="B71" s="93" t="s">
        <v>2377</v>
      </c>
      <c r="C71" s="93" t="s">
        <v>1626</v>
      </c>
      <c r="D71" s="81" t="s">
        <v>359</v>
      </c>
      <c r="E71" s="81" t="s">
        <v>2044</v>
      </c>
      <c r="F71" s="277" t="s">
        <v>2638</v>
      </c>
      <c r="G71" s="93" t="s">
        <v>83</v>
      </c>
      <c r="H71" s="93" t="s">
        <v>166</v>
      </c>
      <c r="I71" s="93" t="s">
        <v>1611</v>
      </c>
      <c r="J71" s="93" t="s">
        <v>358</v>
      </c>
      <c r="K71" s="62" t="s">
        <v>1005</v>
      </c>
      <c r="L71" s="62" t="s">
        <v>1349</v>
      </c>
      <c r="M71" s="49" t="str">
        <f t="shared" si="4"/>
        <v>29/07/1992</v>
      </c>
      <c r="N71" s="50">
        <f t="shared" ca="1" si="6"/>
        <v>33</v>
      </c>
      <c r="O71" s="62" t="s">
        <v>988</v>
      </c>
      <c r="P71" s="62" t="s">
        <v>983</v>
      </c>
      <c r="Q71" s="62" t="s">
        <v>1284</v>
      </c>
      <c r="S71" s="159" t="s">
        <v>2112</v>
      </c>
      <c r="T71" s="83">
        <v>8949</v>
      </c>
      <c r="U71" s="84">
        <v>46243</v>
      </c>
      <c r="V71" s="61" t="str">
        <f t="shared" si="5"/>
        <v>Sophia Nkatha</v>
      </c>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P71" s="61"/>
      <c r="CQ71" s="61"/>
      <c r="CR71" s="61"/>
      <c r="CS71" s="61"/>
      <c r="CT71" s="61"/>
      <c r="CU71" s="61"/>
      <c r="CV71" s="61"/>
      <c r="CW71" s="61"/>
      <c r="CX71" s="61"/>
      <c r="CY71" s="61"/>
      <c r="CZ71" s="61"/>
      <c r="DA71" s="61"/>
      <c r="DB71" s="61"/>
      <c r="DC71" s="61"/>
      <c r="DD71" s="61"/>
      <c r="DE71" s="61"/>
      <c r="DF71" s="61"/>
      <c r="DG71" s="61"/>
      <c r="DH71" s="61"/>
      <c r="DI71" s="61"/>
      <c r="DJ71" s="61"/>
      <c r="DK71" s="61"/>
      <c r="DL71" s="61"/>
      <c r="DM71" s="61"/>
      <c r="DN71" s="61"/>
      <c r="DO71" s="61"/>
      <c r="DP71" s="61"/>
      <c r="DQ71" s="61"/>
      <c r="DR71" s="61"/>
      <c r="DS71" s="61"/>
      <c r="DT71" s="61"/>
      <c r="DU71" s="61"/>
      <c r="DV71" s="61"/>
      <c r="DW71" s="61"/>
      <c r="DX71" s="61"/>
      <c r="DY71" s="61"/>
      <c r="DZ71" s="61"/>
      <c r="EA71" s="61"/>
      <c r="EB71" s="61"/>
      <c r="EC71" s="61"/>
      <c r="ED71" s="61"/>
      <c r="EE71" s="61"/>
      <c r="EF71" s="61"/>
      <c r="EG71" s="61"/>
      <c r="EH71" s="61"/>
      <c r="EI71" s="61"/>
    </row>
    <row r="72" spans="1:139" s="62" customFormat="1" hidden="1">
      <c r="A72" s="64" t="s">
        <v>164</v>
      </c>
      <c r="B72" s="93" t="s">
        <v>2366</v>
      </c>
      <c r="C72" s="93" t="s">
        <v>1627</v>
      </c>
      <c r="D72" s="81" t="s">
        <v>321</v>
      </c>
      <c r="E72" s="81" t="s">
        <v>2009</v>
      </c>
      <c r="F72" s="157" t="s">
        <v>2639</v>
      </c>
      <c r="G72" s="93" t="s">
        <v>124</v>
      </c>
      <c r="H72" s="93" t="s">
        <v>166</v>
      </c>
      <c r="I72" s="93" t="s">
        <v>1605</v>
      </c>
      <c r="J72" s="93" t="s">
        <v>328</v>
      </c>
      <c r="K72" s="62" t="s">
        <v>1005</v>
      </c>
      <c r="L72" s="62" t="s">
        <v>1351</v>
      </c>
      <c r="M72" s="49" t="str">
        <f t="shared" si="4"/>
        <v>16/06/1990</v>
      </c>
      <c r="N72" s="50">
        <f t="shared" ca="1" si="6"/>
        <v>36</v>
      </c>
      <c r="O72" s="62" t="s">
        <v>988</v>
      </c>
      <c r="P72" s="62" t="s">
        <v>996</v>
      </c>
      <c r="Q72" s="62" t="s">
        <v>1350</v>
      </c>
      <c r="S72" s="81" t="s">
        <v>2328</v>
      </c>
      <c r="T72" s="83" t="s">
        <v>2025</v>
      </c>
      <c r="U72" s="84">
        <v>46173</v>
      </c>
      <c r="V72" s="61" t="str">
        <f t="shared" si="5"/>
        <v>Stanley Muthaura Mugambi</v>
      </c>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P72" s="61"/>
      <c r="CQ72" s="61"/>
      <c r="CR72" s="61"/>
      <c r="CS72" s="61"/>
      <c r="CT72" s="61"/>
      <c r="CU72" s="61"/>
      <c r="CV72" s="61"/>
      <c r="CW72" s="61"/>
      <c r="CX72" s="61"/>
      <c r="CY72" s="61"/>
      <c r="CZ72" s="61"/>
      <c r="DA72" s="61"/>
      <c r="DB72" s="61"/>
      <c r="DC72" s="61"/>
      <c r="DD72" s="61"/>
      <c r="DE72" s="61"/>
      <c r="DF72" s="61"/>
      <c r="DG72" s="61"/>
      <c r="DH72" s="61"/>
      <c r="DI72" s="61"/>
      <c r="DJ72" s="61"/>
      <c r="DK72" s="61"/>
      <c r="DL72" s="61"/>
      <c r="DM72" s="61"/>
      <c r="DN72" s="61"/>
      <c r="DO72" s="61"/>
      <c r="DP72" s="61"/>
      <c r="DQ72" s="61"/>
      <c r="DR72" s="61"/>
      <c r="DS72" s="61"/>
      <c r="DT72" s="61"/>
      <c r="DU72" s="61"/>
      <c r="DV72" s="61"/>
      <c r="DW72" s="61"/>
      <c r="DX72" s="61"/>
      <c r="DY72" s="61"/>
      <c r="DZ72" s="61"/>
      <c r="EA72" s="61"/>
      <c r="EB72" s="61"/>
      <c r="EC72" s="61"/>
      <c r="ED72" s="61"/>
      <c r="EE72" s="61"/>
      <c r="EF72" s="61"/>
      <c r="EG72" s="61"/>
      <c r="EH72" s="61"/>
      <c r="EI72" s="61"/>
    </row>
    <row r="73" spans="1:139" s="66" customFormat="1">
      <c r="A73" s="64" t="s">
        <v>140</v>
      </c>
      <c r="B73" s="93" t="s">
        <v>2361</v>
      </c>
      <c r="C73" s="93" t="s">
        <v>1626</v>
      </c>
      <c r="D73" s="81" t="s">
        <v>295</v>
      </c>
      <c r="E73" s="81">
        <v>30799530</v>
      </c>
      <c r="F73" s="277" t="s">
        <v>2640</v>
      </c>
      <c r="G73" s="93" t="s">
        <v>21</v>
      </c>
      <c r="H73" s="93" t="s">
        <v>166</v>
      </c>
      <c r="I73" s="93" t="s">
        <v>1607</v>
      </c>
      <c r="J73" s="93" t="s">
        <v>1575</v>
      </c>
      <c r="K73" s="62" t="s">
        <v>1005</v>
      </c>
      <c r="L73" s="62" t="s">
        <v>1504</v>
      </c>
      <c r="M73" s="49" t="str">
        <f t="shared" si="4"/>
        <v>30/01/1994</v>
      </c>
      <c r="N73" s="50">
        <f t="shared" ca="1" si="6"/>
        <v>32</v>
      </c>
      <c r="O73" s="62" t="s">
        <v>1188</v>
      </c>
      <c r="P73" s="62" t="s">
        <v>1184</v>
      </c>
      <c r="Q73" s="62" t="s">
        <v>1340</v>
      </c>
      <c r="R73" s="62" t="s">
        <v>1540</v>
      </c>
      <c r="S73" s="62"/>
      <c r="T73" s="62"/>
      <c r="U73" s="62"/>
      <c r="V73" s="61" t="str">
        <f t="shared" si="5"/>
        <v xml:space="preserve">Stella Gacheri </v>
      </c>
      <c r="W73" s="61"/>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68"/>
      <c r="CA73" s="68"/>
      <c r="CB73" s="68"/>
      <c r="CC73" s="68"/>
      <c r="CD73" s="68"/>
      <c r="CE73" s="68"/>
      <c r="CF73" s="68"/>
      <c r="CG73" s="68"/>
      <c r="CH73" s="68"/>
      <c r="CI73" s="68"/>
      <c r="CJ73" s="68"/>
      <c r="CK73" s="68"/>
      <c r="CL73" s="68"/>
      <c r="CM73" s="68"/>
      <c r="CN73" s="68"/>
      <c r="CP73" s="68"/>
      <c r="CQ73" s="68"/>
      <c r="CR73" s="68"/>
      <c r="CS73" s="68"/>
      <c r="CT73" s="68"/>
      <c r="CU73" s="68"/>
      <c r="CV73" s="68"/>
      <c r="CW73" s="68"/>
      <c r="CX73" s="68"/>
      <c r="CY73" s="68"/>
      <c r="CZ73" s="68"/>
      <c r="DA73" s="68"/>
      <c r="DB73" s="68"/>
      <c r="DC73" s="68"/>
      <c r="DD73" s="68"/>
      <c r="DE73" s="68"/>
      <c r="DF73" s="68"/>
      <c r="DG73" s="68"/>
      <c r="DH73" s="68"/>
      <c r="DI73" s="68"/>
      <c r="DJ73" s="68"/>
      <c r="DK73" s="68"/>
      <c r="DL73" s="68"/>
      <c r="DM73" s="68"/>
      <c r="DN73" s="68"/>
      <c r="DO73" s="68"/>
      <c r="DP73" s="68"/>
      <c r="DQ73" s="68"/>
      <c r="DR73" s="68"/>
      <c r="DS73" s="68"/>
      <c r="DT73" s="68"/>
      <c r="DU73" s="68"/>
      <c r="DV73" s="68"/>
      <c r="DW73" s="68"/>
      <c r="DX73" s="68"/>
      <c r="DY73" s="68"/>
      <c r="DZ73" s="68"/>
      <c r="EA73" s="68"/>
      <c r="EB73" s="68"/>
      <c r="EC73" s="68"/>
      <c r="ED73" s="68"/>
      <c r="EE73" s="68"/>
      <c r="EF73" s="68"/>
      <c r="EG73" s="68"/>
      <c r="EH73" s="68"/>
      <c r="EI73" s="68"/>
    </row>
    <row r="74" spans="1:139" s="62" customFormat="1">
      <c r="A74" s="64" t="s">
        <v>122</v>
      </c>
      <c r="B74" s="93" t="s">
        <v>2356</v>
      </c>
      <c r="C74" s="93" t="s">
        <v>1626</v>
      </c>
      <c r="D74" s="81" t="s">
        <v>275</v>
      </c>
      <c r="E74" s="81" t="s">
        <v>2084</v>
      </c>
      <c r="F74" s="277" t="s">
        <v>2644</v>
      </c>
      <c r="G74" s="93" t="s">
        <v>21</v>
      </c>
      <c r="H74" s="93" t="s">
        <v>166</v>
      </c>
      <c r="I74" s="93" t="s">
        <v>1612</v>
      </c>
      <c r="J74" s="93" t="s">
        <v>455</v>
      </c>
      <c r="K74" s="62" t="s">
        <v>1005</v>
      </c>
      <c r="L74" s="62" t="s">
        <v>1354</v>
      </c>
      <c r="M74" s="49" t="str">
        <f t="shared" si="4"/>
        <v>20/01/1997</v>
      </c>
      <c r="N74" s="50">
        <f t="shared" ca="1" si="6"/>
        <v>29</v>
      </c>
      <c r="O74" s="62" t="s">
        <v>988</v>
      </c>
      <c r="P74" s="62" t="s">
        <v>1282</v>
      </c>
      <c r="Q74" s="62" t="s">
        <v>1355</v>
      </c>
      <c r="R74" s="62" t="s">
        <v>1539</v>
      </c>
      <c r="V74" s="61" t="str">
        <f t="shared" si="5"/>
        <v>Susan Kendi Joseph</v>
      </c>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P74" s="61"/>
      <c r="CQ74" s="61"/>
      <c r="CR74" s="61"/>
      <c r="CS74" s="61"/>
      <c r="CT74" s="61"/>
      <c r="CU74" s="61"/>
      <c r="CV74" s="61"/>
      <c r="CW74" s="61"/>
      <c r="CX74" s="61"/>
      <c r="CY74" s="61"/>
      <c r="CZ74" s="61"/>
      <c r="DA74" s="61"/>
      <c r="DB74" s="61"/>
      <c r="DC74" s="61"/>
      <c r="DD74" s="61"/>
      <c r="DE74" s="61"/>
      <c r="DF74" s="61"/>
      <c r="DG74" s="61"/>
      <c r="DH74" s="61"/>
      <c r="DI74" s="61"/>
      <c r="DJ74" s="61"/>
      <c r="DK74" s="61"/>
      <c r="DL74" s="61"/>
      <c r="DM74" s="61"/>
      <c r="DN74" s="61"/>
      <c r="DO74" s="61"/>
      <c r="DP74" s="61"/>
      <c r="DQ74" s="61"/>
      <c r="DR74" s="61"/>
      <c r="DS74" s="61"/>
      <c r="DT74" s="61"/>
      <c r="DU74" s="61"/>
      <c r="DV74" s="61"/>
      <c r="DW74" s="61"/>
      <c r="DX74" s="61"/>
      <c r="DY74" s="61"/>
      <c r="DZ74" s="61"/>
      <c r="EA74" s="61"/>
      <c r="EB74" s="61"/>
      <c r="EC74" s="61"/>
      <c r="ED74" s="61"/>
      <c r="EE74" s="61"/>
      <c r="EF74" s="61"/>
      <c r="EG74" s="61"/>
      <c r="EH74" s="61"/>
      <c r="EI74" s="61"/>
    </row>
    <row r="75" spans="1:139" s="62" customFormat="1" hidden="1">
      <c r="A75" s="64" t="s">
        <v>126</v>
      </c>
      <c r="B75" s="93" t="s">
        <v>2357</v>
      </c>
      <c r="C75" s="93" t="s">
        <v>1627</v>
      </c>
      <c r="D75" s="81" t="s">
        <v>279</v>
      </c>
      <c r="E75" s="81" t="s">
        <v>2105</v>
      </c>
      <c r="F75" s="157" t="s">
        <v>2643</v>
      </c>
      <c r="G75" s="93" t="s">
        <v>21</v>
      </c>
      <c r="H75" s="93" t="s">
        <v>166</v>
      </c>
      <c r="I75" s="93" t="s">
        <v>1601</v>
      </c>
      <c r="J75" s="93" t="s">
        <v>927</v>
      </c>
      <c r="K75" s="62" t="s">
        <v>1005</v>
      </c>
      <c r="L75" s="62" t="s">
        <v>1357</v>
      </c>
      <c r="M75" s="49" t="str">
        <f t="shared" si="4"/>
        <v>14/01/1991</v>
      </c>
      <c r="N75" s="50">
        <f t="shared" ca="1" si="6"/>
        <v>35</v>
      </c>
      <c r="O75" s="62" t="s">
        <v>988</v>
      </c>
      <c r="P75" s="62" t="s">
        <v>1358</v>
      </c>
      <c r="Q75" s="62" t="s">
        <v>1236</v>
      </c>
      <c r="R75" s="62" t="s">
        <v>1539</v>
      </c>
      <c r="V75" s="61" t="str">
        <f t="shared" si="5"/>
        <v>Tonui K Hillary</v>
      </c>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c r="DQ75" s="61"/>
      <c r="DR75" s="61"/>
      <c r="DS75" s="61"/>
      <c r="DT75" s="61"/>
      <c r="DU75" s="61"/>
      <c r="DV75" s="61"/>
      <c r="DW75" s="61"/>
      <c r="DX75" s="61"/>
      <c r="DY75" s="61"/>
      <c r="DZ75" s="61"/>
      <c r="EA75" s="61"/>
      <c r="EB75" s="61"/>
      <c r="EC75" s="61"/>
      <c r="ED75" s="61"/>
      <c r="EE75" s="61"/>
      <c r="EF75" s="61"/>
      <c r="EG75" s="61"/>
      <c r="EH75" s="61"/>
      <c r="EI75" s="61"/>
    </row>
    <row r="76" spans="1:139" s="62" customFormat="1" hidden="1">
      <c r="A76" s="64" t="s">
        <v>334</v>
      </c>
      <c r="B76" s="93" t="s">
        <v>2420</v>
      </c>
      <c r="C76" s="93" t="s">
        <v>1627</v>
      </c>
      <c r="D76" s="81" t="s">
        <v>2058</v>
      </c>
      <c r="E76" s="81" t="s">
        <v>2059</v>
      </c>
      <c r="F76" s="157" t="s">
        <v>2642</v>
      </c>
      <c r="G76" s="93" t="s">
        <v>2115</v>
      </c>
      <c r="H76" s="93" t="s">
        <v>166</v>
      </c>
      <c r="I76" s="93" t="s">
        <v>1604</v>
      </c>
      <c r="J76" s="93" t="s">
        <v>925</v>
      </c>
      <c r="K76" s="62" t="s">
        <v>1005</v>
      </c>
      <c r="L76" s="62" t="s">
        <v>1359</v>
      </c>
      <c r="M76" s="49" t="str">
        <f t="shared" si="4"/>
        <v>19/10/1991</v>
      </c>
      <c r="N76" s="50">
        <f t="shared" ca="1" si="6"/>
        <v>34</v>
      </c>
      <c r="O76" s="62" t="s">
        <v>988</v>
      </c>
      <c r="P76" s="62" t="s">
        <v>1345</v>
      </c>
      <c r="Q76" s="62" t="s">
        <v>1360</v>
      </c>
      <c r="S76" s="81" t="s">
        <v>2108</v>
      </c>
      <c r="T76" s="275" t="s">
        <v>2070</v>
      </c>
      <c r="U76" s="84">
        <v>46022</v>
      </c>
      <c r="V76" s="68" t="str">
        <f t="shared" si="5"/>
        <v>Willy Gichunge Maeria</v>
      </c>
      <c r="W76" s="68"/>
      <c r="X76" s="246">
        <v>46022</v>
      </c>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1"/>
      <c r="DV76" s="61"/>
      <c r="DW76" s="61"/>
      <c r="DX76" s="61"/>
      <c r="DY76" s="61"/>
      <c r="DZ76" s="61"/>
      <c r="EA76" s="61"/>
      <c r="EB76" s="61"/>
      <c r="EC76" s="61"/>
      <c r="ED76" s="61"/>
      <c r="EE76" s="61"/>
      <c r="EF76" s="61"/>
      <c r="EG76" s="61"/>
      <c r="EH76" s="61"/>
      <c r="EI76" s="61"/>
    </row>
    <row r="77" spans="1:139" s="66" customFormat="1">
      <c r="A77" s="64" t="s">
        <v>256</v>
      </c>
      <c r="B77" s="93" t="s">
        <v>2399</v>
      </c>
      <c r="C77" s="93" t="s">
        <v>1626</v>
      </c>
      <c r="D77" s="81" t="s">
        <v>415</v>
      </c>
      <c r="E77" s="81" t="s">
        <v>2091</v>
      </c>
      <c r="F77" s="277" t="s">
        <v>2641</v>
      </c>
      <c r="G77" s="93" t="s">
        <v>21</v>
      </c>
      <c r="H77" s="93" t="s">
        <v>166</v>
      </c>
      <c r="I77" s="93" t="s">
        <v>1603</v>
      </c>
      <c r="J77" s="93" t="s">
        <v>397</v>
      </c>
      <c r="K77" s="62" t="s">
        <v>1005</v>
      </c>
      <c r="L77" s="62" t="s">
        <v>1361</v>
      </c>
      <c r="M77" s="49" t="str">
        <f t="shared" si="4"/>
        <v>27/11/1988</v>
      </c>
      <c r="N77" s="50">
        <f t="shared" ca="1" si="6"/>
        <v>37</v>
      </c>
      <c r="O77" s="62" t="s">
        <v>998</v>
      </c>
      <c r="P77" s="62" t="s">
        <v>1362</v>
      </c>
      <c r="Q77" s="62" t="s">
        <v>1363</v>
      </c>
      <c r="R77" s="62" t="s">
        <v>1545</v>
      </c>
      <c r="S77" s="62"/>
      <c r="T77" s="62"/>
      <c r="U77" s="62"/>
      <c r="V77" s="61" t="str">
        <f t="shared" si="5"/>
        <v>Winfred Kanyua Mwirabua</v>
      </c>
      <c r="W77" s="61"/>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c r="CC77" s="68"/>
      <c r="CD77" s="68"/>
      <c r="CE77" s="68"/>
      <c r="CF77" s="68"/>
      <c r="CG77" s="68"/>
      <c r="CH77" s="68"/>
      <c r="CI77" s="68"/>
      <c r="CJ77" s="68"/>
      <c r="CK77" s="68"/>
      <c r="CL77" s="68"/>
      <c r="CM77" s="68"/>
      <c r="CN77" s="68"/>
      <c r="CP77" s="68"/>
      <c r="CQ77" s="68"/>
      <c r="CR77" s="68"/>
      <c r="CS77" s="68"/>
      <c r="CT77" s="68"/>
      <c r="CU77" s="68"/>
      <c r="CV77" s="68"/>
      <c r="CW77" s="68"/>
      <c r="CX77" s="68"/>
      <c r="CY77" s="68"/>
      <c r="CZ77" s="68"/>
      <c r="DA77" s="68"/>
      <c r="DB77" s="68"/>
      <c r="DC77" s="68"/>
      <c r="DD77" s="68"/>
      <c r="DE77" s="68"/>
      <c r="DF77" s="68"/>
      <c r="DG77" s="68"/>
      <c r="DH77" s="68"/>
      <c r="DI77" s="68"/>
      <c r="DJ77" s="68"/>
      <c r="DK77" s="68"/>
      <c r="DL77" s="68"/>
      <c r="DM77" s="68"/>
      <c r="DN77" s="68"/>
      <c r="DO77" s="68"/>
      <c r="DP77" s="68"/>
      <c r="DQ77" s="68"/>
      <c r="DR77" s="68"/>
      <c r="DS77" s="68"/>
      <c r="DT77" s="68"/>
      <c r="DU77" s="68"/>
      <c r="DV77" s="68"/>
      <c r="DW77" s="68"/>
      <c r="DX77" s="68"/>
      <c r="DY77" s="68"/>
      <c r="DZ77" s="68"/>
      <c r="EA77" s="68"/>
      <c r="EB77" s="68"/>
      <c r="EC77" s="68"/>
      <c r="ED77" s="68"/>
      <c r="EE77" s="68"/>
      <c r="EF77" s="68"/>
      <c r="EG77" s="68"/>
      <c r="EH77" s="68"/>
      <c r="EI77" s="68"/>
    </row>
    <row r="78" spans="1:139" s="62" customFormat="1" hidden="1">
      <c r="A78" s="64"/>
      <c r="B78" s="98" t="s">
        <v>3162</v>
      </c>
      <c r="C78" s="98" t="s">
        <v>1627</v>
      </c>
      <c r="D78" s="98"/>
      <c r="E78" s="98"/>
      <c r="F78" s="98"/>
      <c r="G78" s="173" t="s">
        <v>1581</v>
      </c>
      <c r="H78" s="98" t="s">
        <v>166</v>
      </c>
      <c r="I78" s="98" t="s">
        <v>1604</v>
      </c>
      <c r="J78" s="98" t="s">
        <v>3164</v>
      </c>
      <c r="K78" s="216">
        <v>45992</v>
      </c>
      <c r="M78" s="61"/>
      <c r="V78" s="68" t="str">
        <f t="shared" si="5"/>
        <v>Jacob Amba Opiyo</v>
      </c>
      <c r="W78" s="68"/>
      <c r="X78" s="246">
        <v>46022</v>
      </c>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row>
    <row r="79" spans="1:139" s="62" customFormat="1">
      <c r="A79" s="107" t="s">
        <v>248</v>
      </c>
      <c r="B79" s="154" t="s">
        <v>2397</v>
      </c>
      <c r="C79" s="154" t="s">
        <v>1626</v>
      </c>
      <c r="D79" s="113" t="s">
        <v>408</v>
      </c>
      <c r="E79" s="113" t="s">
        <v>2090</v>
      </c>
      <c r="F79" s="223" t="s">
        <v>2646</v>
      </c>
      <c r="G79" s="224" t="s">
        <v>407</v>
      </c>
      <c r="H79" s="154" t="s">
        <v>166</v>
      </c>
      <c r="I79" s="154" t="s">
        <v>1603</v>
      </c>
      <c r="J79" s="154" t="s">
        <v>397</v>
      </c>
      <c r="K79" s="66" t="s">
        <v>1005</v>
      </c>
      <c r="L79" s="66" t="s">
        <v>1198</v>
      </c>
      <c r="M79" s="73" t="str">
        <f>IF(L79="","",TEXT(DATEVALUE(SUBSTITUTE(SUBSTITUTE(SUBSTITUTE(SUBSTITUTE(SUBSTITUTE(L79,"st",""),"nd",""),"rd",""),"th",""),"TH","")),"dd/mm/yyyy"))</f>
        <v>24/12/1990</v>
      </c>
      <c r="N79" s="71">
        <f ca="1">IF(M79="","",DATEDIF(M79,TODAY(),"Y"))</f>
        <v>35</v>
      </c>
      <c r="O79" s="66" t="s">
        <v>988</v>
      </c>
      <c r="P79" s="66" t="s">
        <v>1508</v>
      </c>
      <c r="Q79" s="66" t="s">
        <v>1142</v>
      </c>
      <c r="R79" s="66"/>
      <c r="S79" s="66"/>
      <c r="T79" s="66"/>
      <c r="U79" s="66" t="s">
        <v>1199</v>
      </c>
      <c r="V79" s="68" t="str">
        <f t="shared" si="5"/>
        <v>Agnes Gakii Mutuma</v>
      </c>
      <c r="W79" s="68"/>
      <c r="X79" s="68"/>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c r="EA79" s="61"/>
      <c r="EB79" s="61"/>
      <c r="EC79" s="61"/>
      <c r="ED79" s="61"/>
      <c r="EE79" s="61"/>
      <c r="EF79" s="61"/>
      <c r="EG79" s="61"/>
      <c r="EH79" s="61"/>
      <c r="EI79" s="61"/>
    </row>
    <row r="80" spans="1:139" s="62" customFormat="1" hidden="1">
      <c r="A80" s="64"/>
      <c r="B80" s="109" t="s">
        <v>2439</v>
      </c>
      <c r="C80" s="109" t="s">
        <v>1627</v>
      </c>
      <c r="D80" s="174" t="s">
        <v>2687</v>
      </c>
      <c r="E80" s="109">
        <v>39400482</v>
      </c>
      <c r="F80" s="272" t="s">
        <v>2688</v>
      </c>
      <c r="G80" s="109" t="s">
        <v>1581</v>
      </c>
      <c r="H80" s="109" t="s">
        <v>166</v>
      </c>
      <c r="I80" s="109" t="s">
        <v>1604</v>
      </c>
      <c r="J80" s="109" t="s">
        <v>925</v>
      </c>
      <c r="K80" s="110" t="s">
        <v>1935</v>
      </c>
      <c r="L80" s="66" t="s">
        <v>1936</v>
      </c>
      <c r="M80" s="94">
        <v>37155</v>
      </c>
      <c r="N80" s="71"/>
      <c r="O80" s="66" t="s">
        <v>998</v>
      </c>
      <c r="P80" s="66" t="s">
        <v>2689</v>
      </c>
      <c r="Q80" s="66" t="s">
        <v>1294</v>
      </c>
      <c r="R80" s="66"/>
      <c r="S80" s="66"/>
      <c r="T80" s="66"/>
      <c r="U80" s="66"/>
      <c r="V80" s="61" t="str">
        <f t="shared" si="5"/>
        <v>Albert Mwendia Mithamo</v>
      </c>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61"/>
      <c r="DX80" s="61"/>
      <c r="DY80" s="61"/>
      <c r="DZ80" s="61"/>
      <c r="EA80" s="61"/>
      <c r="EB80" s="61"/>
      <c r="EC80" s="61"/>
      <c r="ED80" s="61"/>
      <c r="EE80" s="61"/>
      <c r="EF80" s="61"/>
      <c r="EG80" s="61"/>
      <c r="EH80" s="61"/>
      <c r="EI80" s="61"/>
    </row>
    <row r="81" spans="1:139" s="62" customFormat="1">
      <c r="A81" s="107" t="s">
        <v>31</v>
      </c>
      <c r="B81" s="154" t="s">
        <v>2338</v>
      </c>
      <c r="C81" s="154" t="s">
        <v>1626</v>
      </c>
      <c r="D81" s="113" t="s">
        <v>179</v>
      </c>
      <c r="E81" s="113">
        <v>10380471</v>
      </c>
      <c r="F81" s="223" t="s">
        <v>2667</v>
      </c>
      <c r="G81" s="154" t="s">
        <v>21</v>
      </c>
      <c r="H81" s="154" t="s">
        <v>166</v>
      </c>
      <c r="I81" s="154" t="s">
        <v>1603</v>
      </c>
      <c r="J81" s="154" t="s">
        <v>282</v>
      </c>
      <c r="K81" s="66" t="s">
        <v>1005</v>
      </c>
      <c r="L81" s="66" t="s">
        <v>1200</v>
      </c>
      <c r="M81" s="73" t="str">
        <f t="shared" ref="M81:M110" si="7">IF(L81="","",TEXT(DATEVALUE(SUBSTITUTE(SUBSTITUTE(SUBSTITUTE(SUBSTITUTE(SUBSTITUTE(L81,"st",""),"nd",""),"rd",""),"th",""),"TH","")),"dd/mm/yyyy"))</f>
        <v>15/06/1965</v>
      </c>
      <c r="N81" s="71">
        <f t="shared" ref="N81:N110" ca="1" si="8">IF(M81="","",DATEDIF(M81,TODAY(),"Y"))</f>
        <v>61</v>
      </c>
      <c r="O81" s="66" t="s">
        <v>1010</v>
      </c>
      <c r="P81" s="66" t="s">
        <v>1202</v>
      </c>
      <c r="Q81" s="66" t="s">
        <v>1203</v>
      </c>
      <c r="R81" s="67"/>
      <c r="S81" s="66"/>
      <c r="T81" s="66"/>
      <c r="U81" s="66"/>
      <c r="V81" s="68" t="str">
        <f t="shared" si="5"/>
        <v>Ann Kamami</v>
      </c>
      <c r="W81" s="68"/>
      <c r="X81" s="68"/>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1"/>
      <c r="DV81" s="61"/>
      <c r="DW81" s="61"/>
      <c r="DX81" s="61"/>
      <c r="DY81" s="61"/>
      <c r="DZ81" s="61"/>
      <c r="EA81" s="61"/>
      <c r="EB81" s="61"/>
      <c r="EC81" s="61"/>
      <c r="ED81" s="61"/>
      <c r="EE81" s="61"/>
      <c r="EF81" s="61"/>
      <c r="EG81" s="61"/>
      <c r="EH81" s="61"/>
      <c r="EI81" s="61"/>
    </row>
    <row r="82" spans="1:139" s="62" customFormat="1" hidden="1">
      <c r="A82" s="107" t="s">
        <v>173</v>
      </c>
      <c r="B82" s="154" t="s">
        <v>2339</v>
      </c>
      <c r="C82" s="154" t="s">
        <v>1627</v>
      </c>
      <c r="D82" s="113" t="s">
        <v>329</v>
      </c>
      <c r="E82" s="113">
        <v>28273408</v>
      </c>
      <c r="F82" s="223" t="s">
        <v>2668</v>
      </c>
      <c r="G82" s="154" t="s">
        <v>124</v>
      </c>
      <c r="H82" s="154" t="s">
        <v>166</v>
      </c>
      <c r="I82" s="154" t="s">
        <v>1609</v>
      </c>
      <c r="J82" s="154" t="s">
        <v>2471</v>
      </c>
      <c r="K82" s="66" t="s">
        <v>1005</v>
      </c>
      <c r="L82" s="66" t="s">
        <v>1204</v>
      </c>
      <c r="M82" s="73" t="str">
        <f t="shared" si="7"/>
        <v>28/02/1988</v>
      </c>
      <c r="N82" s="50">
        <f t="shared" ca="1" si="8"/>
        <v>38</v>
      </c>
      <c r="O82" s="66" t="s">
        <v>988</v>
      </c>
      <c r="P82" s="66" t="s">
        <v>996</v>
      </c>
      <c r="Q82" s="66" t="s">
        <v>1142</v>
      </c>
      <c r="R82" s="66"/>
      <c r="S82" s="66"/>
      <c r="T82" s="66"/>
      <c r="U82" s="66"/>
      <c r="V82" s="61" t="str">
        <f t="shared" si="5"/>
        <v>Anthony Gitonga Kailikia</v>
      </c>
      <c r="W82" s="61" t="s">
        <v>2066</v>
      </c>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61"/>
      <c r="DR82" s="61"/>
      <c r="DS82" s="61"/>
      <c r="DT82" s="61"/>
      <c r="DU82" s="61"/>
      <c r="DV82" s="61"/>
      <c r="DW82" s="61"/>
      <c r="DX82" s="61"/>
      <c r="DY82" s="61"/>
      <c r="DZ82" s="61"/>
      <c r="EA82" s="61"/>
      <c r="EB82" s="61"/>
      <c r="EC82" s="61"/>
      <c r="ED82" s="61"/>
      <c r="EE82" s="61"/>
      <c r="EF82" s="61"/>
      <c r="EG82" s="61"/>
      <c r="EH82" s="61"/>
      <c r="EI82" s="61"/>
    </row>
    <row r="83" spans="1:139" s="62" customFormat="1">
      <c r="A83" s="107" t="s">
        <v>379</v>
      </c>
      <c r="B83" s="154" t="s">
        <v>2343</v>
      </c>
      <c r="C83" s="154" t="s">
        <v>1626</v>
      </c>
      <c r="D83" s="113" t="s">
        <v>2669</v>
      </c>
      <c r="E83" s="113">
        <v>33650469</v>
      </c>
      <c r="F83" s="223" t="s">
        <v>2670</v>
      </c>
      <c r="G83" s="154" t="s">
        <v>930</v>
      </c>
      <c r="H83" s="154" t="s">
        <v>166</v>
      </c>
      <c r="I83" s="154" t="s">
        <v>1604</v>
      </c>
      <c r="J83" s="154" t="s">
        <v>955</v>
      </c>
      <c r="K83" s="66" t="s">
        <v>1028</v>
      </c>
      <c r="L83" s="66" t="s">
        <v>1209</v>
      </c>
      <c r="M83" s="73" t="str">
        <f t="shared" si="7"/>
        <v>03/03/1994</v>
      </c>
      <c r="N83" s="71">
        <f t="shared" ca="1" si="8"/>
        <v>32</v>
      </c>
      <c r="O83" s="66" t="s">
        <v>988</v>
      </c>
      <c r="P83" s="66" t="s">
        <v>1002</v>
      </c>
      <c r="Q83" s="66" t="s">
        <v>1197</v>
      </c>
      <c r="R83" s="66" t="s">
        <v>1535</v>
      </c>
      <c r="S83" s="66"/>
      <c r="T83" s="66"/>
      <c r="U83" s="66"/>
      <c r="V83" s="68" t="str">
        <f t="shared" si="5"/>
        <v>Betty Kananu Kaberia</v>
      </c>
      <c r="W83" s="68"/>
      <c r="X83" s="68"/>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61"/>
      <c r="DP83" s="61"/>
      <c r="DQ83" s="61"/>
      <c r="DR83" s="61"/>
      <c r="DS83" s="61"/>
      <c r="DT83" s="61"/>
      <c r="DU83" s="61"/>
      <c r="DV83" s="61"/>
      <c r="DW83" s="61"/>
      <c r="DX83" s="61"/>
      <c r="DY83" s="61"/>
      <c r="DZ83" s="61"/>
      <c r="EA83" s="61"/>
      <c r="EB83" s="61"/>
      <c r="EC83" s="61"/>
      <c r="ED83" s="61"/>
      <c r="EE83" s="61"/>
      <c r="EF83" s="61"/>
      <c r="EG83" s="61"/>
      <c r="EH83" s="61"/>
      <c r="EI83" s="61"/>
    </row>
    <row r="84" spans="1:139" s="62" customFormat="1">
      <c r="A84" s="107" t="s">
        <v>143</v>
      </c>
      <c r="B84" s="154" t="s">
        <v>2344</v>
      </c>
      <c r="C84" s="154" t="s">
        <v>1626</v>
      </c>
      <c r="D84" s="113" t="s">
        <v>299</v>
      </c>
      <c r="E84" s="113">
        <v>33702336</v>
      </c>
      <c r="F84" s="223" t="s">
        <v>2686</v>
      </c>
      <c r="G84" s="154" t="s">
        <v>21</v>
      </c>
      <c r="H84" s="154" t="s">
        <v>166</v>
      </c>
      <c r="I84" s="154" t="s">
        <v>1605</v>
      </c>
      <c r="J84" s="154" t="s">
        <v>328</v>
      </c>
      <c r="K84" s="66" t="s">
        <v>1005</v>
      </c>
      <c r="L84" s="66" t="s">
        <v>1210</v>
      </c>
      <c r="M84" s="73" t="str">
        <f t="shared" si="7"/>
        <v>18/02/1997</v>
      </c>
      <c r="N84" s="71">
        <f t="shared" ca="1" si="8"/>
        <v>29</v>
      </c>
      <c r="O84" s="66" t="s">
        <v>988</v>
      </c>
      <c r="P84" s="66" t="s">
        <v>1196</v>
      </c>
      <c r="Q84" s="66" t="s">
        <v>1197</v>
      </c>
      <c r="R84" s="66" t="s">
        <v>1536</v>
      </c>
      <c r="S84" s="66"/>
      <c r="T84" s="66"/>
      <c r="U84" s="66"/>
      <c r="V84" s="68" t="str">
        <f t="shared" si="5"/>
        <v>Caroline Gachui Muthee</v>
      </c>
      <c r="W84" s="68"/>
      <c r="X84" s="68"/>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61"/>
      <c r="DP84" s="61"/>
      <c r="DQ84" s="61"/>
      <c r="DR84" s="61"/>
      <c r="DS84" s="61"/>
      <c r="DT84" s="61"/>
      <c r="DU84" s="61"/>
      <c r="DV84" s="61"/>
      <c r="DW84" s="61"/>
      <c r="DX84" s="61"/>
      <c r="DY84" s="61"/>
      <c r="DZ84" s="61"/>
      <c r="EA84" s="61"/>
      <c r="EB84" s="61"/>
      <c r="EC84" s="61"/>
      <c r="ED84" s="61"/>
      <c r="EE84" s="61"/>
      <c r="EF84" s="61"/>
      <c r="EG84" s="61"/>
      <c r="EH84" s="61"/>
      <c r="EI84" s="61"/>
    </row>
    <row r="85" spans="1:139" s="62" customFormat="1" hidden="1">
      <c r="A85" s="107" t="s">
        <v>204</v>
      </c>
      <c r="B85" s="154" t="s">
        <v>2349</v>
      </c>
      <c r="C85" s="154" t="s">
        <v>1627</v>
      </c>
      <c r="D85" s="113" t="s">
        <v>362</v>
      </c>
      <c r="E85" s="113">
        <v>24602448</v>
      </c>
      <c r="F85" s="223" t="s">
        <v>2671</v>
      </c>
      <c r="G85" s="154" t="s">
        <v>83</v>
      </c>
      <c r="H85" s="154" t="s">
        <v>166</v>
      </c>
      <c r="I85" s="154" t="s">
        <v>1607</v>
      </c>
      <c r="J85" s="154" t="s">
        <v>182</v>
      </c>
      <c r="K85" s="66" t="s">
        <v>1005</v>
      </c>
      <c r="L85" s="66" t="s">
        <v>1219</v>
      </c>
      <c r="M85" s="73" t="str">
        <f t="shared" si="7"/>
        <v>24/12/1985</v>
      </c>
      <c r="N85" s="50">
        <f t="shared" ca="1" si="8"/>
        <v>40</v>
      </c>
      <c r="O85" s="66" t="s">
        <v>1010</v>
      </c>
      <c r="P85" s="66" t="s">
        <v>1220</v>
      </c>
      <c r="Q85" s="66" t="s">
        <v>1221</v>
      </c>
      <c r="R85" s="66"/>
      <c r="S85" s="66"/>
      <c r="T85" s="66"/>
      <c r="U85" s="66"/>
      <c r="V85" s="61" t="str">
        <f t="shared" si="5"/>
        <v>Davis Alucheri Jillo</v>
      </c>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P85" s="61"/>
      <c r="CQ85" s="61"/>
      <c r="CR85" s="61"/>
      <c r="CS85" s="61"/>
      <c r="CT85" s="61"/>
      <c r="CU85" s="61"/>
      <c r="CV85" s="61"/>
      <c r="CW85" s="61"/>
      <c r="CX85" s="61"/>
      <c r="CY85" s="61"/>
      <c r="CZ85" s="61"/>
      <c r="DA85" s="61"/>
      <c r="DB85" s="61"/>
      <c r="DC85" s="61"/>
      <c r="DD85" s="61"/>
      <c r="DE85" s="61"/>
      <c r="DF85" s="61"/>
      <c r="DG85" s="61"/>
      <c r="DH85" s="61"/>
      <c r="DI85" s="61"/>
      <c r="DJ85" s="61"/>
      <c r="DK85" s="61"/>
      <c r="DL85" s="61"/>
      <c r="DM85" s="61"/>
      <c r="DN85" s="61"/>
      <c r="DO85" s="61"/>
      <c r="DP85" s="61"/>
      <c r="DQ85" s="61"/>
      <c r="DR85" s="61"/>
      <c r="DS85" s="61"/>
      <c r="DT85" s="61"/>
      <c r="DU85" s="61"/>
      <c r="DV85" s="61"/>
      <c r="DW85" s="61"/>
      <c r="DX85" s="61"/>
      <c r="DY85" s="61"/>
      <c r="DZ85" s="61"/>
      <c r="EA85" s="61"/>
      <c r="EB85" s="61"/>
      <c r="EC85" s="61"/>
      <c r="ED85" s="61"/>
      <c r="EE85" s="61"/>
      <c r="EF85" s="61"/>
      <c r="EG85" s="61"/>
      <c r="EH85" s="61"/>
      <c r="EI85" s="61"/>
    </row>
    <row r="86" spans="1:139" s="62" customFormat="1" hidden="1">
      <c r="A86" s="107" t="s">
        <v>241</v>
      </c>
      <c r="B86" s="154" t="s">
        <v>2350</v>
      </c>
      <c r="C86" s="154" t="s">
        <v>1627</v>
      </c>
      <c r="D86" s="113" t="s">
        <v>401</v>
      </c>
      <c r="E86" s="113">
        <v>14590298</v>
      </c>
      <c r="F86" s="223" t="s">
        <v>2672</v>
      </c>
      <c r="G86" s="154" t="s">
        <v>21</v>
      </c>
      <c r="H86" s="154" t="s">
        <v>166</v>
      </c>
      <c r="I86" s="154" t="s">
        <v>1603</v>
      </c>
      <c r="J86" s="154" t="s">
        <v>397</v>
      </c>
      <c r="K86" s="66" t="s">
        <v>1005</v>
      </c>
      <c r="L86" s="66" t="s">
        <v>1222</v>
      </c>
      <c r="M86" s="73" t="str">
        <f t="shared" si="7"/>
        <v>27/12/1976</v>
      </c>
      <c r="N86" s="50">
        <f t="shared" ca="1" si="8"/>
        <v>49</v>
      </c>
      <c r="O86" s="66" t="s">
        <v>1010</v>
      </c>
      <c r="P86" s="66" t="s">
        <v>1223</v>
      </c>
      <c r="Q86" s="66"/>
      <c r="R86" s="66" t="s">
        <v>1538</v>
      </c>
      <c r="S86" s="66"/>
      <c r="T86" s="66"/>
      <c r="U86" s="66"/>
      <c r="V86" s="61" t="str">
        <f t="shared" si="5"/>
        <v>Dawn Okelo Awaga</v>
      </c>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61"/>
      <c r="DP86" s="61"/>
      <c r="DQ86" s="61"/>
      <c r="DR86" s="61"/>
      <c r="DS86" s="61"/>
      <c r="DT86" s="61"/>
      <c r="DU86" s="61"/>
      <c r="DV86" s="61"/>
      <c r="DW86" s="61"/>
      <c r="DX86" s="61"/>
      <c r="DY86" s="61"/>
      <c r="DZ86" s="61"/>
      <c r="EA86" s="61"/>
      <c r="EB86" s="61"/>
      <c r="EC86" s="61"/>
      <c r="ED86" s="61"/>
      <c r="EE86" s="61"/>
      <c r="EF86" s="61"/>
      <c r="EG86" s="61"/>
      <c r="EH86" s="61"/>
      <c r="EI86" s="61"/>
    </row>
    <row r="87" spans="1:139" s="62" customFormat="1">
      <c r="A87" s="107" t="s">
        <v>338</v>
      </c>
      <c r="B87" s="154" t="s">
        <v>2422</v>
      </c>
      <c r="C87" s="154" t="s">
        <v>1626</v>
      </c>
      <c r="D87" s="113" t="s">
        <v>495</v>
      </c>
      <c r="E87" s="113">
        <v>28112556</v>
      </c>
      <c r="F87" s="223" t="s">
        <v>2661</v>
      </c>
      <c r="G87" s="154" t="s">
        <v>407</v>
      </c>
      <c r="H87" s="154" t="s">
        <v>166</v>
      </c>
      <c r="I87" s="154" t="s">
        <v>1604</v>
      </c>
      <c r="J87" s="154" t="s">
        <v>1606</v>
      </c>
      <c r="K87" s="66" t="s">
        <v>1301</v>
      </c>
      <c r="L87" s="66" t="s">
        <v>1225</v>
      </c>
      <c r="M87" s="73" t="str">
        <f t="shared" si="7"/>
        <v>28/12/1988</v>
      </c>
      <c r="N87" s="71">
        <f t="shared" ca="1" si="8"/>
        <v>37</v>
      </c>
      <c r="O87" s="66" t="s">
        <v>988</v>
      </c>
      <c r="P87" s="66" t="s">
        <v>1579</v>
      </c>
      <c r="Q87" s="66" t="s">
        <v>1273</v>
      </c>
      <c r="R87" s="66"/>
      <c r="S87" s="68"/>
      <c r="T87" s="66"/>
      <c r="U87" s="66"/>
      <c r="V87" s="68" t="str">
        <f t="shared" si="5"/>
        <v>Dorcas Amatine Oranga</v>
      </c>
      <c r="W87" s="68"/>
      <c r="X87" s="68"/>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P87" s="61"/>
      <c r="CQ87" s="61"/>
      <c r="CR87" s="61"/>
      <c r="CS87" s="61"/>
      <c r="CT87" s="61"/>
      <c r="CU87" s="61"/>
      <c r="CV87" s="61"/>
      <c r="CW87" s="61"/>
      <c r="CX87" s="61"/>
      <c r="CY87" s="61"/>
      <c r="CZ87" s="61"/>
      <c r="DA87" s="61"/>
      <c r="DB87" s="61"/>
      <c r="DC87" s="61"/>
      <c r="DD87" s="61"/>
      <c r="DE87" s="61"/>
      <c r="DF87" s="61"/>
      <c r="DG87" s="61"/>
      <c r="DH87" s="61"/>
      <c r="DI87" s="61"/>
      <c r="DJ87" s="61"/>
      <c r="DK87" s="61"/>
      <c r="DL87" s="61"/>
      <c r="DM87" s="61"/>
      <c r="DN87" s="61"/>
      <c r="DO87" s="61"/>
      <c r="DP87" s="61"/>
      <c r="DQ87" s="61"/>
      <c r="DR87" s="61"/>
      <c r="DS87" s="61"/>
      <c r="DT87" s="61"/>
      <c r="DU87" s="61"/>
      <c r="DV87" s="61"/>
      <c r="DW87" s="61"/>
      <c r="DX87" s="61"/>
      <c r="DY87" s="61"/>
      <c r="DZ87" s="61"/>
      <c r="EA87" s="61"/>
      <c r="EB87" s="61"/>
      <c r="EC87" s="61"/>
      <c r="ED87" s="61"/>
      <c r="EE87" s="61"/>
      <c r="EF87" s="61"/>
      <c r="EG87" s="61"/>
      <c r="EH87" s="61"/>
      <c r="EI87" s="61"/>
    </row>
    <row r="88" spans="1:139" s="66" customFormat="1">
      <c r="A88" s="107" t="s">
        <v>308</v>
      </c>
      <c r="B88" s="154" t="s">
        <v>2360</v>
      </c>
      <c r="C88" s="154" t="s">
        <v>1626</v>
      </c>
      <c r="D88" s="113" t="s">
        <v>2673</v>
      </c>
      <c r="E88" s="113">
        <v>31542086</v>
      </c>
      <c r="F88" s="223" t="s">
        <v>2674</v>
      </c>
      <c r="G88" s="154" t="s">
        <v>21</v>
      </c>
      <c r="H88" s="154" t="s">
        <v>166</v>
      </c>
      <c r="I88" s="154" t="s">
        <v>1601</v>
      </c>
      <c r="J88" s="154" t="s">
        <v>393</v>
      </c>
      <c r="K88" s="66" t="s">
        <v>1005</v>
      </c>
      <c r="L88" s="66" t="s">
        <v>1240</v>
      </c>
      <c r="M88" s="73" t="str">
        <f t="shared" si="7"/>
        <v>14/04/1993</v>
      </c>
      <c r="N88" s="71">
        <f t="shared" ca="1" si="8"/>
        <v>33</v>
      </c>
      <c r="O88" s="66" t="s">
        <v>988</v>
      </c>
      <c r="P88" s="66" t="s">
        <v>1241</v>
      </c>
      <c r="Q88" s="66" t="s">
        <v>1242</v>
      </c>
      <c r="R88" s="66" t="s">
        <v>1539</v>
      </c>
      <c r="V88" s="68" t="str">
        <f t="shared" si="5"/>
        <v>Everline Nyatichi Nyagwoka</v>
      </c>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c r="BO88" s="68"/>
      <c r="BP88" s="68"/>
      <c r="BQ88" s="68"/>
      <c r="BR88" s="68"/>
      <c r="BS88" s="68"/>
      <c r="BT88" s="68"/>
      <c r="BU88" s="68"/>
      <c r="BV88" s="68"/>
      <c r="BW88" s="68"/>
      <c r="BX88" s="68"/>
      <c r="BY88" s="68"/>
      <c r="BZ88" s="68"/>
      <c r="CA88" s="68"/>
      <c r="CB88" s="68"/>
      <c r="CC88" s="68"/>
      <c r="CD88" s="68"/>
      <c r="CE88" s="68"/>
      <c r="CF88" s="68"/>
      <c r="CG88" s="68"/>
      <c r="CH88" s="68"/>
      <c r="CI88" s="68"/>
      <c r="CJ88" s="68"/>
      <c r="CK88" s="68"/>
      <c r="CL88" s="68"/>
      <c r="CM88" s="68"/>
      <c r="CN88" s="68"/>
      <c r="CP88" s="68"/>
      <c r="CQ88" s="68"/>
      <c r="CR88" s="68"/>
      <c r="CS88" s="68"/>
      <c r="CT88" s="68"/>
      <c r="CU88" s="68"/>
      <c r="CV88" s="68"/>
      <c r="CW88" s="68"/>
      <c r="CX88" s="68"/>
      <c r="CY88" s="68"/>
      <c r="CZ88" s="68"/>
      <c r="DA88" s="68"/>
      <c r="DB88" s="68"/>
      <c r="DC88" s="68"/>
      <c r="DD88" s="68"/>
      <c r="DE88" s="68"/>
      <c r="DF88" s="68"/>
      <c r="DG88" s="68"/>
      <c r="DH88" s="68"/>
      <c r="DI88" s="68"/>
      <c r="DJ88" s="68"/>
      <c r="DK88" s="68"/>
      <c r="DL88" s="68"/>
      <c r="DM88" s="68"/>
      <c r="DN88" s="68"/>
      <c r="DO88" s="68"/>
      <c r="DP88" s="68"/>
      <c r="DQ88" s="68"/>
      <c r="DR88" s="68"/>
      <c r="DS88" s="68"/>
      <c r="DT88" s="68"/>
      <c r="DU88" s="68"/>
      <c r="DV88" s="68"/>
      <c r="DW88" s="68"/>
      <c r="DX88" s="68"/>
      <c r="DY88" s="68"/>
      <c r="DZ88" s="68"/>
      <c r="EA88" s="68"/>
      <c r="EB88" s="68"/>
      <c r="EC88" s="68"/>
      <c r="ED88" s="68"/>
      <c r="EE88" s="68"/>
      <c r="EF88" s="68"/>
      <c r="EG88" s="68"/>
      <c r="EH88" s="68"/>
      <c r="EI88" s="68"/>
    </row>
    <row r="89" spans="1:139" s="62" customFormat="1">
      <c r="A89" s="107" t="s">
        <v>57</v>
      </c>
      <c r="B89" s="154" t="s">
        <v>2365</v>
      </c>
      <c r="C89" s="154" t="s">
        <v>1626</v>
      </c>
      <c r="D89" s="113" t="s">
        <v>203</v>
      </c>
      <c r="E89" s="113">
        <v>32560574</v>
      </c>
      <c r="F89" s="223" t="s">
        <v>2676</v>
      </c>
      <c r="G89" s="154" t="s">
        <v>21</v>
      </c>
      <c r="H89" s="154" t="s">
        <v>166</v>
      </c>
      <c r="I89" s="154" t="s">
        <v>1603</v>
      </c>
      <c r="J89" s="154" t="s">
        <v>2116</v>
      </c>
      <c r="K89" s="66" t="s">
        <v>1005</v>
      </c>
      <c r="L89" s="66" t="s">
        <v>1249</v>
      </c>
      <c r="M89" s="73" t="str">
        <f t="shared" si="7"/>
        <v>21/09/1993</v>
      </c>
      <c r="N89" s="71">
        <f t="shared" ca="1" si="8"/>
        <v>32</v>
      </c>
      <c r="O89" s="66" t="s">
        <v>988</v>
      </c>
      <c r="P89" s="66" t="s">
        <v>1184</v>
      </c>
      <c r="Q89" s="66" t="s">
        <v>1197</v>
      </c>
      <c r="R89" s="66" t="s">
        <v>1501</v>
      </c>
      <c r="S89" s="66"/>
      <c r="T89" s="66"/>
      <c r="U89" s="66"/>
      <c r="V89" s="68" t="str">
        <f t="shared" si="5"/>
        <v>Fridah Kinya</v>
      </c>
      <c r="W89" s="68"/>
      <c r="X89" s="68"/>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P89" s="61"/>
      <c r="CQ89" s="61"/>
      <c r="CR89" s="61"/>
      <c r="CS89" s="61"/>
      <c r="CT89" s="61"/>
      <c r="CU89" s="61"/>
      <c r="CV89" s="61"/>
      <c r="CW89" s="61"/>
      <c r="CX89" s="61"/>
      <c r="CY89" s="61"/>
      <c r="CZ89" s="61"/>
      <c r="DA89" s="61"/>
      <c r="DB89" s="61"/>
      <c r="DC89" s="61"/>
      <c r="DD89" s="61"/>
      <c r="DE89" s="61"/>
      <c r="DF89" s="61"/>
      <c r="DG89" s="61"/>
      <c r="DH89" s="61"/>
      <c r="DI89" s="61"/>
      <c r="DJ89" s="61"/>
      <c r="DK89" s="61"/>
      <c r="DL89" s="61"/>
      <c r="DM89" s="61"/>
      <c r="DN89" s="61"/>
      <c r="DO89" s="61"/>
      <c r="DP89" s="61"/>
      <c r="DQ89" s="61"/>
      <c r="DR89" s="61"/>
      <c r="DS89" s="61"/>
      <c r="DT89" s="61"/>
      <c r="DU89" s="61"/>
      <c r="DV89" s="61"/>
      <c r="DW89" s="61"/>
      <c r="DX89" s="61"/>
      <c r="DY89" s="61"/>
      <c r="DZ89" s="61"/>
      <c r="EA89" s="61"/>
      <c r="EB89" s="61"/>
      <c r="EC89" s="61"/>
      <c r="ED89" s="61"/>
      <c r="EE89" s="61"/>
      <c r="EF89" s="61"/>
      <c r="EG89" s="61"/>
      <c r="EH89" s="61"/>
      <c r="EI89" s="61"/>
    </row>
    <row r="90" spans="1:139" s="62" customFormat="1" hidden="1">
      <c r="A90" s="107" t="s">
        <v>180</v>
      </c>
      <c r="B90" s="154" t="s">
        <v>2373</v>
      </c>
      <c r="C90" s="154" t="s">
        <v>1627</v>
      </c>
      <c r="D90" s="113" t="s">
        <v>337</v>
      </c>
      <c r="E90" s="113">
        <v>32980865</v>
      </c>
      <c r="F90" s="223" t="s">
        <v>2585</v>
      </c>
      <c r="G90" s="154" t="s">
        <v>124</v>
      </c>
      <c r="H90" s="154" t="s">
        <v>166</v>
      </c>
      <c r="I90" s="154" t="s">
        <v>1608</v>
      </c>
      <c r="J90" s="154" t="s">
        <v>427</v>
      </c>
      <c r="K90" s="66" t="s">
        <v>1005</v>
      </c>
      <c r="L90" s="66" t="s">
        <v>1259</v>
      </c>
      <c r="M90" s="73" t="str">
        <f t="shared" si="7"/>
        <v>21/06/1996</v>
      </c>
      <c r="N90" s="71">
        <f t="shared" ca="1" si="8"/>
        <v>30</v>
      </c>
      <c r="O90" s="66" t="s">
        <v>988</v>
      </c>
      <c r="P90" s="66" t="s">
        <v>996</v>
      </c>
      <c r="Q90" s="66" t="s">
        <v>1013</v>
      </c>
      <c r="R90" s="66"/>
      <c r="S90" s="66" t="s">
        <v>2110</v>
      </c>
      <c r="T90" s="66"/>
      <c r="U90" s="66"/>
      <c r="V90" s="61" t="str">
        <f t="shared" si="5"/>
        <v>Godfrey Munoru Meme</v>
      </c>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61"/>
      <c r="DR90" s="61"/>
      <c r="DS90" s="61"/>
      <c r="DT90" s="61"/>
      <c r="DU90" s="61"/>
      <c r="DV90" s="61"/>
      <c r="DW90" s="61"/>
      <c r="DX90" s="61"/>
      <c r="DY90" s="61"/>
      <c r="DZ90" s="61"/>
      <c r="EA90" s="61"/>
      <c r="EB90" s="61"/>
      <c r="EC90" s="61"/>
      <c r="ED90" s="61"/>
      <c r="EE90" s="61"/>
      <c r="EF90" s="61"/>
      <c r="EG90" s="61"/>
      <c r="EH90" s="61"/>
      <c r="EI90" s="61"/>
    </row>
    <row r="91" spans="1:139" s="62" customFormat="1">
      <c r="A91" s="107" t="s">
        <v>300</v>
      </c>
      <c r="B91" s="154" t="s">
        <v>2374</v>
      </c>
      <c r="C91" s="154" t="s">
        <v>1626</v>
      </c>
      <c r="D91" s="113" t="s">
        <v>456</v>
      </c>
      <c r="E91" s="113">
        <v>30441455</v>
      </c>
      <c r="F91" s="223" t="s">
        <v>2675</v>
      </c>
      <c r="G91" s="154" t="s">
        <v>21</v>
      </c>
      <c r="H91" s="154" t="s">
        <v>166</v>
      </c>
      <c r="I91" s="154" t="s">
        <v>1612</v>
      </c>
      <c r="J91" s="154" t="s">
        <v>455</v>
      </c>
      <c r="K91" s="66" t="s">
        <v>1005</v>
      </c>
      <c r="L91" s="66" t="s">
        <v>1261</v>
      </c>
      <c r="M91" s="73" t="str">
        <f t="shared" si="7"/>
        <v>02/05/1993</v>
      </c>
      <c r="N91" s="71">
        <f t="shared" ca="1" si="8"/>
        <v>33</v>
      </c>
      <c r="O91" s="66" t="s">
        <v>988</v>
      </c>
      <c r="P91" s="66" t="s">
        <v>1260</v>
      </c>
      <c r="Q91" s="66" t="s">
        <v>1155</v>
      </c>
      <c r="R91" s="66" t="s">
        <v>1540</v>
      </c>
      <c r="S91" s="66"/>
      <c r="T91" s="66"/>
      <c r="U91" s="66"/>
      <c r="V91" s="68" t="str">
        <f t="shared" si="5"/>
        <v>Grace Kinya</v>
      </c>
      <c r="W91" s="68"/>
      <c r="X91" s="246">
        <v>46022</v>
      </c>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61"/>
      <c r="DP91" s="61"/>
      <c r="DQ91" s="61"/>
      <c r="DR91" s="61"/>
      <c r="DS91" s="61"/>
      <c r="DT91" s="61"/>
      <c r="DU91" s="61"/>
      <c r="DV91" s="61"/>
      <c r="DW91" s="61"/>
      <c r="DX91" s="61"/>
      <c r="DY91" s="61"/>
      <c r="DZ91" s="61"/>
      <c r="EA91" s="61"/>
      <c r="EB91" s="61"/>
      <c r="EC91" s="61"/>
      <c r="ED91" s="61"/>
      <c r="EE91" s="61"/>
      <c r="EF91" s="61"/>
      <c r="EG91" s="61"/>
      <c r="EH91" s="61"/>
      <c r="EI91" s="61"/>
    </row>
    <row r="92" spans="1:139" s="62" customFormat="1">
      <c r="A92" s="107" t="s">
        <v>71</v>
      </c>
      <c r="B92" s="154" t="s">
        <v>2379</v>
      </c>
      <c r="C92" s="154" t="s">
        <v>1626</v>
      </c>
      <c r="D92" s="113" t="s">
        <v>218</v>
      </c>
      <c r="E92" s="113">
        <v>27415726</v>
      </c>
      <c r="F92" s="223" t="s">
        <v>2677</v>
      </c>
      <c r="G92" s="154" t="s">
        <v>21</v>
      </c>
      <c r="H92" s="154" t="s">
        <v>166</v>
      </c>
      <c r="I92" s="154" t="s">
        <v>1609</v>
      </c>
      <c r="J92" s="154" t="s">
        <v>914</v>
      </c>
      <c r="K92" s="66" t="s">
        <v>1005</v>
      </c>
      <c r="L92" s="66" t="s">
        <v>1205</v>
      </c>
      <c r="M92" s="73" t="str">
        <f t="shared" si="7"/>
        <v>01/01/1988</v>
      </c>
      <c r="N92" s="71">
        <f t="shared" ca="1" si="8"/>
        <v>38</v>
      </c>
      <c r="O92" s="66" t="s">
        <v>1010</v>
      </c>
      <c r="P92" s="66" t="s">
        <v>1542</v>
      </c>
      <c r="Q92" s="66"/>
      <c r="R92" s="66" t="s">
        <v>1539</v>
      </c>
      <c r="S92" s="66"/>
      <c r="T92" s="66"/>
      <c r="U92" s="66"/>
      <c r="V92" s="68" t="str">
        <f t="shared" si="5"/>
        <v>Jacinta Kanario Mpekethu</v>
      </c>
      <c r="W92" s="68"/>
      <c r="X92" s="68"/>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61"/>
      <c r="DP92" s="61"/>
      <c r="DQ92" s="61"/>
      <c r="DR92" s="61"/>
      <c r="DS92" s="61"/>
      <c r="DT92" s="61"/>
      <c r="DU92" s="61"/>
      <c r="DV92" s="61"/>
      <c r="DW92" s="61"/>
      <c r="DX92" s="61"/>
      <c r="DY92" s="61"/>
      <c r="DZ92" s="61"/>
      <c r="EA92" s="61"/>
      <c r="EB92" s="61"/>
      <c r="EC92" s="61"/>
      <c r="ED92" s="61"/>
      <c r="EE92" s="61"/>
      <c r="EF92" s="61"/>
      <c r="EG92" s="61"/>
      <c r="EH92" s="61"/>
      <c r="EI92" s="61"/>
    </row>
    <row r="93" spans="1:139" s="62" customFormat="1">
      <c r="A93" s="107" t="s">
        <v>74</v>
      </c>
      <c r="B93" s="154" t="s">
        <v>2381</v>
      </c>
      <c r="C93" s="154" t="s">
        <v>1626</v>
      </c>
      <c r="D93" s="113" t="s">
        <v>221</v>
      </c>
      <c r="E93" s="113">
        <v>26486770</v>
      </c>
      <c r="F93" s="223" t="s">
        <v>2678</v>
      </c>
      <c r="G93" s="154" t="s">
        <v>21</v>
      </c>
      <c r="H93" s="154" t="s">
        <v>166</v>
      </c>
      <c r="I93" s="154" t="s">
        <v>1604</v>
      </c>
      <c r="J93" s="154" t="s">
        <v>925</v>
      </c>
      <c r="K93" s="66" t="s">
        <v>1005</v>
      </c>
      <c r="L93" s="66" t="s">
        <v>1268</v>
      </c>
      <c r="M93" s="73" t="str">
        <f t="shared" si="7"/>
        <v>20/02/1986</v>
      </c>
      <c r="N93" s="71">
        <f t="shared" ca="1" si="8"/>
        <v>40</v>
      </c>
      <c r="O93" s="66" t="s">
        <v>988</v>
      </c>
      <c r="P93" s="66" t="s">
        <v>1002</v>
      </c>
      <c r="Q93" s="66" t="s">
        <v>1269</v>
      </c>
      <c r="R93" s="66"/>
      <c r="S93" s="113" t="s">
        <v>2111</v>
      </c>
      <c r="T93" s="113" t="s">
        <v>2040</v>
      </c>
      <c r="U93" s="191">
        <v>46281</v>
      </c>
      <c r="V93" s="68" t="str">
        <f t="shared" si="5"/>
        <v xml:space="preserve">Jackline Jerotich Cheptum </v>
      </c>
      <c r="W93" s="68"/>
      <c r="X93" s="68"/>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61"/>
      <c r="DP93" s="61"/>
      <c r="DQ93" s="61"/>
      <c r="DR93" s="61"/>
      <c r="DS93" s="61"/>
      <c r="DT93" s="61"/>
      <c r="DU93" s="61"/>
      <c r="DV93" s="61"/>
      <c r="DW93" s="61"/>
      <c r="DX93" s="61"/>
      <c r="DY93" s="61"/>
      <c r="DZ93" s="61"/>
      <c r="EA93" s="61"/>
      <c r="EB93" s="61"/>
      <c r="EC93" s="61"/>
      <c r="ED93" s="61"/>
      <c r="EE93" s="61"/>
      <c r="EF93" s="61"/>
      <c r="EG93" s="61"/>
      <c r="EH93" s="61"/>
      <c r="EI93" s="61"/>
    </row>
    <row r="94" spans="1:139" s="62" customFormat="1" hidden="1">
      <c r="A94" s="107" t="s">
        <v>101</v>
      </c>
      <c r="B94" s="154" t="s">
        <v>2382</v>
      </c>
      <c r="C94" s="154" t="s">
        <v>1627</v>
      </c>
      <c r="D94" s="113" t="s">
        <v>247</v>
      </c>
      <c r="E94" s="113">
        <v>13182463</v>
      </c>
      <c r="F94" s="223" t="s">
        <v>2679</v>
      </c>
      <c r="G94" s="154" t="s">
        <v>21</v>
      </c>
      <c r="H94" s="154" t="s">
        <v>166</v>
      </c>
      <c r="I94" s="154" t="s">
        <v>1609</v>
      </c>
      <c r="J94" s="154" t="s">
        <v>2471</v>
      </c>
      <c r="K94" s="66" t="s">
        <v>1005</v>
      </c>
      <c r="L94" s="66" t="s">
        <v>1270</v>
      </c>
      <c r="M94" s="73" t="str">
        <f t="shared" si="7"/>
        <v>31/03/1974</v>
      </c>
      <c r="N94" s="50">
        <f t="shared" ca="1" si="8"/>
        <v>52</v>
      </c>
      <c r="O94" s="66" t="s">
        <v>1010</v>
      </c>
      <c r="P94" s="66" t="s">
        <v>1271</v>
      </c>
      <c r="Q94" s="66"/>
      <c r="R94" s="66"/>
      <c r="S94" s="81"/>
      <c r="T94" s="83"/>
      <c r="U94" s="84"/>
      <c r="V94" s="61" t="str">
        <f t="shared" si="5"/>
        <v xml:space="preserve">James Njagi Rutere </v>
      </c>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P94" s="61"/>
      <c r="CQ94" s="61"/>
      <c r="CR94" s="61"/>
      <c r="CS94" s="61"/>
      <c r="CT94" s="61"/>
      <c r="CU94" s="61"/>
      <c r="CV94" s="61"/>
      <c r="CW94" s="61"/>
      <c r="CX94" s="61"/>
      <c r="CY94" s="61"/>
      <c r="CZ94" s="61"/>
      <c r="DA94" s="61"/>
      <c r="DB94" s="61"/>
      <c r="DC94" s="61"/>
      <c r="DD94" s="61"/>
      <c r="DE94" s="61"/>
      <c r="DF94" s="61"/>
      <c r="DG94" s="61"/>
      <c r="DH94" s="61"/>
      <c r="DI94" s="61"/>
      <c r="DJ94" s="61"/>
      <c r="DK94" s="61"/>
      <c r="DL94" s="61"/>
      <c r="DM94" s="61"/>
      <c r="DN94" s="61"/>
      <c r="DO94" s="61"/>
      <c r="DP94" s="61"/>
      <c r="DQ94" s="61"/>
      <c r="DR94" s="61"/>
      <c r="DS94" s="61"/>
      <c r="DT94" s="61"/>
      <c r="DU94" s="61"/>
      <c r="DV94" s="61"/>
      <c r="DW94" s="61"/>
      <c r="DX94" s="61"/>
      <c r="DY94" s="61"/>
      <c r="DZ94" s="61"/>
      <c r="EA94" s="61"/>
      <c r="EB94" s="61"/>
      <c r="EC94" s="61"/>
      <c r="ED94" s="61"/>
      <c r="EE94" s="61"/>
      <c r="EF94" s="61"/>
      <c r="EG94" s="61"/>
      <c r="EH94" s="61"/>
      <c r="EI94" s="61"/>
    </row>
    <row r="95" spans="1:139" s="62" customFormat="1">
      <c r="A95" s="107" t="s">
        <v>81</v>
      </c>
      <c r="B95" s="154" t="s">
        <v>2384</v>
      </c>
      <c r="C95" s="154" t="s">
        <v>1626</v>
      </c>
      <c r="D95" s="113" t="s">
        <v>228</v>
      </c>
      <c r="E95" s="113">
        <v>14648413</v>
      </c>
      <c r="F95" s="223" t="s">
        <v>2680</v>
      </c>
      <c r="G95" s="154" t="s">
        <v>21</v>
      </c>
      <c r="H95" s="154" t="s">
        <v>166</v>
      </c>
      <c r="I95" s="154" t="s">
        <v>1602</v>
      </c>
      <c r="J95" s="154" t="s">
        <v>2473</v>
      </c>
      <c r="K95" s="66" t="s">
        <v>1005</v>
      </c>
      <c r="L95" s="66" t="s">
        <v>1274</v>
      </c>
      <c r="M95" s="73" t="str">
        <f t="shared" si="7"/>
        <v>31/12/1972</v>
      </c>
      <c r="N95" s="71">
        <f t="shared" ca="1" si="8"/>
        <v>53</v>
      </c>
      <c r="O95" s="66" t="s">
        <v>988</v>
      </c>
      <c r="P95" s="66" t="s">
        <v>1002</v>
      </c>
      <c r="Q95" s="66"/>
      <c r="R95" s="66" t="s">
        <v>1539</v>
      </c>
      <c r="S95" s="66"/>
      <c r="T95" s="66"/>
      <c r="U95" s="66"/>
      <c r="V95" s="68" t="str">
        <f t="shared" si="5"/>
        <v>Jeniffer Mwihaki Migwi</v>
      </c>
      <c r="W95" s="68"/>
      <c r="X95" s="68"/>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P95" s="61"/>
      <c r="CQ95" s="61"/>
      <c r="CR95" s="61"/>
      <c r="CS95" s="61"/>
      <c r="CT95" s="61"/>
      <c r="CU95" s="61"/>
      <c r="CV95" s="61"/>
      <c r="CW95" s="61"/>
      <c r="CX95" s="61"/>
      <c r="CY95" s="61"/>
      <c r="CZ95" s="61"/>
      <c r="DA95" s="61"/>
      <c r="DB95" s="61"/>
      <c r="DC95" s="61"/>
      <c r="DD95" s="61"/>
      <c r="DE95" s="61"/>
      <c r="DF95" s="61"/>
      <c r="DG95" s="61"/>
      <c r="DH95" s="61"/>
      <c r="DI95" s="61"/>
      <c r="DJ95" s="61"/>
      <c r="DK95" s="61"/>
      <c r="DL95" s="61"/>
      <c r="DM95" s="61"/>
      <c r="DN95" s="61"/>
      <c r="DO95" s="61"/>
      <c r="DP95" s="61"/>
      <c r="DQ95" s="61"/>
      <c r="DR95" s="61"/>
      <c r="DS95" s="61"/>
      <c r="DT95" s="61"/>
      <c r="DU95" s="61"/>
      <c r="DV95" s="61"/>
      <c r="DW95" s="61"/>
      <c r="DX95" s="61"/>
      <c r="DY95" s="61"/>
      <c r="DZ95" s="61"/>
      <c r="EA95" s="61"/>
      <c r="EB95" s="61"/>
      <c r="EC95" s="61"/>
      <c r="ED95" s="61"/>
      <c r="EE95" s="61"/>
      <c r="EF95" s="61"/>
      <c r="EG95" s="61"/>
      <c r="EH95" s="61"/>
      <c r="EI95" s="61"/>
    </row>
    <row r="96" spans="1:139" s="62" customFormat="1">
      <c r="A96" s="107" t="s">
        <v>85</v>
      </c>
      <c r="B96" s="154" t="s">
        <v>2386</v>
      </c>
      <c r="C96" s="154" t="s">
        <v>1626</v>
      </c>
      <c r="D96" s="113" t="s">
        <v>232</v>
      </c>
      <c r="E96" s="113">
        <v>24307379</v>
      </c>
      <c r="F96" s="223" t="s">
        <v>2681</v>
      </c>
      <c r="G96" s="154" t="s">
        <v>21</v>
      </c>
      <c r="H96" s="154" t="s">
        <v>166</v>
      </c>
      <c r="I96" s="154" t="s">
        <v>1600</v>
      </c>
      <c r="J96" s="154" t="s">
        <v>290</v>
      </c>
      <c r="K96" s="66" t="s">
        <v>1005</v>
      </c>
      <c r="L96" s="66" t="s">
        <v>1276</v>
      </c>
      <c r="M96" s="73" t="str">
        <f t="shared" si="7"/>
        <v>11/10/1983</v>
      </c>
      <c r="N96" s="71">
        <f t="shared" ca="1" si="8"/>
        <v>42</v>
      </c>
      <c r="O96" s="66" t="s">
        <v>988</v>
      </c>
      <c r="P96" s="66" t="s">
        <v>1277</v>
      </c>
      <c r="Q96" s="66" t="s">
        <v>1278</v>
      </c>
      <c r="R96" s="66" t="s">
        <v>1543</v>
      </c>
      <c r="S96" s="66"/>
      <c r="T96" s="66"/>
      <c r="U96" s="66"/>
      <c r="V96" s="68" t="str">
        <f t="shared" si="5"/>
        <v>Joy Gatugi</v>
      </c>
      <c r="W96" s="68"/>
      <c r="X96" s="68"/>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P96" s="61"/>
      <c r="CQ96" s="61"/>
      <c r="CR96" s="61"/>
      <c r="CS96" s="61"/>
      <c r="CT96" s="61"/>
      <c r="CU96" s="61"/>
      <c r="CV96" s="61"/>
      <c r="CW96" s="61"/>
      <c r="CX96" s="61"/>
      <c r="CY96" s="61"/>
      <c r="CZ96" s="61"/>
      <c r="DA96" s="61"/>
      <c r="DB96" s="61"/>
      <c r="DC96" s="61"/>
      <c r="DD96" s="61"/>
      <c r="DE96" s="61"/>
      <c r="DF96" s="61"/>
      <c r="DG96" s="61"/>
      <c r="DH96" s="61"/>
      <c r="DI96" s="61"/>
      <c r="DJ96" s="61"/>
      <c r="DK96" s="61"/>
      <c r="DL96" s="61"/>
      <c r="DM96" s="61"/>
      <c r="DN96" s="61"/>
      <c r="DO96" s="61"/>
      <c r="DP96" s="61"/>
      <c r="DQ96" s="61"/>
      <c r="DR96" s="61"/>
      <c r="DS96" s="61"/>
      <c r="DT96" s="61"/>
      <c r="DU96" s="61"/>
      <c r="DV96" s="61"/>
      <c r="DW96" s="61"/>
      <c r="DX96" s="61"/>
      <c r="DY96" s="61"/>
      <c r="DZ96" s="61"/>
      <c r="EA96" s="61"/>
      <c r="EB96" s="61"/>
      <c r="EC96" s="61"/>
      <c r="ED96" s="61"/>
      <c r="EE96" s="61"/>
      <c r="EF96" s="61"/>
      <c r="EG96" s="61"/>
      <c r="EH96" s="61"/>
      <c r="EI96" s="61"/>
    </row>
    <row r="97" spans="1:139" s="66" customFormat="1">
      <c r="A97" s="107" t="s">
        <v>375</v>
      </c>
      <c r="B97" s="154" t="s">
        <v>2388</v>
      </c>
      <c r="C97" s="154" t="s">
        <v>1626</v>
      </c>
      <c r="D97" s="113" t="s">
        <v>2682</v>
      </c>
      <c r="E97" s="113">
        <v>32163108</v>
      </c>
      <c r="F97" s="223" t="s">
        <v>2683</v>
      </c>
      <c r="G97" s="154" t="s">
        <v>928</v>
      </c>
      <c r="H97" s="154" t="s">
        <v>166</v>
      </c>
      <c r="I97" s="154" t="s">
        <v>1602</v>
      </c>
      <c r="J97" s="154" t="s">
        <v>920</v>
      </c>
      <c r="K97" s="66" t="s">
        <v>1028</v>
      </c>
      <c r="L97" s="66" t="s">
        <v>1281</v>
      </c>
      <c r="M97" s="73" t="str">
        <f t="shared" si="7"/>
        <v>01/01/1995</v>
      </c>
      <c r="N97" s="71">
        <f t="shared" ca="1" si="8"/>
        <v>31</v>
      </c>
      <c r="O97" s="66" t="s">
        <v>988</v>
      </c>
      <c r="P97" s="66" t="s">
        <v>1282</v>
      </c>
      <c r="Q97" s="66" t="s">
        <v>1197</v>
      </c>
      <c r="R97" s="66" t="s">
        <v>1539</v>
      </c>
      <c r="V97" s="68" t="str">
        <f t="shared" si="5"/>
        <v>Joy Koreta Meme</v>
      </c>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c r="BT97" s="68"/>
      <c r="BU97" s="68"/>
      <c r="BV97" s="68"/>
      <c r="BW97" s="68"/>
      <c r="BX97" s="68"/>
      <c r="BY97" s="68"/>
      <c r="BZ97" s="68"/>
      <c r="CA97" s="68"/>
      <c r="CB97" s="68"/>
      <c r="CC97" s="68"/>
      <c r="CD97" s="68"/>
      <c r="CE97" s="68"/>
      <c r="CF97" s="68"/>
      <c r="CG97" s="68"/>
      <c r="CH97" s="68"/>
      <c r="CI97" s="68"/>
      <c r="CJ97" s="68"/>
      <c r="CK97" s="68"/>
      <c r="CL97" s="68"/>
      <c r="CM97" s="68"/>
      <c r="CN97" s="68"/>
      <c r="CP97" s="68"/>
      <c r="CQ97" s="68"/>
      <c r="CR97" s="68"/>
      <c r="CS97" s="68"/>
      <c r="CT97" s="68"/>
      <c r="CU97" s="68"/>
      <c r="CV97" s="68"/>
      <c r="CW97" s="68"/>
      <c r="CX97" s="68"/>
      <c r="CY97" s="68"/>
      <c r="CZ97" s="68"/>
      <c r="DA97" s="68"/>
      <c r="DB97" s="68"/>
      <c r="DC97" s="68"/>
      <c r="DD97" s="68"/>
      <c r="DE97" s="68"/>
      <c r="DF97" s="68"/>
      <c r="DG97" s="68"/>
      <c r="DH97" s="68"/>
      <c r="DI97" s="68"/>
      <c r="DJ97" s="68"/>
      <c r="DK97" s="68"/>
      <c r="DL97" s="68"/>
      <c r="DM97" s="68"/>
      <c r="DN97" s="68"/>
      <c r="DO97" s="68"/>
      <c r="DP97" s="68"/>
      <c r="DQ97" s="68"/>
      <c r="DR97" s="68"/>
      <c r="DS97" s="68"/>
      <c r="DT97" s="68"/>
      <c r="DU97" s="68"/>
      <c r="DV97" s="68"/>
      <c r="DW97" s="68"/>
      <c r="DX97" s="68"/>
      <c r="DY97" s="68"/>
      <c r="DZ97" s="68"/>
      <c r="EA97" s="68"/>
      <c r="EB97" s="68"/>
      <c r="EC97" s="68"/>
      <c r="ED97" s="68"/>
      <c r="EE97" s="68"/>
      <c r="EF97" s="68"/>
      <c r="EG97" s="68"/>
      <c r="EH97" s="68"/>
      <c r="EI97" s="68"/>
    </row>
    <row r="98" spans="1:139" s="62" customFormat="1">
      <c r="A98" s="107" t="s">
        <v>387</v>
      </c>
      <c r="B98" s="154" t="s">
        <v>2341</v>
      </c>
      <c r="C98" s="154" t="s">
        <v>1626</v>
      </c>
      <c r="D98" s="113" t="s">
        <v>2595</v>
      </c>
      <c r="E98" s="113" t="s">
        <v>2085</v>
      </c>
      <c r="F98" s="223" t="s">
        <v>2596</v>
      </c>
      <c r="G98" s="154" t="s">
        <v>407</v>
      </c>
      <c r="H98" s="154" t="s">
        <v>166</v>
      </c>
      <c r="I98" s="154" t="s">
        <v>1604</v>
      </c>
      <c r="J98" s="154" t="s">
        <v>266</v>
      </c>
      <c r="K98" s="66" t="s">
        <v>2156</v>
      </c>
      <c r="L98" s="66" t="s">
        <v>1283</v>
      </c>
      <c r="M98" s="73" t="str">
        <f t="shared" si="7"/>
        <v>23/05/1989</v>
      </c>
      <c r="N98" s="71">
        <f t="shared" ca="1" si="8"/>
        <v>37</v>
      </c>
      <c r="O98" s="66" t="s">
        <v>998</v>
      </c>
      <c r="P98" s="66" t="s">
        <v>2332</v>
      </c>
      <c r="Q98" s="66" t="s">
        <v>1331</v>
      </c>
      <c r="R98" s="66"/>
      <c r="S98" s="68"/>
      <c r="T98" s="66"/>
      <c r="U98" s="66"/>
      <c r="V98" s="68" t="str">
        <f t="shared" si="5"/>
        <v>Joy Makena Mwiti</v>
      </c>
      <c r="W98" s="68"/>
      <c r="X98" s="68"/>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61"/>
      <c r="DP98" s="61"/>
      <c r="DQ98" s="61"/>
      <c r="DR98" s="61"/>
      <c r="DS98" s="61"/>
      <c r="DT98" s="61"/>
      <c r="DU98" s="61"/>
      <c r="DV98" s="61"/>
      <c r="DW98" s="61"/>
      <c r="DX98" s="61"/>
      <c r="DY98" s="61"/>
      <c r="DZ98" s="61"/>
      <c r="EA98" s="61"/>
      <c r="EB98" s="61"/>
      <c r="EC98" s="61"/>
      <c r="ED98" s="61"/>
      <c r="EE98" s="61"/>
      <c r="EF98" s="61"/>
      <c r="EG98" s="61"/>
      <c r="EH98" s="61"/>
      <c r="EI98" s="61"/>
    </row>
    <row r="99" spans="1:139" s="66" customFormat="1">
      <c r="A99" s="107" t="s">
        <v>129</v>
      </c>
      <c r="B99" s="154" t="s">
        <v>2378</v>
      </c>
      <c r="C99" s="154" t="s">
        <v>1626</v>
      </c>
      <c r="D99" s="113" t="s">
        <v>283</v>
      </c>
      <c r="E99" s="113">
        <v>31795273</v>
      </c>
      <c r="F99" s="223" t="s">
        <v>2684</v>
      </c>
      <c r="G99" s="154" t="s">
        <v>21</v>
      </c>
      <c r="H99" s="154" t="s">
        <v>166</v>
      </c>
      <c r="I99" s="154" t="s">
        <v>1604</v>
      </c>
      <c r="J99" s="154" t="s">
        <v>925</v>
      </c>
      <c r="K99" s="66" t="s">
        <v>1005</v>
      </c>
      <c r="L99" s="66" t="s">
        <v>1285</v>
      </c>
      <c r="M99" s="73" t="str">
        <f t="shared" si="7"/>
        <v>24/12/1994</v>
      </c>
      <c r="N99" s="71">
        <f t="shared" ca="1" si="8"/>
        <v>31</v>
      </c>
      <c r="O99" s="66" t="s">
        <v>988</v>
      </c>
      <c r="P99" s="66" t="s">
        <v>1286</v>
      </c>
      <c r="Q99" s="66" t="s">
        <v>1287</v>
      </c>
      <c r="R99" s="66" t="s">
        <v>1539</v>
      </c>
      <c r="V99" s="68" t="str">
        <f t="shared" si="5"/>
        <v xml:space="preserve">Judjoy Kanana Itabari </v>
      </c>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c r="BT99" s="68"/>
      <c r="BU99" s="68"/>
      <c r="BV99" s="68"/>
      <c r="BW99" s="68"/>
      <c r="BX99" s="68"/>
      <c r="BY99" s="68"/>
      <c r="BZ99" s="68"/>
      <c r="CA99" s="68"/>
      <c r="CB99" s="68"/>
      <c r="CC99" s="68"/>
      <c r="CD99" s="68"/>
      <c r="CE99" s="68"/>
      <c r="CF99" s="68"/>
      <c r="CG99" s="68"/>
      <c r="CH99" s="68"/>
      <c r="CI99" s="68"/>
      <c r="CJ99" s="68"/>
      <c r="CK99" s="68"/>
      <c r="CL99" s="68"/>
      <c r="CM99" s="68"/>
      <c r="CN99" s="68"/>
      <c r="CP99" s="68"/>
      <c r="CQ99" s="68"/>
      <c r="CR99" s="68"/>
      <c r="CS99" s="68"/>
      <c r="CT99" s="68"/>
      <c r="CU99" s="68"/>
      <c r="CV99" s="68"/>
      <c r="CW99" s="68"/>
      <c r="CX99" s="68"/>
      <c r="CY99" s="68"/>
      <c r="CZ99" s="68"/>
      <c r="DA99" s="68"/>
      <c r="DB99" s="68"/>
      <c r="DC99" s="68"/>
      <c r="DD99" s="68"/>
      <c r="DE99" s="68"/>
      <c r="DF99" s="68"/>
      <c r="DG99" s="68"/>
      <c r="DH99" s="68"/>
      <c r="DI99" s="68"/>
      <c r="DJ99" s="68"/>
      <c r="DK99" s="68"/>
      <c r="DL99" s="68"/>
      <c r="DM99" s="68"/>
      <c r="DN99" s="68"/>
      <c r="DO99" s="68"/>
      <c r="DP99" s="68"/>
      <c r="DQ99" s="68"/>
      <c r="DR99" s="68"/>
      <c r="DS99" s="68"/>
      <c r="DT99" s="68"/>
      <c r="DU99" s="68"/>
      <c r="DV99" s="68"/>
      <c r="DW99" s="68"/>
      <c r="DX99" s="68"/>
      <c r="DY99" s="68"/>
      <c r="DZ99" s="68"/>
      <c r="EA99" s="68"/>
      <c r="EB99" s="68"/>
      <c r="EC99" s="68"/>
      <c r="ED99" s="68"/>
      <c r="EE99" s="68"/>
      <c r="EF99" s="68"/>
      <c r="EG99" s="68"/>
      <c r="EH99" s="68"/>
      <c r="EI99" s="68"/>
    </row>
    <row r="100" spans="1:139" s="62" customFormat="1">
      <c r="A100" s="107" t="s">
        <v>89</v>
      </c>
      <c r="B100" s="154" t="s">
        <v>2392</v>
      </c>
      <c r="C100" s="154" t="s">
        <v>1626</v>
      </c>
      <c r="D100" s="113" t="s">
        <v>236</v>
      </c>
      <c r="E100" s="113">
        <v>24879011</v>
      </c>
      <c r="F100" s="223" t="s">
        <v>2685</v>
      </c>
      <c r="G100" s="154" t="s">
        <v>21</v>
      </c>
      <c r="H100" s="154" t="s">
        <v>166</v>
      </c>
      <c r="I100" s="154" t="s">
        <v>1608</v>
      </c>
      <c r="J100" s="154" t="s">
        <v>923</v>
      </c>
      <c r="K100" s="66" t="s">
        <v>1005</v>
      </c>
      <c r="L100" s="66" t="s">
        <v>1290</v>
      </c>
      <c r="M100" s="73" t="str">
        <f t="shared" si="7"/>
        <v>27/11/1985</v>
      </c>
      <c r="N100" s="71">
        <f t="shared" ca="1" si="8"/>
        <v>40</v>
      </c>
      <c r="O100" s="66" t="s">
        <v>1010</v>
      </c>
      <c r="P100" s="66" t="s">
        <v>1291</v>
      </c>
      <c r="Q100" s="66" t="s">
        <v>1278</v>
      </c>
      <c r="R100" s="66" t="s">
        <v>1218</v>
      </c>
      <c r="S100" s="66"/>
      <c r="T100" s="66"/>
      <c r="U100" s="66"/>
      <c r="V100" s="68" t="str">
        <f t="shared" si="5"/>
        <v>Keddy Kanana Ngeera</v>
      </c>
      <c r="W100" s="68"/>
      <c r="X100" s="68"/>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61"/>
      <c r="DP100" s="61"/>
      <c r="DQ100" s="61"/>
      <c r="DR100" s="61"/>
      <c r="DS100" s="61"/>
      <c r="DT100" s="61"/>
      <c r="DU100" s="61"/>
      <c r="DV100" s="61"/>
      <c r="DW100" s="61"/>
      <c r="DX100" s="61"/>
      <c r="DY100" s="61"/>
      <c r="DZ100" s="61"/>
      <c r="EA100" s="61"/>
      <c r="EB100" s="61"/>
      <c r="EC100" s="61"/>
      <c r="ED100" s="61"/>
      <c r="EE100" s="61"/>
      <c r="EF100" s="61"/>
      <c r="EG100" s="61"/>
      <c r="EH100" s="61"/>
      <c r="EI100" s="61"/>
    </row>
    <row r="101" spans="1:139" s="62" customFormat="1">
      <c r="A101" s="107" t="s">
        <v>346</v>
      </c>
      <c r="B101" s="154" t="s">
        <v>2425</v>
      </c>
      <c r="C101" s="154" t="s">
        <v>1626</v>
      </c>
      <c r="D101" s="113" t="s">
        <v>506</v>
      </c>
      <c r="E101" s="113">
        <v>32852183</v>
      </c>
      <c r="F101" s="223" t="s">
        <v>2598</v>
      </c>
      <c r="G101" s="154" t="s">
        <v>407</v>
      </c>
      <c r="H101" s="154" t="s">
        <v>166</v>
      </c>
      <c r="I101" s="154" t="s">
        <v>1604</v>
      </c>
      <c r="J101" s="154" t="s">
        <v>1576</v>
      </c>
      <c r="K101" s="66" t="s">
        <v>1292</v>
      </c>
      <c r="L101" s="66" t="s">
        <v>1293</v>
      </c>
      <c r="M101" s="73" t="str">
        <f t="shared" si="7"/>
        <v>02/06/1991</v>
      </c>
      <c r="N101" s="71">
        <f t="shared" ca="1" si="8"/>
        <v>35</v>
      </c>
      <c r="O101" s="66" t="s">
        <v>988</v>
      </c>
      <c r="P101" s="66" t="s">
        <v>1167</v>
      </c>
      <c r="Q101" s="66" t="s">
        <v>1294</v>
      </c>
      <c r="R101" s="66"/>
      <c r="S101" s="66"/>
      <c r="T101" s="66"/>
      <c r="U101" s="66"/>
      <c r="V101" s="68" t="str">
        <f t="shared" si="5"/>
        <v>Kelvin Mwenda Gitari</v>
      </c>
      <c r="W101" s="68"/>
      <c r="X101" s="68"/>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P101" s="61"/>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61"/>
      <c r="DP101" s="61"/>
      <c r="DQ101" s="61"/>
      <c r="DR101" s="61"/>
      <c r="DS101" s="61"/>
      <c r="DT101" s="61"/>
      <c r="DU101" s="61"/>
      <c r="DV101" s="61"/>
      <c r="DW101" s="61"/>
      <c r="DX101" s="61"/>
      <c r="DY101" s="61"/>
      <c r="DZ101" s="61"/>
      <c r="EA101" s="61"/>
      <c r="EB101" s="61"/>
      <c r="EC101" s="61"/>
      <c r="ED101" s="61"/>
      <c r="EE101" s="61"/>
      <c r="EF101" s="61"/>
      <c r="EG101" s="61"/>
      <c r="EH101" s="61"/>
      <c r="EI101" s="61"/>
    </row>
    <row r="102" spans="1:139" s="62" customFormat="1">
      <c r="A102" s="107" t="s">
        <v>296</v>
      </c>
      <c r="B102" s="154" t="s">
        <v>2400</v>
      </c>
      <c r="C102" s="154" t="s">
        <v>1626</v>
      </c>
      <c r="D102" s="113" t="s">
        <v>452</v>
      </c>
      <c r="E102" s="113" t="s">
        <v>2823</v>
      </c>
      <c r="F102" s="223" t="s">
        <v>2824</v>
      </c>
      <c r="G102" s="154" t="s">
        <v>21</v>
      </c>
      <c r="H102" s="154" t="s">
        <v>166</v>
      </c>
      <c r="I102" s="154" t="s">
        <v>1600</v>
      </c>
      <c r="J102" s="154" t="s">
        <v>340</v>
      </c>
      <c r="K102" s="66" t="s">
        <v>1005</v>
      </c>
      <c r="L102" s="66" t="s">
        <v>1303</v>
      </c>
      <c r="M102" s="73" t="str">
        <f t="shared" si="7"/>
        <v>07/09/1984</v>
      </c>
      <c r="N102" s="71">
        <f t="shared" ca="1" si="8"/>
        <v>41</v>
      </c>
      <c r="O102" s="66" t="s">
        <v>988</v>
      </c>
      <c r="P102" s="66" t="s">
        <v>1304</v>
      </c>
      <c r="Q102" s="66" t="s">
        <v>1112</v>
      </c>
      <c r="R102" s="66" t="s">
        <v>1539</v>
      </c>
      <c r="S102" s="66"/>
      <c r="T102" s="66"/>
      <c r="U102" s="66"/>
      <c r="V102" s="68" t="str">
        <f t="shared" si="5"/>
        <v>Lucyline Gatwiri Nkonge</v>
      </c>
      <c r="W102" s="68"/>
      <c r="X102" s="68"/>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1"/>
      <c r="DV102" s="61"/>
      <c r="DW102" s="61"/>
      <c r="DX102" s="61"/>
      <c r="DY102" s="61"/>
      <c r="DZ102" s="61"/>
      <c r="EA102" s="61"/>
      <c r="EB102" s="61"/>
      <c r="EC102" s="61"/>
      <c r="ED102" s="61"/>
      <c r="EE102" s="61"/>
      <c r="EF102" s="61"/>
      <c r="EG102" s="61"/>
      <c r="EH102" s="61"/>
      <c r="EI102" s="61"/>
    </row>
    <row r="103" spans="1:139" hidden="1">
      <c r="A103" s="107" t="s">
        <v>312</v>
      </c>
      <c r="B103" s="154" t="s">
        <v>2414</v>
      </c>
      <c r="C103" s="154" t="s">
        <v>1627</v>
      </c>
      <c r="D103" s="113" t="s">
        <v>470</v>
      </c>
      <c r="E103" s="113" t="s">
        <v>2099</v>
      </c>
      <c r="F103" s="223" t="s">
        <v>2607</v>
      </c>
      <c r="G103" s="154" t="s">
        <v>407</v>
      </c>
      <c r="H103" s="154" t="s">
        <v>166</v>
      </c>
      <c r="I103" s="154" t="s">
        <v>1609</v>
      </c>
      <c r="J103" s="154" t="s">
        <v>914</v>
      </c>
      <c r="K103" s="66" t="s">
        <v>1005</v>
      </c>
      <c r="L103" s="66" t="s">
        <v>1307</v>
      </c>
      <c r="M103" s="73" t="str">
        <f t="shared" si="7"/>
        <v>26/06/1978</v>
      </c>
      <c r="N103" s="71">
        <f t="shared" ca="1" si="8"/>
        <v>48</v>
      </c>
      <c r="O103" s="66" t="s">
        <v>988</v>
      </c>
      <c r="P103" s="66" t="s">
        <v>1308</v>
      </c>
      <c r="Q103" s="66" t="s">
        <v>2155</v>
      </c>
      <c r="R103" s="66" t="s">
        <v>1309</v>
      </c>
      <c r="S103" s="66"/>
      <c r="T103" s="66"/>
      <c r="U103" s="66"/>
      <c r="V103" s="61" t="str">
        <f t="shared" si="5"/>
        <v>Martin Kimathi</v>
      </c>
    </row>
    <row r="104" spans="1:139" hidden="1">
      <c r="A104" s="107" t="s">
        <v>391</v>
      </c>
      <c r="B104" s="154" t="s">
        <v>2610</v>
      </c>
      <c r="C104" s="154" t="s">
        <v>1627</v>
      </c>
      <c r="D104" s="113" t="s">
        <v>2086</v>
      </c>
      <c r="E104" s="113" t="s">
        <v>2087</v>
      </c>
      <c r="F104" s="223" t="s">
        <v>2611</v>
      </c>
      <c r="G104" s="154" t="s">
        <v>407</v>
      </c>
      <c r="H104" s="154" t="s">
        <v>166</v>
      </c>
      <c r="I104" s="154" t="s">
        <v>2470</v>
      </c>
      <c r="J104" s="154" t="s">
        <v>1574</v>
      </c>
      <c r="K104" s="66" t="s">
        <v>1548</v>
      </c>
      <c r="L104" s="66" t="s">
        <v>1547</v>
      </c>
      <c r="M104" s="73" t="str">
        <f t="shared" si="7"/>
        <v>07/05/1983</v>
      </c>
      <c r="N104" s="71">
        <f t="shared" ca="1" si="8"/>
        <v>43</v>
      </c>
      <c r="O104" s="66" t="s">
        <v>988</v>
      </c>
      <c r="P104" s="66" t="s">
        <v>1239</v>
      </c>
      <c r="Q104" s="66" t="s">
        <v>1546</v>
      </c>
      <c r="R104" s="66"/>
      <c r="S104" s="66"/>
      <c r="T104" s="66"/>
      <c r="U104" s="66"/>
      <c r="V104" s="61" t="str">
        <f t="shared" si="5"/>
        <v>Mathew Mutuma Ntonja</v>
      </c>
    </row>
    <row r="105" spans="1:139">
      <c r="A105" s="107" t="s">
        <v>304</v>
      </c>
      <c r="B105" s="154" t="s">
        <v>2406</v>
      </c>
      <c r="C105" s="154" t="s">
        <v>1626</v>
      </c>
      <c r="D105" s="113" t="s">
        <v>459</v>
      </c>
      <c r="E105" s="113">
        <v>30619533</v>
      </c>
      <c r="F105" s="223" t="s">
        <v>2690</v>
      </c>
      <c r="G105" s="154" t="s">
        <v>21</v>
      </c>
      <c r="H105" s="154" t="s">
        <v>166</v>
      </c>
      <c r="I105" s="154" t="s">
        <v>1600</v>
      </c>
      <c r="J105" s="154" t="s">
        <v>290</v>
      </c>
      <c r="K105" s="66" t="s">
        <v>1005</v>
      </c>
      <c r="L105" s="66" t="s">
        <v>1311</v>
      </c>
      <c r="M105" s="73" t="str">
        <f t="shared" si="7"/>
        <v>12/08/1993</v>
      </c>
      <c r="N105" s="71">
        <f t="shared" ca="1" si="8"/>
        <v>32</v>
      </c>
      <c r="O105" s="66" t="s">
        <v>1312</v>
      </c>
      <c r="P105" s="66" t="s">
        <v>1544</v>
      </c>
      <c r="Q105" s="66" t="s">
        <v>1313</v>
      </c>
      <c r="R105" s="66" t="s">
        <v>1540</v>
      </c>
      <c r="S105" s="66"/>
      <c r="T105" s="66"/>
      <c r="U105" s="66"/>
      <c r="V105" s="68" t="str">
        <f t="shared" si="5"/>
        <v>Millicent Mukami</v>
      </c>
      <c r="W105" s="68"/>
      <c r="X105" s="68"/>
    </row>
    <row r="106" spans="1:139">
      <c r="A106" s="107" t="s">
        <v>104</v>
      </c>
      <c r="B106" s="154" t="s">
        <v>2410</v>
      </c>
      <c r="C106" s="154" t="s">
        <v>1626</v>
      </c>
      <c r="D106" s="113" t="s">
        <v>251</v>
      </c>
      <c r="E106" s="113">
        <v>13360735</v>
      </c>
      <c r="F106" s="223"/>
      <c r="G106" s="154" t="s">
        <v>21</v>
      </c>
      <c r="H106" s="154" t="s">
        <v>166</v>
      </c>
      <c r="I106" s="154" t="s">
        <v>1607</v>
      </c>
      <c r="J106" s="154" t="s">
        <v>182</v>
      </c>
      <c r="K106" s="66" t="s">
        <v>1005</v>
      </c>
      <c r="L106" s="66" t="s">
        <v>1320</v>
      </c>
      <c r="M106" s="73" t="str">
        <f t="shared" si="7"/>
        <v>01/07/1973</v>
      </c>
      <c r="N106" s="71">
        <f t="shared" ca="1" si="8"/>
        <v>53</v>
      </c>
      <c r="O106" s="66" t="s">
        <v>1010</v>
      </c>
      <c r="P106" s="66" t="s">
        <v>1321</v>
      </c>
      <c r="Q106" s="66"/>
      <c r="R106" s="66" t="s">
        <v>1539</v>
      </c>
      <c r="S106" s="66"/>
      <c r="T106" s="66"/>
      <c r="U106" s="66"/>
      <c r="V106" s="68" t="str">
        <f t="shared" si="5"/>
        <v>Norah Mwendwa Ringera</v>
      </c>
      <c r="W106" s="68"/>
      <c r="X106" s="68"/>
    </row>
    <row r="107" spans="1:139">
      <c r="A107" s="107" t="s">
        <v>244</v>
      </c>
      <c r="B107" s="154" t="s">
        <v>2396</v>
      </c>
      <c r="C107" s="154" t="s">
        <v>1626</v>
      </c>
      <c r="D107" s="113" t="s">
        <v>404</v>
      </c>
      <c r="E107" s="113" t="s">
        <v>2051</v>
      </c>
      <c r="F107" s="223" t="s">
        <v>2624</v>
      </c>
      <c r="G107" s="154" t="s">
        <v>83</v>
      </c>
      <c r="H107" s="154" t="s">
        <v>166</v>
      </c>
      <c r="I107" s="154" t="s">
        <v>1603</v>
      </c>
      <c r="J107" s="154" t="s">
        <v>397</v>
      </c>
      <c r="K107" s="66" t="s">
        <v>1005</v>
      </c>
      <c r="L107" s="66" t="s">
        <v>1325</v>
      </c>
      <c r="M107" s="71" t="str">
        <f t="shared" si="7"/>
        <v>22/11/1988</v>
      </c>
      <c r="N107" s="71">
        <f t="shared" ca="1" si="8"/>
        <v>37</v>
      </c>
      <c r="O107" s="66" t="s">
        <v>1326</v>
      </c>
      <c r="P107" s="66" t="s">
        <v>1327</v>
      </c>
      <c r="Q107" s="66" t="s">
        <v>1273</v>
      </c>
      <c r="R107" s="66"/>
      <c r="S107" s="66"/>
      <c r="T107" s="66"/>
      <c r="U107" s="66"/>
      <c r="V107" s="68" t="str">
        <f t="shared" si="5"/>
        <v>Peninah Mwendwa</v>
      </c>
      <c r="W107" s="68"/>
      <c r="X107" s="68"/>
    </row>
    <row r="108" spans="1:139">
      <c r="A108" s="107" t="s">
        <v>150</v>
      </c>
      <c r="B108" s="154" t="s">
        <v>2421</v>
      </c>
      <c r="C108" s="154" t="s">
        <v>1626</v>
      </c>
      <c r="D108" s="113" t="s">
        <v>307</v>
      </c>
      <c r="E108" s="113">
        <v>25227281</v>
      </c>
      <c r="F108" s="223" t="s">
        <v>2691</v>
      </c>
      <c r="G108" s="154" t="s">
        <v>21</v>
      </c>
      <c r="H108" s="154" t="s">
        <v>166</v>
      </c>
      <c r="I108" s="154" t="s">
        <v>1609</v>
      </c>
      <c r="J108" s="154" t="s">
        <v>915</v>
      </c>
      <c r="K108" s="66" t="s">
        <v>1005</v>
      </c>
      <c r="L108" s="66" t="s">
        <v>1335</v>
      </c>
      <c r="M108" s="73" t="str">
        <f t="shared" si="7"/>
        <v>15/06/1987</v>
      </c>
      <c r="N108" s="71">
        <f t="shared" ca="1" si="8"/>
        <v>39</v>
      </c>
      <c r="O108" s="66" t="s">
        <v>988</v>
      </c>
      <c r="P108" s="66" t="s">
        <v>1336</v>
      </c>
      <c r="Q108" s="66" t="s">
        <v>1337</v>
      </c>
      <c r="R108" s="66" t="s">
        <v>1539</v>
      </c>
      <c r="S108" s="66"/>
      <c r="T108" s="66"/>
      <c r="U108" s="66"/>
      <c r="V108" s="68" t="str">
        <f t="shared" si="5"/>
        <v>Rael Mukiria Arimba</v>
      </c>
      <c r="W108" s="68"/>
      <c r="X108" s="68"/>
    </row>
    <row r="109" spans="1:139" ht="16" hidden="1">
      <c r="A109" s="268" t="s">
        <v>120</v>
      </c>
      <c r="B109" s="269" t="s">
        <v>2429</v>
      </c>
      <c r="C109" s="269" t="s">
        <v>1627</v>
      </c>
      <c r="D109" s="270" t="s">
        <v>271</v>
      </c>
      <c r="E109" s="139">
        <v>28211736</v>
      </c>
      <c r="F109" s="271" t="s">
        <v>2825</v>
      </c>
      <c r="G109" s="269" t="s">
        <v>21</v>
      </c>
      <c r="H109" s="269" t="s">
        <v>166</v>
      </c>
      <c r="I109" s="269" t="s">
        <v>1601</v>
      </c>
      <c r="J109" s="269" t="s">
        <v>393</v>
      </c>
      <c r="K109" s="273" t="s">
        <v>1005</v>
      </c>
      <c r="L109" s="273" t="s">
        <v>1353</v>
      </c>
      <c r="M109" s="274" t="str">
        <f t="shared" si="7"/>
        <v>28/12/1989</v>
      </c>
      <c r="N109" s="274">
        <f t="shared" ca="1" si="8"/>
        <v>36</v>
      </c>
      <c r="O109" s="273" t="s">
        <v>988</v>
      </c>
      <c r="P109" s="273" t="s">
        <v>2826</v>
      </c>
      <c r="Q109" s="273" t="s">
        <v>1256</v>
      </c>
      <c r="R109" s="273" t="s">
        <v>1539</v>
      </c>
      <c r="S109" s="273"/>
      <c r="T109" s="273"/>
      <c r="U109" s="273"/>
      <c r="V109" s="61" t="str">
        <f t="shared" si="5"/>
        <v>Stephen Kimani Mwongera</v>
      </c>
    </row>
    <row r="110" spans="1:139" hidden="1">
      <c r="A110" s="107" t="s">
        <v>147</v>
      </c>
      <c r="B110" s="154" t="s">
        <v>2431</v>
      </c>
      <c r="C110" s="154" t="s">
        <v>1627</v>
      </c>
      <c r="D110" s="176" t="s">
        <v>303</v>
      </c>
      <c r="E110" s="81">
        <v>32726476</v>
      </c>
      <c r="F110" s="158" t="s">
        <v>2666</v>
      </c>
      <c r="G110" s="154" t="s">
        <v>21</v>
      </c>
      <c r="H110" s="154" t="s">
        <v>166</v>
      </c>
      <c r="I110" s="154" t="s">
        <v>1611</v>
      </c>
      <c r="J110" s="154" t="s">
        <v>317</v>
      </c>
      <c r="K110" s="66" t="s">
        <v>1005</v>
      </c>
      <c r="L110" s="66" t="s">
        <v>1356</v>
      </c>
      <c r="M110" s="71" t="str">
        <f t="shared" si="7"/>
        <v>13/07/1993</v>
      </c>
      <c r="N110" s="71">
        <f t="shared" ca="1" si="8"/>
        <v>33</v>
      </c>
      <c r="O110" s="66" t="s">
        <v>988</v>
      </c>
      <c r="P110" s="66" t="s">
        <v>1282</v>
      </c>
      <c r="Q110" s="66" t="s">
        <v>1355</v>
      </c>
      <c r="R110" s="66" t="s">
        <v>1539</v>
      </c>
      <c r="S110" s="66"/>
      <c r="T110" s="66"/>
      <c r="U110" s="66"/>
      <c r="V110" s="61" t="str">
        <f t="shared" si="5"/>
        <v>Tonny Kimathi Peter</v>
      </c>
    </row>
    <row r="111" spans="1:139">
      <c r="B111" s="155"/>
      <c r="C111" s="155"/>
      <c r="D111" s="155"/>
      <c r="E111" s="155"/>
      <c r="F111" s="155"/>
      <c r="G111" s="155"/>
      <c r="H111" s="155"/>
      <c r="I111" s="155"/>
      <c r="J111" s="155"/>
      <c r="K111" s="178"/>
    </row>
    <row r="112" spans="1:139">
      <c r="B112" s="155"/>
      <c r="C112" s="155"/>
      <c r="D112" s="155"/>
      <c r="E112" s="155"/>
      <c r="F112" s="155"/>
      <c r="G112" s="155"/>
      <c r="H112" s="155"/>
      <c r="I112" s="155"/>
      <c r="J112" s="155"/>
      <c r="K112" s="178"/>
    </row>
    <row r="113" spans="2:14">
      <c r="B113" s="155"/>
      <c r="C113" s="155"/>
      <c r="D113" s="155"/>
      <c r="E113" s="155"/>
      <c r="F113" s="155"/>
      <c r="G113" s="155"/>
      <c r="H113" s="155"/>
      <c r="I113" s="155"/>
      <c r="J113" s="155"/>
      <c r="K113" s="178"/>
    </row>
    <row r="114" spans="2:14">
      <c r="B114" s="155"/>
      <c r="C114" s="155"/>
      <c r="D114" s="155"/>
      <c r="E114" s="155"/>
      <c r="F114" s="155"/>
      <c r="G114" s="155"/>
      <c r="H114" s="155"/>
      <c r="I114" s="155"/>
      <c r="J114" s="155"/>
      <c r="K114" s="178"/>
    </row>
    <row r="115" spans="2:14">
      <c r="B115" s="155"/>
      <c r="C115" s="155"/>
      <c r="D115" s="155"/>
      <c r="E115" s="155"/>
      <c r="F115" s="155"/>
      <c r="G115" s="155"/>
      <c r="H115" s="178"/>
      <c r="I115" s="178"/>
      <c r="J115" s="178"/>
      <c r="K115" s="178"/>
    </row>
    <row r="116" spans="2:14">
      <c r="B116" s="155"/>
      <c r="C116" s="155"/>
      <c r="D116" s="155"/>
      <c r="E116" s="155"/>
      <c r="F116" s="155"/>
      <c r="G116" s="155"/>
      <c r="H116" s="155"/>
      <c r="I116" s="155"/>
      <c r="J116" s="155"/>
      <c r="K116" s="178"/>
    </row>
    <row r="117" spans="2:14">
      <c r="B117" s="155"/>
      <c r="C117" s="155"/>
      <c r="D117" s="155"/>
      <c r="E117" s="155"/>
      <c r="F117" s="155"/>
      <c r="G117" s="155"/>
      <c r="H117" s="155"/>
      <c r="I117" s="155"/>
      <c r="J117" s="155"/>
      <c r="K117" s="178"/>
    </row>
    <row r="118" spans="2:14">
      <c r="B118" s="155"/>
      <c r="C118" s="155"/>
      <c r="D118" s="155"/>
      <c r="E118" s="155"/>
      <c r="F118" s="155"/>
      <c r="G118" s="155"/>
      <c r="H118" s="155"/>
      <c r="I118" s="155"/>
      <c r="J118" s="155"/>
      <c r="K118" s="178"/>
    </row>
    <row r="119" spans="2:14">
      <c r="B119" s="155"/>
      <c r="C119" s="155"/>
      <c r="D119" s="155"/>
      <c r="E119" s="155"/>
      <c r="F119" s="155"/>
      <c r="G119" s="155"/>
      <c r="H119" s="155"/>
      <c r="I119" s="155"/>
      <c r="J119" s="155"/>
      <c r="K119" s="178"/>
      <c r="L119" s="178"/>
      <c r="M119" s="178"/>
      <c r="N119" s="178"/>
    </row>
  </sheetData>
  <autoFilter ref="A1:U110" xr:uid="{00000000-0001-0000-0200-000000000000}">
    <filterColumn colId="2">
      <filters>
        <filter val="F"/>
      </filters>
    </filterColumn>
    <sortState xmlns:xlrd2="http://schemas.microsoft.com/office/spreadsheetml/2017/richdata2" ref="A5:U108">
      <sortCondition sortBy="fontColor" ref="B1:B110" dxfId="14"/>
    </sortState>
  </autoFilter>
  <phoneticPr fontId="19" type="noConversion"/>
  <dataValidations count="1">
    <dataValidation type="date" allowBlank="1" showInputMessage="1" showErrorMessage="1" error="Enter correct date format" promptTitle="Date" prompt="Enter date as (dd/mm/yyyy)" sqref="U30:U32 U34:U39 U82:U85 U100:U106 U47:U50 U52 U54 U56:U57 U60:U62 U65 U5 U43:U45 U71:U72 U87 U93 U98" xr:uid="{7DBE0DC7-9D9C-417D-BF78-B1E52F7DD9AD}">
      <formula1>45292</formula1>
      <formula2>47848</formula2>
    </dataValidation>
  </dataValidations>
  <hyperlinks>
    <hyperlink ref="F20" r:id="rId1" display="dorothyntinyari@gmail.com" xr:uid="{BCB4A243-B26B-4616-AD34-F2C7CD1D4CEE}"/>
    <hyperlink ref="F21" r:id="rId2" xr:uid="{B717D9FC-DF9A-4A64-9D63-1339C6E72570}"/>
    <hyperlink ref="F22" r:id="rId3" xr:uid="{7CC00456-2A95-4EDF-92B5-7DC29415C0AB}"/>
    <hyperlink ref="F24" r:id="rId4" xr:uid="{90585FB7-21D0-415B-8789-C18656F15C4E}"/>
    <hyperlink ref="F26" r:id="rId5" xr:uid="{76E02592-42EF-4813-ACE3-A2E37BFA7C49}"/>
    <hyperlink ref="F25" r:id="rId6" xr:uid="{2A7605A7-3E09-43BF-9E93-7560B9A96126}"/>
    <hyperlink ref="F27" r:id="rId7" xr:uid="{878C0D00-459B-4943-9031-D66B5876D160}"/>
    <hyperlink ref="F28" r:id="rId8" xr:uid="{5E861E3A-B5B7-492D-875B-448533CBAA70}"/>
    <hyperlink ref="F29" r:id="rId9" xr:uid="{A6FBD77A-7268-4444-AD83-D6D6F6DA5334}"/>
    <hyperlink ref="F30" r:id="rId10" xr:uid="{2CBAC336-B1BF-4B36-BA0D-76727E53D4B8}"/>
    <hyperlink ref="F31" r:id="rId11" xr:uid="{AB986906-D06D-48A6-B554-E2DEE789FA1D}"/>
    <hyperlink ref="F33" r:id="rId12" xr:uid="{39C99188-6699-4F45-A511-F4E8850BD9B6}"/>
    <hyperlink ref="F90" r:id="rId13" xr:uid="{05889478-4B37-4246-B7DE-A849803C4487}"/>
    <hyperlink ref="F34" r:id="rId14" xr:uid="{D467587C-61C7-49C1-AD73-E10C7356E4C4}"/>
    <hyperlink ref="F35" r:id="rId15" xr:uid="{53465741-469B-4414-BEC2-011B67347135}"/>
    <hyperlink ref="F37" r:id="rId16" xr:uid="{26C03975-6FEC-4566-9A63-5C32CB2A5520}"/>
    <hyperlink ref="F38" r:id="rId17" xr:uid="{9CFCEF22-50E2-477A-B66E-CBA5834C7840}"/>
    <hyperlink ref="F39" r:id="rId18" xr:uid="{C07533E9-3F2D-4565-919D-796FE65A52B1}"/>
    <hyperlink ref="F40" r:id="rId19" xr:uid="{5E66FA42-CF40-44EA-BF5D-5186FF80CEF8}"/>
    <hyperlink ref="F41" r:id="rId20" xr:uid="{0C01A2D3-675B-4D50-885D-ABA7A3BECC0B}"/>
    <hyperlink ref="F98" r:id="rId21" xr:uid="{8CFA7719-A250-4EF1-A744-03411295039B}"/>
    <hyperlink ref="F42" r:id="rId22" xr:uid="{6AA06849-D1A5-418A-A0B4-E887F34ADBCA}"/>
    <hyperlink ref="F101" r:id="rId23" xr:uid="{0F414D05-9D48-473D-805F-4139643C7780}"/>
    <hyperlink ref="F43" r:id="rId24" xr:uid="{F8D6B068-1D67-4F34-B9C4-468C507BB012}"/>
    <hyperlink ref="F44" r:id="rId25" xr:uid="{806C84F9-1ED5-4015-A173-48366A8EA781}"/>
    <hyperlink ref="F45" r:id="rId26" xr:uid="{89A8C062-D08D-41BC-B0C7-B3E97BC45999}"/>
    <hyperlink ref="F46" r:id="rId27" xr:uid="{DAF0DEF4-A98B-439D-BB7F-5E096EB5C744}"/>
    <hyperlink ref="F47" r:id="rId28" xr:uid="{09E7C6F6-B31E-4F08-9E87-E228CEA5B635}"/>
    <hyperlink ref="F48" r:id="rId29" xr:uid="{9916535B-DD8A-4813-9119-9F9EB129CC92}"/>
    <hyperlink ref="F49" r:id="rId30" xr:uid="{F175E826-CEB8-4F49-9358-4DFB267F5E84}"/>
    <hyperlink ref="F50" r:id="rId31" xr:uid="{E52DA5A8-1896-4404-9328-345CA5F89767}"/>
    <hyperlink ref="F103" r:id="rId32" xr:uid="{27D4BF42-6DEF-40A3-AEE5-D21801C7D7C3}"/>
    <hyperlink ref="F52" r:id="rId33" xr:uid="{F99729FB-586E-4927-882B-26F1E60C8FAC}"/>
    <hyperlink ref="F104" r:id="rId34" xr:uid="{03E920C8-C2FA-4423-BD8C-8258D06BBBBE}"/>
    <hyperlink ref="F53" r:id="rId35" xr:uid="{5BCF727D-7FEC-437B-A2F5-FFFC99BD1274}"/>
    <hyperlink ref="F54" r:id="rId36" xr:uid="{F393DC36-E177-405C-88EE-2C488A2FC2D3}"/>
    <hyperlink ref="F55" r:id="rId37" xr:uid="{02C57342-5341-4525-9F56-6F7EB5D6E0BC}"/>
    <hyperlink ref="F56" r:id="rId38" xr:uid="{13482982-2F87-4506-AFAC-C22923AD8502}"/>
    <hyperlink ref="F57" r:id="rId39" xr:uid="{705FCC1E-7F65-47B2-B924-0F5D1003D093}"/>
    <hyperlink ref="F58" r:id="rId40" xr:uid="{02AE2CAC-ED65-427E-93B6-7984F41FC044}"/>
    <hyperlink ref="F59" r:id="rId41" xr:uid="{91142544-0EAA-4462-A45D-41025446ED85}"/>
    <hyperlink ref="F60" r:id="rId42" xr:uid="{263B2C51-FB9E-4C2F-BAD7-C579AA9F8EFF}"/>
    <hyperlink ref="F61" r:id="rId43" xr:uid="{898F273A-FBF4-4901-9DE6-1C8DAB31AE63}"/>
    <hyperlink ref="F107" r:id="rId44" xr:uid="{1129948A-5D3F-4DBF-A9CA-61B4A58BB0AA}"/>
    <hyperlink ref="F62" r:id="rId45" xr:uid="{EE862559-023C-40D2-A3CA-5D86D4097754}"/>
    <hyperlink ref="F63" r:id="rId46" xr:uid="{B4459F7F-8704-4196-AC9A-9D2206045C90}"/>
    <hyperlink ref="F64" r:id="rId47" xr:uid="{680C341F-A157-49F6-8C53-F49806EE0C08}"/>
    <hyperlink ref="F65" r:id="rId48" xr:uid="{9EC12A62-567C-43EA-AFFC-2156CA9818F3}"/>
    <hyperlink ref="F66" r:id="rId49" xr:uid="{E2646372-3F93-4015-A041-F0FA1BAC869B}"/>
    <hyperlink ref="F36" r:id="rId50" xr:uid="{A84EE3C9-E7A6-4496-817A-0B70D3C583E0}"/>
    <hyperlink ref="F67" r:id="rId51" xr:uid="{F353220C-BD96-48D0-A497-66A6C7083C90}"/>
    <hyperlink ref="F68" r:id="rId52" xr:uid="{D386FBF5-F77B-4A5C-9D9C-61529937EF7F}"/>
    <hyperlink ref="F69" r:id="rId53" xr:uid="{DD8759F8-3527-48F0-A3B2-149BAD87CA0C}"/>
    <hyperlink ref="F70" r:id="rId54" xr:uid="{66A352D9-7989-400D-BA58-1311CBD45D8E}"/>
    <hyperlink ref="F71" r:id="rId55" xr:uid="{308C17C3-D185-453A-8B26-F2169E7750F0}"/>
    <hyperlink ref="F72" r:id="rId56" xr:uid="{06E090D8-F661-4289-938A-A8F7297457E8}"/>
    <hyperlink ref="F73" r:id="rId57" xr:uid="{20A3ADB4-12B2-4EB9-9B04-B71D6000BA9F}"/>
    <hyperlink ref="F77" r:id="rId58" xr:uid="{BD02C700-DFCF-4299-97EB-B25ECF2DAE34}"/>
    <hyperlink ref="F76" r:id="rId59" xr:uid="{DEFD3493-5D74-4C4E-9930-2EC09C984439}"/>
    <hyperlink ref="F75" r:id="rId60" xr:uid="{88B0B436-01D3-4C98-9BE5-164F18971A82}"/>
    <hyperlink ref="F74" r:id="rId61" xr:uid="{CC3DF04D-4103-4BBD-88D9-B7EF83B7F703}"/>
    <hyperlink ref="F2" r:id="rId62" xr:uid="{43BBFD71-BEDA-42FB-8410-3F978C7FDEB0}"/>
    <hyperlink ref="F79" r:id="rId63" xr:uid="{4AE49571-9CF4-40EF-9530-5365A6D1E9C6}"/>
    <hyperlink ref="F3" r:id="rId64" xr:uid="{B127E673-3FA2-49FA-A139-6212AE533378}"/>
    <hyperlink ref="F4" r:id="rId65" xr:uid="{7FE9E7F4-6641-4FF1-AD3D-CCFDB86506F7}"/>
    <hyperlink ref="F5" r:id="rId66" xr:uid="{47D81C2B-1CEA-4021-9B88-A6FC98D6515E}"/>
    <hyperlink ref="F6" r:id="rId67" xr:uid="{3FA2B80F-17B7-45E6-AA39-67ECEBA0CA5A}"/>
    <hyperlink ref="F7" r:id="rId68" xr:uid="{FB89B279-315D-45DB-8796-2B4790D665AD}"/>
    <hyperlink ref="F8" r:id="rId69" xr:uid="{DAF053D2-C27C-40B8-80A5-B2559C7A62DB}"/>
    <hyperlink ref="F9" r:id="rId70" xr:uid="{E3DF1A52-EFFB-4C15-91A7-3D32C9E56D95}"/>
    <hyperlink ref="F10" r:id="rId71" xr:uid="{0287AB34-B2AD-42E6-B6F3-DC8CD3945BAF}"/>
    <hyperlink ref="F11" r:id="rId72" xr:uid="{DF49C967-E7DA-4BA1-A9B7-058F28C8C70D}"/>
    <hyperlink ref="F12" r:id="rId73" xr:uid="{B92055A5-C139-41BF-9831-CC6997D593FC}"/>
    <hyperlink ref="F13" r:id="rId74" xr:uid="{9CEB9520-E9A9-4179-8D9E-8B848C82C563}"/>
    <hyperlink ref="F14" r:id="rId75" xr:uid="{9A04E511-A853-45A8-BCCD-18324C9A03FE}"/>
    <hyperlink ref="F15" r:id="rId76" xr:uid="{66C9C629-379A-46F6-BE3D-AB043FCFACF9}"/>
    <hyperlink ref="F16" r:id="rId77" xr:uid="{C4000EF7-CE91-4308-A5BE-A968D137D6E6}"/>
    <hyperlink ref="F87" r:id="rId78" xr:uid="{F59F40B4-1D67-4518-A98B-6736C124BAF4}"/>
    <hyperlink ref="F17" r:id="rId79" display="kagendodoreen271@gmail.com" xr:uid="{06FAF702-F2C0-4E75-BF05-B5EDE0EB77CC}"/>
    <hyperlink ref="F18" r:id="rId80" xr:uid="{FB445215-D9E0-4DF6-AAB9-7505E008B5F6}"/>
    <hyperlink ref="F19" r:id="rId81" xr:uid="{A9215441-B6B3-43E0-8B8B-55D2D7A9CE6C}"/>
    <hyperlink ref="F23" r:id="rId82" xr:uid="{9D78F1BA-D6BA-4E9A-805C-0DA522177DC3}"/>
    <hyperlink ref="F110" r:id="rId83" xr:uid="{BBBDE43A-4450-4A4F-A69B-215FAFA65520}"/>
    <hyperlink ref="F81" r:id="rId84" xr:uid="{15C9667B-B47C-4F71-B177-8B11BE121A4C}"/>
    <hyperlink ref="F82" r:id="rId85" xr:uid="{BF873FEB-D9E9-4196-8CB3-52C7E1A3E5FF}"/>
    <hyperlink ref="F83" r:id="rId86" xr:uid="{020AEA48-F21C-404D-9E1D-C5FA0388E8CF}"/>
    <hyperlink ref="F85" r:id="rId87" xr:uid="{90D20BAE-F5F3-415B-81CB-B3BC4BF9BFA3}"/>
    <hyperlink ref="F86" r:id="rId88" xr:uid="{2C722207-77D2-4D19-86C2-460299BA3D8A}"/>
    <hyperlink ref="F88" r:id="rId89" xr:uid="{8A62D2DD-3A15-4E59-A381-B30B436AF2E0}"/>
    <hyperlink ref="F91" r:id="rId90" xr:uid="{BAC107B1-CD66-4E88-AA11-014461E4B9E7}"/>
    <hyperlink ref="F89" r:id="rId91" xr:uid="{04515129-3945-45A4-B73A-D9BD25CE9A71}"/>
    <hyperlink ref="F92" r:id="rId92" xr:uid="{AA448841-832E-4573-8963-0FA56CAB0628}"/>
    <hyperlink ref="F93" r:id="rId93" xr:uid="{E62B4F0F-9DEC-4003-AAFA-6D3629128C52}"/>
    <hyperlink ref="F94" r:id="rId94" xr:uid="{BE03239D-0BC1-4C8B-A04A-731AF214F193}"/>
    <hyperlink ref="F95" r:id="rId95" xr:uid="{C0B7B144-CDD6-4442-B06A-7A3257E87AA9}"/>
    <hyperlink ref="F96" r:id="rId96" xr:uid="{CE03AF8C-E1AB-4D4C-BD35-F07D9D96F6DB}"/>
    <hyperlink ref="F97" r:id="rId97" xr:uid="{3437DEF1-B42C-40AF-8441-123DF5F1EF9E}"/>
    <hyperlink ref="F99" r:id="rId98" xr:uid="{A1A4F048-CA7A-4766-B744-79BCD399422D}"/>
    <hyperlink ref="F100" r:id="rId99" xr:uid="{0A76FCAC-6BC6-4B9F-87A6-163381421E32}"/>
    <hyperlink ref="F84" r:id="rId100" xr:uid="{784498B9-9D69-45BD-B0D8-D22C4E260707}"/>
    <hyperlink ref="F80" r:id="rId101" xr:uid="{6614DC0A-C318-4147-87E1-B7BD31C92B5F}"/>
    <hyperlink ref="F105" r:id="rId102" xr:uid="{CF48CF61-8704-48FE-83C9-1A1F6414F593}"/>
    <hyperlink ref="F108" r:id="rId103" xr:uid="{091547A5-7860-4057-8EE6-F12AC78B8D01}"/>
    <hyperlink ref="F102" r:id="rId104" xr:uid="{A00FBB9B-F134-4D86-AFA5-0BF449D3428E}"/>
    <hyperlink ref="F109" r:id="rId105" xr:uid="{5DB4ECB8-FBF1-443F-9CAF-E70F24FADFEE}"/>
  </hyperlinks>
  <pageMargins left="0.2" right="0.2" top="0.45" bottom="0.63" header="0.24" footer="0.3"/>
  <pageSetup scale="11" fitToHeight="0" orientation="landscape" r:id="rId106"/>
  <drawing r:id="rId107"/>
  <extLst>
    <ext xmlns:x14="http://schemas.microsoft.com/office/spreadsheetml/2009/9/main" uri="{CCE6A557-97BC-4b89-ADB6-D9C93CAAB3DF}">
      <x14:dataValidations xmlns:xm="http://schemas.microsoft.com/office/excel/2006/main" count="1">
        <x14:dataValidation type="list" allowBlank="1" showInputMessage="1" showErrorMessage="1" xr:uid="{A5F8D30C-C901-4C45-81A8-0158E371DEB6}">
          <x14:formula1>
            <xm:f>Sheet2!$A$2:$A$8</xm:f>
          </x14:formula1>
          <xm:sqref>W2:W110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176F-045B-4A20-AAC7-AD068F61B716}">
  <dimension ref="A2:A8"/>
  <sheetViews>
    <sheetView workbookViewId="0"/>
  </sheetViews>
  <sheetFormatPr defaultRowHeight="14.5"/>
  <sheetData>
    <row r="2" spans="1:1">
      <c r="A2" t="s">
        <v>2066</v>
      </c>
    </row>
    <row r="3" spans="1:1">
      <c r="A3" t="s">
        <v>2440</v>
      </c>
    </row>
    <row r="4" spans="1:1">
      <c r="A4" t="s">
        <v>2022</v>
      </c>
    </row>
    <row r="5" spans="1:1">
      <c r="A5" t="s">
        <v>2003</v>
      </c>
    </row>
    <row r="6" spans="1:1">
      <c r="A6" t="s">
        <v>2064</v>
      </c>
    </row>
    <row r="7" spans="1:1">
      <c r="A7" t="s">
        <v>2038</v>
      </c>
    </row>
    <row r="8" spans="1:1">
      <c r="A8" t="s">
        <v>2441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BU85"/>
  <sheetViews>
    <sheetView zoomScale="80" zoomScaleNormal="80" workbookViewId="0">
      <selection activeCell="B3" sqref="B3"/>
    </sheetView>
  </sheetViews>
  <sheetFormatPr defaultColWidth="9.1796875" defaultRowHeight="20.149999999999999" customHeight="1"/>
  <cols>
    <col min="1" max="1" width="4.453125" style="116" customWidth="1"/>
    <col min="2" max="2" width="31.36328125" style="116" customWidth="1"/>
    <col min="3" max="3" width="10.54296875" style="116" bestFit="1" customWidth="1"/>
    <col min="4" max="4" width="18.7265625" style="116" bestFit="1" customWidth="1"/>
    <col min="5" max="5" width="11.453125" style="116" customWidth="1"/>
    <col min="6" max="6" width="27.7265625" style="116" bestFit="1" customWidth="1"/>
    <col min="7" max="7" width="40.26953125" style="116" bestFit="1" customWidth="1"/>
    <col min="8" max="9" width="20.90625" style="116" customWidth="1"/>
    <col min="10" max="10" width="35.54296875" style="116" customWidth="1"/>
    <col min="11" max="15" width="18.453125" style="116" customWidth="1"/>
    <col min="16" max="16" width="53.81640625" style="116" bestFit="1" customWidth="1"/>
    <col min="17" max="17" width="51" style="116" bestFit="1" customWidth="1"/>
    <col min="18" max="18" width="48.26953125" style="116" customWidth="1"/>
    <col min="19" max="19" width="34.26953125" style="116" bestFit="1" customWidth="1"/>
    <col min="20" max="20" width="34" style="116" customWidth="1"/>
    <col min="21" max="21" width="30.81640625" style="116" bestFit="1" customWidth="1"/>
    <col min="22" max="22" width="23.1796875" style="116" bestFit="1" customWidth="1"/>
    <col min="23" max="16384" width="9.1796875" style="116"/>
  </cols>
  <sheetData>
    <row r="1" spans="1:73" ht="15"/>
    <row r="2" spans="1:73" s="200" customFormat="1" ht="15">
      <c r="A2" s="115" t="s">
        <v>2</v>
      </c>
      <c r="B2" s="115" t="s">
        <v>4</v>
      </c>
      <c r="C2" s="115" t="s">
        <v>1625</v>
      </c>
      <c r="D2" s="115" t="s">
        <v>1983</v>
      </c>
      <c r="E2" s="115" t="s">
        <v>2005</v>
      </c>
      <c r="F2" s="115" t="s">
        <v>2444</v>
      </c>
      <c r="G2" s="115" t="s">
        <v>5</v>
      </c>
      <c r="H2" s="115" t="s">
        <v>6</v>
      </c>
      <c r="I2" s="115" t="s">
        <v>1593</v>
      </c>
      <c r="J2" s="115" t="s">
        <v>7</v>
      </c>
      <c r="K2" s="115" t="s">
        <v>990</v>
      </c>
      <c r="L2" s="115" t="s">
        <v>1550</v>
      </c>
      <c r="M2" s="88" t="s">
        <v>1552</v>
      </c>
      <c r="N2" s="88" t="s">
        <v>1549</v>
      </c>
      <c r="O2" s="115" t="s">
        <v>987</v>
      </c>
      <c r="P2" s="115" t="s">
        <v>982</v>
      </c>
      <c r="Q2" s="115" t="s">
        <v>984</v>
      </c>
      <c r="R2" s="115" t="s">
        <v>993</v>
      </c>
      <c r="S2" s="120" t="s">
        <v>1984</v>
      </c>
      <c r="T2" s="120" t="s">
        <v>2113</v>
      </c>
      <c r="U2" s="124" t="s">
        <v>1986</v>
      </c>
      <c r="V2" s="85" t="s">
        <v>2114</v>
      </c>
      <c r="W2" s="115"/>
    </row>
    <row r="3" spans="1:73" s="202" customFormat="1" ht="15">
      <c r="A3" s="106" t="s">
        <v>276</v>
      </c>
      <c r="B3" s="106" t="s">
        <v>956</v>
      </c>
      <c r="C3" s="106" t="s">
        <v>1627</v>
      </c>
      <c r="D3" s="206" t="s">
        <v>2179</v>
      </c>
      <c r="E3" s="117" t="s">
        <v>2180</v>
      </c>
      <c r="F3" s="180" t="s">
        <v>2445</v>
      </c>
      <c r="G3" s="106" t="s">
        <v>958</v>
      </c>
      <c r="H3" s="106" t="s">
        <v>538</v>
      </c>
      <c r="I3" s="106" t="s">
        <v>1620</v>
      </c>
      <c r="J3" s="106" t="s">
        <v>960</v>
      </c>
      <c r="K3" s="106"/>
      <c r="L3" s="106" t="s">
        <v>1564</v>
      </c>
      <c r="M3" s="106" t="str">
        <f t="shared" ref="M3:M34" si="0">IF(L3="","",TEXT(DATEVALUE(SUBSTITUTE(SUBSTITUTE(SUBSTITUTE(SUBSTITUTE(SUBSTITUTE(L3,"st",""),"nd",""),"rd",""),"th",""),"TH","")),"dd/mm/yyyy"))</f>
        <v>12/12/1993</v>
      </c>
      <c r="N3" s="106">
        <f t="shared" ref="N3:N34" ca="1" si="1">IF(M3="","",DATEDIF(M3,TODAY(),"Y"))</f>
        <v>32</v>
      </c>
      <c r="O3" s="106" t="s">
        <v>988</v>
      </c>
      <c r="P3" s="106" t="s">
        <v>983</v>
      </c>
      <c r="Q3" s="106" t="s">
        <v>985</v>
      </c>
      <c r="R3" s="106"/>
      <c r="S3" s="106"/>
      <c r="T3" s="106"/>
      <c r="U3" s="106" t="s">
        <v>991</v>
      </c>
      <c r="V3" s="108"/>
      <c r="W3" s="108"/>
    </row>
    <row r="4" spans="1:73" s="202" customFormat="1" ht="20.149999999999999" hidden="1" customHeight="1">
      <c r="A4" s="106" t="s">
        <v>133</v>
      </c>
      <c r="B4" s="106" t="s">
        <v>667</v>
      </c>
      <c r="C4" s="106" t="s">
        <v>1626</v>
      </c>
      <c r="D4" s="119" t="s">
        <v>669</v>
      </c>
      <c r="E4" s="106">
        <v>28433768</v>
      </c>
      <c r="F4" s="142" t="s">
        <v>3081</v>
      </c>
      <c r="G4" s="106" t="s">
        <v>83</v>
      </c>
      <c r="H4" s="106" t="s">
        <v>538</v>
      </c>
      <c r="I4" s="106" t="s">
        <v>1624</v>
      </c>
      <c r="J4" s="106" t="s">
        <v>668</v>
      </c>
      <c r="K4" s="106" t="s">
        <v>995</v>
      </c>
      <c r="L4" s="106" t="s">
        <v>1559</v>
      </c>
      <c r="M4" s="106" t="str">
        <f t="shared" si="0"/>
        <v>06/01/1991</v>
      </c>
      <c r="N4" s="106">
        <f t="shared" ca="1" si="1"/>
        <v>35</v>
      </c>
      <c r="O4" s="106" t="s">
        <v>988</v>
      </c>
      <c r="P4" s="106" t="s">
        <v>983</v>
      </c>
      <c r="Q4" s="106" t="s">
        <v>989</v>
      </c>
      <c r="R4" s="106"/>
      <c r="S4" s="83" t="s">
        <v>2330</v>
      </c>
      <c r="T4" s="81" t="s">
        <v>2202</v>
      </c>
      <c r="U4" s="84">
        <v>46344</v>
      </c>
      <c r="V4" s="108"/>
      <c r="W4" s="108"/>
    </row>
    <row r="5" spans="1:73" s="202" customFormat="1" ht="15" hidden="1">
      <c r="A5" s="106" t="s">
        <v>140</v>
      </c>
      <c r="B5" s="106" t="s">
        <v>2446</v>
      </c>
      <c r="C5" s="106" t="s">
        <v>1626</v>
      </c>
      <c r="D5" s="119" t="s">
        <v>677</v>
      </c>
      <c r="E5" s="106">
        <v>29187372</v>
      </c>
      <c r="F5" s="182" t="s">
        <v>2448</v>
      </c>
      <c r="G5" s="106" t="s">
        <v>21</v>
      </c>
      <c r="H5" s="106" t="s">
        <v>538</v>
      </c>
      <c r="I5" s="106" t="s">
        <v>1622</v>
      </c>
      <c r="J5" s="106" t="s">
        <v>591</v>
      </c>
      <c r="K5" s="106" t="s">
        <v>995</v>
      </c>
      <c r="L5" s="106" t="s">
        <v>1560</v>
      </c>
      <c r="M5" s="106" t="str">
        <f t="shared" si="0"/>
        <v>14/07/1991</v>
      </c>
      <c r="N5" s="106">
        <f t="shared" ca="1" si="1"/>
        <v>35</v>
      </c>
      <c r="O5" s="106" t="s">
        <v>988</v>
      </c>
      <c r="P5" s="106" t="s">
        <v>992</v>
      </c>
      <c r="Q5" s="106" t="s">
        <v>985</v>
      </c>
      <c r="R5" s="106" t="s">
        <v>994</v>
      </c>
      <c r="S5" s="106"/>
      <c r="T5" s="106"/>
      <c r="U5" s="106"/>
      <c r="V5" s="108"/>
      <c r="W5" s="108"/>
    </row>
    <row r="6" spans="1:73" ht="20.149999999999999" hidden="1" customHeight="1">
      <c r="A6" s="106" t="s">
        <v>212</v>
      </c>
      <c r="B6" s="106" t="s">
        <v>745</v>
      </c>
      <c r="C6" s="106" t="s">
        <v>1626</v>
      </c>
      <c r="D6" s="119" t="s">
        <v>746</v>
      </c>
      <c r="E6" s="106">
        <v>25132706</v>
      </c>
      <c r="F6" s="182" t="s">
        <v>2447</v>
      </c>
      <c r="G6" s="106" t="s">
        <v>935</v>
      </c>
      <c r="H6" s="106" t="s">
        <v>538</v>
      </c>
      <c r="I6" s="106" t="s">
        <v>1623</v>
      </c>
      <c r="J6" s="106" t="s">
        <v>571</v>
      </c>
      <c r="K6" s="106" t="s">
        <v>995</v>
      </c>
      <c r="L6" s="106" t="s">
        <v>1561</v>
      </c>
      <c r="M6" s="106" t="str">
        <f t="shared" si="0"/>
        <v>21/04/1995</v>
      </c>
      <c r="N6" s="106">
        <f t="shared" ca="1" si="1"/>
        <v>31</v>
      </c>
      <c r="O6" s="106" t="s">
        <v>988</v>
      </c>
      <c r="P6" s="106" t="s">
        <v>996</v>
      </c>
      <c r="Q6" s="106" t="s">
        <v>997</v>
      </c>
      <c r="R6" s="106"/>
      <c r="S6" s="81" t="s">
        <v>2328</v>
      </c>
      <c r="T6" s="90" t="s">
        <v>2194</v>
      </c>
      <c r="U6" s="111">
        <v>46326</v>
      </c>
      <c r="V6" s="106"/>
      <c r="W6" s="106"/>
    </row>
    <row r="7" spans="1:73" ht="20.149999999999999" hidden="1" customHeight="1">
      <c r="A7" s="106" t="s">
        <v>126</v>
      </c>
      <c r="B7" s="106" t="s">
        <v>659</v>
      </c>
      <c r="C7" s="106" t="s">
        <v>1626</v>
      </c>
      <c r="D7" s="119" t="s">
        <v>661</v>
      </c>
      <c r="E7" s="106">
        <v>33410894</v>
      </c>
      <c r="F7" s="182" t="s">
        <v>2449</v>
      </c>
      <c r="G7" s="106" t="s">
        <v>83</v>
      </c>
      <c r="H7" s="106" t="s">
        <v>538</v>
      </c>
      <c r="I7" s="106" t="s">
        <v>1623</v>
      </c>
      <c r="J7" s="106" t="s">
        <v>696</v>
      </c>
      <c r="K7" s="106" t="s">
        <v>995</v>
      </c>
      <c r="L7" s="106" t="s">
        <v>1558</v>
      </c>
      <c r="M7" s="106" t="str">
        <f t="shared" si="0"/>
        <v>06/03/1997</v>
      </c>
      <c r="N7" s="106">
        <f t="shared" ca="1" si="1"/>
        <v>29</v>
      </c>
      <c r="O7" s="106" t="s">
        <v>998</v>
      </c>
      <c r="P7" s="106" t="s">
        <v>999</v>
      </c>
      <c r="Q7" s="106" t="s">
        <v>1000</v>
      </c>
      <c r="R7" s="106" t="s">
        <v>1001</v>
      </c>
      <c r="S7" s="83" t="s">
        <v>2330</v>
      </c>
      <c r="T7" s="81" t="s">
        <v>2201</v>
      </c>
      <c r="U7" s="84">
        <v>46123</v>
      </c>
      <c r="V7" s="106"/>
      <c r="W7" s="106"/>
    </row>
    <row r="8" spans="1:73" s="202" customFormat="1" ht="20.149999999999999" hidden="1" customHeight="1">
      <c r="A8" s="108" t="s">
        <v>10</v>
      </c>
      <c r="B8" s="108" t="s">
        <v>537</v>
      </c>
      <c r="C8" s="108" t="s">
        <v>1626</v>
      </c>
      <c r="D8" s="170" t="s">
        <v>540</v>
      </c>
      <c r="E8" s="108">
        <v>31792650</v>
      </c>
      <c r="F8" s="247" t="s">
        <v>2517</v>
      </c>
      <c r="G8" s="108" t="s">
        <v>21</v>
      </c>
      <c r="H8" s="108" t="s">
        <v>538</v>
      </c>
      <c r="I8" s="108" t="s">
        <v>1623</v>
      </c>
      <c r="J8" s="108" t="s">
        <v>959</v>
      </c>
      <c r="K8" s="108" t="s">
        <v>1005</v>
      </c>
      <c r="L8" s="108" t="s">
        <v>2518</v>
      </c>
      <c r="M8" s="103" t="str">
        <f t="shared" si="0"/>
        <v>03/08/1993</v>
      </c>
      <c r="N8" s="71">
        <f t="shared" ca="1" si="1"/>
        <v>32</v>
      </c>
      <c r="O8" s="108" t="s">
        <v>988</v>
      </c>
      <c r="P8" s="108" t="s">
        <v>1002</v>
      </c>
      <c r="Q8" s="108" t="s">
        <v>1003</v>
      </c>
      <c r="R8" s="108" t="s">
        <v>1004</v>
      </c>
      <c r="S8" s="108"/>
      <c r="T8" s="108"/>
      <c r="U8" s="108"/>
      <c r="V8" s="197">
        <v>45565</v>
      </c>
      <c r="W8" s="108"/>
      <c r="X8" s="203"/>
      <c r="Y8" s="203"/>
      <c r="Z8" s="203"/>
      <c r="AA8" s="203"/>
      <c r="AB8" s="203"/>
      <c r="AC8" s="203"/>
      <c r="AD8" s="203"/>
      <c r="AE8" s="203"/>
      <c r="AF8" s="203"/>
      <c r="AG8" s="203"/>
      <c r="AH8" s="203"/>
      <c r="AI8" s="203"/>
      <c r="AJ8" s="203"/>
      <c r="AK8" s="203"/>
      <c r="AL8" s="203"/>
      <c r="AM8" s="203"/>
      <c r="AN8" s="203"/>
      <c r="AO8" s="203"/>
      <c r="AP8" s="203"/>
      <c r="AQ8" s="203"/>
      <c r="AR8" s="203"/>
      <c r="AS8" s="203"/>
      <c r="AT8" s="203"/>
      <c r="AU8" s="203"/>
      <c r="AV8" s="203"/>
      <c r="AW8" s="203"/>
      <c r="AX8" s="203"/>
      <c r="AY8" s="203"/>
      <c r="AZ8" s="203"/>
      <c r="BA8" s="203"/>
      <c r="BB8" s="203"/>
      <c r="BC8" s="203"/>
      <c r="BD8" s="203"/>
      <c r="BE8" s="203"/>
      <c r="BF8" s="204"/>
      <c r="BG8" s="204"/>
      <c r="BH8" s="204"/>
      <c r="BI8" s="204"/>
      <c r="BJ8" s="204"/>
      <c r="BK8" s="204"/>
      <c r="BL8" s="204"/>
      <c r="BM8" s="204"/>
      <c r="BN8" s="204"/>
      <c r="BO8" s="204"/>
      <c r="BP8" s="204"/>
      <c r="BQ8" s="204"/>
      <c r="BR8" s="204"/>
      <c r="BS8" s="204"/>
      <c r="BT8" s="204"/>
      <c r="BU8" s="204"/>
    </row>
    <row r="9" spans="1:73" s="202" customFormat="1" ht="20.149999999999999" hidden="1" customHeight="1">
      <c r="A9" s="108" t="s">
        <v>188</v>
      </c>
      <c r="B9" s="108" t="s">
        <v>721</v>
      </c>
      <c r="C9" s="108" t="s">
        <v>1626</v>
      </c>
      <c r="D9" s="170" t="s">
        <v>723</v>
      </c>
      <c r="E9" s="108">
        <v>31751874</v>
      </c>
      <c r="F9" s="247" t="s">
        <v>2516</v>
      </c>
      <c r="G9" s="108" t="s">
        <v>21</v>
      </c>
      <c r="H9" s="108" t="s">
        <v>538</v>
      </c>
      <c r="I9" s="108" t="s">
        <v>1620</v>
      </c>
      <c r="J9" s="108" t="s">
        <v>964</v>
      </c>
      <c r="K9" s="108" t="s">
        <v>1005</v>
      </c>
      <c r="L9" s="108" t="s">
        <v>1556</v>
      </c>
      <c r="M9" s="108" t="str">
        <f t="shared" si="0"/>
        <v>22/06/1994</v>
      </c>
      <c r="N9" s="108">
        <f t="shared" ca="1" si="1"/>
        <v>32</v>
      </c>
      <c r="O9" s="108" t="s">
        <v>988</v>
      </c>
      <c r="P9" s="108" t="s">
        <v>1007</v>
      </c>
      <c r="Q9" s="108" t="s">
        <v>1006</v>
      </c>
      <c r="R9" s="108" t="s">
        <v>994</v>
      </c>
      <c r="S9" s="108"/>
      <c r="T9" s="108"/>
      <c r="U9" s="108"/>
      <c r="V9" s="197">
        <v>45596</v>
      </c>
      <c r="W9" s="108"/>
      <c r="X9" s="203"/>
      <c r="Y9" s="203"/>
      <c r="Z9" s="203"/>
      <c r="AA9" s="203"/>
      <c r="AB9" s="203"/>
      <c r="AC9" s="203"/>
      <c r="AD9" s="203"/>
      <c r="AE9" s="203"/>
      <c r="AF9" s="203"/>
      <c r="AG9" s="203"/>
      <c r="AH9" s="203"/>
      <c r="AI9" s="203"/>
      <c r="AJ9" s="203"/>
      <c r="AK9" s="203"/>
      <c r="AL9" s="203"/>
      <c r="AM9" s="203"/>
      <c r="AN9" s="203"/>
      <c r="AO9" s="203"/>
      <c r="AP9" s="203"/>
      <c r="AQ9" s="203"/>
      <c r="AR9" s="203"/>
      <c r="AS9" s="203"/>
      <c r="AT9" s="203"/>
      <c r="AU9" s="203"/>
      <c r="AV9" s="203"/>
      <c r="AW9" s="203"/>
      <c r="AX9" s="203"/>
      <c r="AY9" s="203"/>
      <c r="AZ9" s="203"/>
      <c r="BA9" s="203"/>
      <c r="BB9" s="203"/>
      <c r="BC9" s="203"/>
      <c r="BD9" s="203"/>
      <c r="BE9" s="203"/>
      <c r="BF9" s="204"/>
      <c r="BG9" s="204"/>
      <c r="BH9" s="204"/>
      <c r="BI9" s="204"/>
      <c r="BJ9" s="204"/>
      <c r="BK9" s="204"/>
      <c r="BL9" s="204"/>
      <c r="BM9" s="204"/>
      <c r="BN9" s="204"/>
      <c r="BO9" s="204"/>
      <c r="BP9" s="204"/>
      <c r="BQ9" s="204"/>
      <c r="BR9" s="204"/>
      <c r="BS9" s="204"/>
      <c r="BT9" s="204"/>
      <c r="BU9" s="204"/>
    </row>
    <row r="10" spans="1:73" s="202" customFormat="1" ht="20.149999999999999" hidden="1" customHeight="1">
      <c r="A10" s="108" t="s">
        <v>19</v>
      </c>
      <c r="B10" s="108" t="s">
        <v>542</v>
      </c>
      <c r="C10" s="108" t="s">
        <v>1626</v>
      </c>
      <c r="D10" s="170" t="s">
        <v>2519</v>
      </c>
      <c r="E10" s="108">
        <v>11241975</v>
      </c>
      <c r="F10" s="247" t="s">
        <v>2520</v>
      </c>
      <c r="G10" s="108" t="s">
        <v>21</v>
      </c>
      <c r="H10" s="108" t="s">
        <v>538</v>
      </c>
      <c r="I10" s="108" t="s">
        <v>1624</v>
      </c>
      <c r="J10" s="108" t="s">
        <v>543</v>
      </c>
      <c r="K10" s="108" t="s">
        <v>1005</v>
      </c>
      <c r="L10" s="108" t="s">
        <v>1557</v>
      </c>
      <c r="M10" s="103" t="str">
        <f t="shared" si="0"/>
        <v>01/01/1971</v>
      </c>
      <c r="N10" s="71">
        <f t="shared" ca="1" si="1"/>
        <v>55</v>
      </c>
      <c r="O10" s="108" t="s">
        <v>1010</v>
      </c>
      <c r="P10" s="108" t="s">
        <v>1008</v>
      </c>
      <c r="Q10" s="108" t="s">
        <v>1009</v>
      </c>
      <c r="R10" s="108" t="s">
        <v>1011</v>
      </c>
      <c r="S10" s="108"/>
      <c r="T10" s="108"/>
      <c r="U10" s="108"/>
      <c r="V10" s="197">
        <v>45565</v>
      </c>
      <c r="W10" s="108"/>
      <c r="X10" s="203"/>
      <c r="Y10" s="203"/>
      <c r="Z10" s="203"/>
      <c r="AA10" s="203"/>
      <c r="AB10" s="203"/>
      <c r="AC10" s="203"/>
      <c r="AD10" s="203"/>
      <c r="AE10" s="203"/>
      <c r="AF10" s="203"/>
      <c r="AG10" s="203"/>
      <c r="AH10" s="203"/>
      <c r="AI10" s="203"/>
      <c r="AJ10" s="203"/>
      <c r="AK10" s="203"/>
      <c r="AL10" s="203"/>
      <c r="AM10" s="203"/>
      <c r="AN10" s="203"/>
      <c r="AO10" s="203"/>
      <c r="AP10" s="203"/>
      <c r="AQ10" s="203"/>
      <c r="AR10" s="203"/>
      <c r="AS10" s="203"/>
      <c r="AT10" s="203"/>
      <c r="AU10" s="203"/>
      <c r="AV10" s="203"/>
      <c r="AW10" s="203"/>
      <c r="AX10" s="203"/>
      <c r="AY10" s="203"/>
      <c r="AZ10" s="203"/>
      <c r="BA10" s="203"/>
      <c r="BB10" s="203"/>
      <c r="BC10" s="203"/>
      <c r="BD10" s="203"/>
      <c r="BE10" s="203"/>
      <c r="BF10" s="204"/>
      <c r="BG10" s="204"/>
      <c r="BH10" s="204"/>
      <c r="BI10" s="204"/>
      <c r="BJ10" s="204"/>
      <c r="BK10" s="204"/>
      <c r="BL10" s="204"/>
      <c r="BM10" s="204"/>
      <c r="BN10" s="204"/>
      <c r="BO10" s="204"/>
      <c r="BP10" s="204"/>
      <c r="BQ10" s="204"/>
      <c r="BR10" s="204"/>
      <c r="BS10" s="204"/>
      <c r="BT10" s="204"/>
      <c r="BU10" s="204"/>
    </row>
    <row r="11" spans="1:73" s="201" customFormat="1" ht="20.149999999999999" customHeight="1">
      <c r="A11" s="108" t="s">
        <v>260</v>
      </c>
      <c r="B11" s="108" t="s">
        <v>788</v>
      </c>
      <c r="C11" s="108" t="s">
        <v>1627</v>
      </c>
      <c r="D11" s="170" t="s">
        <v>790</v>
      </c>
      <c r="E11" s="108">
        <v>33117422</v>
      </c>
      <c r="F11" s="247" t="s">
        <v>2523</v>
      </c>
      <c r="G11" s="108" t="s">
        <v>124</v>
      </c>
      <c r="H11" s="108" t="s">
        <v>538</v>
      </c>
      <c r="I11" s="108" t="s">
        <v>1621</v>
      </c>
      <c r="J11" s="108" t="s">
        <v>547</v>
      </c>
      <c r="K11" s="108" t="s">
        <v>1012</v>
      </c>
      <c r="L11" s="108" t="s">
        <v>1562</v>
      </c>
      <c r="M11" s="108" t="str">
        <f t="shared" si="0"/>
        <v>06/10/1996</v>
      </c>
      <c r="N11" s="108">
        <f t="shared" ca="1" si="1"/>
        <v>29</v>
      </c>
      <c r="O11" s="108" t="s">
        <v>988</v>
      </c>
      <c r="P11" s="108" t="s">
        <v>996</v>
      </c>
      <c r="Q11" s="108" t="s">
        <v>1013</v>
      </c>
      <c r="R11" s="108"/>
      <c r="S11" s="108"/>
      <c r="T11" s="108"/>
      <c r="U11" s="108"/>
      <c r="V11" s="197">
        <v>45504</v>
      </c>
      <c r="W11" s="108" t="s">
        <v>2524</v>
      </c>
    </row>
    <row r="12" spans="1:73" ht="20.149999999999999" customHeight="1">
      <c r="A12" s="108" t="s">
        <v>97</v>
      </c>
      <c r="B12" s="108" t="s">
        <v>629</v>
      </c>
      <c r="C12" s="108" t="s">
        <v>1627</v>
      </c>
      <c r="D12" s="170" t="s">
        <v>630</v>
      </c>
      <c r="E12" s="108">
        <v>32149698</v>
      </c>
      <c r="F12" s="247" t="s">
        <v>2521</v>
      </c>
      <c r="G12" s="108" t="s">
        <v>21</v>
      </c>
      <c r="H12" s="108" t="s">
        <v>538</v>
      </c>
      <c r="I12" s="108" t="s">
        <v>1621</v>
      </c>
      <c r="J12" s="108" t="s">
        <v>563</v>
      </c>
      <c r="K12" s="108" t="s">
        <v>1005</v>
      </c>
      <c r="L12" s="108" t="s">
        <v>2522</v>
      </c>
      <c r="M12" s="108" t="str">
        <f t="shared" si="0"/>
        <v>03/09/1995</v>
      </c>
      <c r="N12" s="108">
        <f t="shared" ca="1" si="1"/>
        <v>30</v>
      </c>
      <c r="O12" s="108" t="s">
        <v>1010</v>
      </c>
      <c r="P12" s="108" t="s">
        <v>1014</v>
      </c>
      <c r="Q12" s="108" t="s">
        <v>1015</v>
      </c>
      <c r="R12" s="108" t="s">
        <v>1016</v>
      </c>
      <c r="S12" s="81"/>
      <c r="T12" s="83"/>
      <c r="U12" s="84"/>
      <c r="V12" s="106"/>
      <c r="W12" s="106"/>
    </row>
    <row r="13" spans="1:73" s="202" customFormat="1" ht="20.149999999999999" hidden="1" customHeight="1">
      <c r="A13" s="108" t="s">
        <v>101</v>
      </c>
      <c r="B13" s="108" t="s">
        <v>632</v>
      </c>
      <c r="C13" s="108" t="s">
        <v>1626</v>
      </c>
      <c r="D13" s="170" t="s">
        <v>633</v>
      </c>
      <c r="E13" s="108">
        <v>33350560</v>
      </c>
      <c r="F13" s="108" t="s">
        <v>2525</v>
      </c>
      <c r="G13" s="108" t="s">
        <v>21</v>
      </c>
      <c r="H13" s="108" t="s">
        <v>538</v>
      </c>
      <c r="I13" s="108" t="s">
        <v>1620</v>
      </c>
      <c r="J13" s="108" t="s">
        <v>609</v>
      </c>
      <c r="K13" s="108" t="s">
        <v>1005</v>
      </c>
      <c r="L13" s="108" t="s">
        <v>1017</v>
      </c>
      <c r="M13" s="108" t="str">
        <f t="shared" si="0"/>
        <v>31/05/1996</v>
      </c>
      <c r="N13" s="108">
        <f t="shared" ca="1" si="1"/>
        <v>30</v>
      </c>
      <c r="O13" s="108" t="s">
        <v>998</v>
      </c>
      <c r="P13" s="108" t="s">
        <v>1018</v>
      </c>
      <c r="Q13" s="108" t="s">
        <v>1019</v>
      </c>
      <c r="R13" s="108" t="s">
        <v>1020</v>
      </c>
      <c r="S13" s="81"/>
      <c r="T13" s="83"/>
      <c r="U13" s="84"/>
      <c r="V13" s="108"/>
      <c r="W13" s="108"/>
      <c r="X13" s="203"/>
      <c r="Y13" s="203"/>
      <c r="Z13" s="203"/>
      <c r="AA13" s="203"/>
      <c r="AB13" s="203"/>
      <c r="AC13" s="203"/>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c r="BF13" s="204"/>
      <c r="BG13" s="204"/>
      <c r="BH13" s="204"/>
      <c r="BI13" s="204"/>
      <c r="BJ13" s="204"/>
      <c r="BK13" s="204"/>
      <c r="BL13" s="204"/>
      <c r="BM13" s="204"/>
      <c r="BN13" s="204"/>
      <c r="BO13" s="204"/>
      <c r="BP13" s="204"/>
      <c r="BQ13" s="204"/>
      <c r="BR13" s="204"/>
      <c r="BS13" s="204"/>
      <c r="BT13" s="204"/>
      <c r="BU13" s="204"/>
    </row>
    <row r="14" spans="1:73" ht="20.149999999999999" hidden="1" customHeight="1">
      <c r="A14" s="106" t="s">
        <v>81</v>
      </c>
      <c r="B14" s="106" t="s">
        <v>612</v>
      </c>
      <c r="C14" s="106" t="s">
        <v>1626</v>
      </c>
      <c r="D14" s="117" t="s">
        <v>613</v>
      </c>
      <c r="E14" s="117" t="s">
        <v>2165</v>
      </c>
      <c r="F14" s="180" t="s">
        <v>2450</v>
      </c>
      <c r="G14" s="106" t="s">
        <v>141</v>
      </c>
      <c r="H14" s="106" t="s">
        <v>538</v>
      </c>
      <c r="I14" s="106" t="s">
        <v>1623</v>
      </c>
      <c r="J14" s="106" t="s">
        <v>539</v>
      </c>
      <c r="K14" s="106" t="s">
        <v>1005</v>
      </c>
      <c r="L14" s="106" t="s">
        <v>1021</v>
      </c>
      <c r="M14" s="106" t="str">
        <f t="shared" si="0"/>
        <v>22/10/1996</v>
      </c>
      <c r="N14" s="106">
        <f t="shared" ca="1" si="1"/>
        <v>29</v>
      </c>
      <c r="O14" s="106" t="s">
        <v>988</v>
      </c>
      <c r="P14" s="106" t="s">
        <v>2451</v>
      </c>
      <c r="Q14" s="106" t="s">
        <v>1013</v>
      </c>
      <c r="R14" s="106"/>
      <c r="S14" s="81" t="s">
        <v>2329</v>
      </c>
      <c r="T14" s="83">
        <v>510404</v>
      </c>
      <c r="U14" s="84">
        <v>46265</v>
      </c>
      <c r="V14" s="106"/>
      <c r="W14" s="106"/>
    </row>
    <row r="15" spans="1:73" s="202" customFormat="1" ht="20.149999999999999" customHeight="1">
      <c r="A15" s="106"/>
      <c r="B15" s="106" t="s">
        <v>1023</v>
      </c>
      <c r="C15" s="106" t="s">
        <v>1627</v>
      </c>
      <c r="D15" s="118" t="s">
        <v>647</v>
      </c>
      <c r="E15" s="117" t="s">
        <v>2454</v>
      </c>
      <c r="F15" s="180" t="s">
        <v>2453</v>
      </c>
      <c r="G15" s="106" t="s">
        <v>21</v>
      </c>
      <c r="H15" s="106" t="s">
        <v>538</v>
      </c>
      <c r="I15" s="106" t="s">
        <v>1621</v>
      </c>
      <c r="J15" s="106" t="s">
        <v>547</v>
      </c>
      <c r="K15" s="106" t="s">
        <v>1005</v>
      </c>
      <c r="L15" s="106" t="s">
        <v>2455</v>
      </c>
      <c r="M15" s="106" t="str">
        <f t="shared" si="0"/>
        <v>16/04/1988</v>
      </c>
      <c r="N15" s="106">
        <f t="shared" ca="1" si="1"/>
        <v>38</v>
      </c>
      <c r="O15" s="106" t="s">
        <v>988</v>
      </c>
      <c r="P15" s="108" t="s">
        <v>2456</v>
      </c>
      <c r="Q15" s="106" t="s">
        <v>2452</v>
      </c>
      <c r="R15" s="106" t="s">
        <v>2457</v>
      </c>
      <c r="S15" s="106"/>
      <c r="T15" s="106"/>
      <c r="U15" s="106"/>
      <c r="V15" s="108"/>
      <c r="W15" s="108"/>
      <c r="X15" s="203"/>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c r="BF15" s="204"/>
      <c r="BG15" s="204"/>
      <c r="BH15" s="204"/>
      <c r="BI15" s="204"/>
      <c r="BJ15" s="204"/>
      <c r="BK15" s="204"/>
      <c r="BL15" s="204"/>
      <c r="BM15" s="204"/>
      <c r="BN15" s="204"/>
      <c r="BO15" s="204"/>
      <c r="BP15" s="204"/>
      <c r="BQ15" s="204"/>
      <c r="BR15" s="204"/>
      <c r="BS15" s="204"/>
      <c r="BT15" s="204"/>
      <c r="BU15" s="204"/>
    </row>
    <row r="16" spans="1:73" ht="20.149999999999999" hidden="1" customHeight="1">
      <c r="A16" s="108" t="s">
        <v>71</v>
      </c>
      <c r="B16" s="108" t="s">
        <v>602</v>
      </c>
      <c r="C16" s="108" t="s">
        <v>1626</v>
      </c>
      <c r="D16" s="170" t="s">
        <v>603</v>
      </c>
      <c r="E16" s="108">
        <v>27324353</v>
      </c>
      <c r="F16" s="247" t="s">
        <v>2526</v>
      </c>
      <c r="G16" s="108" t="s">
        <v>21</v>
      </c>
      <c r="H16" s="108" t="s">
        <v>538</v>
      </c>
      <c r="I16" s="108" t="s">
        <v>1621</v>
      </c>
      <c r="J16" s="108" t="s">
        <v>547</v>
      </c>
      <c r="K16" s="108" t="s">
        <v>1005</v>
      </c>
      <c r="L16" s="108" t="s">
        <v>1025</v>
      </c>
      <c r="M16" s="108" t="str">
        <f t="shared" si="0"/>
        <v>24/09/1982</v>
      </c>
      <c r="N16" s="108">
        <f t="shared" ca="1" si="1"/>
        <v>43</v>
      </c>
      <c r="O16" s="108" t="s">
        <v>988</v>
      </c>
      <c r="P16" s="108" t="s">
        <v>992</v>
      </c>
      <c r="Q16" s="108" t="s">
        <v>985</v>
      </c>
      <c r="R16" s="108" t="s">
        <v>1026</v>
      </c>
      <c r="S16" s="108"/>
      <c r="T16" s="108"/>
      <c r="U16" s="108"/>
      <c r="V16" s="146">
        <v>45565</v>
      </c>
      <c r="W16" s="106"/>
    </row>
    <row r="17" spans="1:73" s="205" customFormat="1" ht="20.149999999999999" hidden="1" customHeight="1">
      <c r="A17" s="106" t="s">
        <v>300</v>
      </c>
      <c r="B17" s="106" t="s">
        <v>975</v>
      </c>
      <c r="C17" s="106" t="s">
        <v>1626</v>
      </c>
      <c r="D17" s="121" t="s">
        <v>2183</v>
      </c>
      <c r="E17" s="106">
        <v>28320065</v>
      </c>
      <c r="F17" s="182" t="s">
        <v>2458</v>
      </c>
      <c r="G17" s="106" t="s">
        <v>2157</v>
      </c>
      <c r="H17" s="106" t="s">
        <v>538</v>
      </c>
      <c r="I17" s="106" t="s">
        <v>1620</v>
      </c>
      <c r="J17" s="106" t="s">
        <v>960</v>
      </c>
      <c r="K17" s="106" t="s">
        <v>1028</v>
      </c>
      <c r="L17" s="106" t="s">
        <v>1027</v>
      </c>
      <c r="M17" s="106" t="str">
        <f t="shared" si="0"/>
        <v>17/05/1990</v>
      </c>
      <c r="N17" s="106">
        <f t="shared" ca="1" si="1"/>
        <v>36</v>
      </c>
      <c r="O17" s="106" t="s">
        <v>988</v>
      </c>
      <c r="P17" s="106" t="s">
        <v>1029</v>
      </c>
      <c r="Q17" s="106" t="s">
        <v>1030</v>
      </c>
      <c r="R17" s="106"/>
      <c r="S17" s="81" t="s">
        <v>2459</v>
      </c>
      <c r="T17" s="83" t="s">
        <v>2460</v>
      </c>
      <c r="U17" s="84">
        <v>46022</v>
      </c>
      <c r="V17" s="108"/>
      <c r="W17" s="108"/>
      <c r="X17" s="203"/>
      <c r="Y17" s="203"/>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c r="BF17" s="204"/>
      <c r="BG17" s="204"/>
      <c r="BH17" s="204"/>
      <c r="BI17" s="204"/>
      <c r="BJ17" s="204"/>
      <c r="BK17" s="204"/>
      <c r="BL17" s="204"/>
      <c r="BM17" s="204"/>
      <c r="BN17" s="204"/>
      <c r="BO17" s="204"/>
      <c r="BP17" s="204"/>
      <c r="BQ17" s="204"/>
      <c r="BR17" s="204"/>
      <c r="BS17" s="204"/>
      <c r="BT17" s="204"/>
      <c r="BU17" s="204"/>
    </row>
    <row r="18" spans="1:73" s="205" customFormat="1" ht="20.149999999999999" hidden="1" customHeight="1">
      <c r="A18" s="106" t="s">
        <v>147</v>
      </c>
      <c r="B18" s="106" t="s">
        <v>683</v>
      </c>
      <c r="C18" s="106" t="s">
        <v>1626</v>
      </c>
      <c r="D18" s="119" t="s">
        <v>684</v>
      </c>
      <c r="E18" s="106">
        <v>33333579</v>
      </c>
      <c r="F18" s="182" t="s">
        <v>2461</v>
      </c>
      <c r="G18" s="106" t="s">
        <v>21</v>
      </c>
      <c r="H18" s="106" t="s">
        <v>538</v>
      </c>
      <c r="I18" s="106" t="s">
        <v>1620</v>
      </c>
      <c r="J18" s="106" t="s">
        <v>960</v>
      </c>
      <c r="K18" s="106" t="s">
        <v>1060</v>
      </c>
      <c r="L18" s="106" t="s">
        <v>1031</v>
      </c>
      <c r="M18" s="106" t="str">
        <f t="shared" si="0"/>
        <v>24/05/1996</v>
      </c>
      <c r="N18" s="106">
        <f t="shared" ca="1" si="1"/>
        <v>30</v>
      </c>
      <c r="O18" s="106" t="s">
        <v>998</v>
      </c>
      <c r="P18" s="106" t="s">
        <v>2462</v>
      </c>
      <c r="Q18" s="106" t="s">
        <v>1024</v>
      </c>
      <c r="R18" s="106" t="s">
        <v>994</v>
      </c>
      <c r="S18" s="106"/>
      <c r="T18" s="106"/>
      <c r="U18" s="106"/>
      <c r="V18" s="108"/>
      <c r="W18" s="108"/>
      <c r="X18" s="203"/>
      <c r="Y18" s="203"/>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c r="BF18" s="204"/>
      <c r="BG18" s="204"/>
      <c r="BH18" s="204"/>
      <c r="BI18" s="204"/>
      <c r="BJ18" s="204"/>
      <c r="BK18" s="204"/>
      <c r="BL18" s="204"/>
      <c r="BM18" s="204"/>
      <c r="BN18" s="204"/>
      <c r="BO18" s="204"/>
      <c r="BP18" s="204"/>
      <c r="BQ18" s="204"/>
      <c r="BR18" s="204"/>
      <c r="BS18" s="204"/>
      <c r="BT18" s="204"/>
      <c r="BU18" s="204"/>
    </row>
    <row r="19" spans="1:73" s="205" customFormat="1" ht="20.149999999999999" hidden="1" customHeight="1">
      <c r="A19" s="108" t="s">
        <v>26</v>
      </c>
      <c r="B19" s="108" t="s">
        <v>546</v>
      </c>
      <c r="C19" s="108" t="s">
        <v>1626</v>
      </c>
      <c r="D19" s="170" t="s">
        <v>548</v>
      </c>
      <c r="E19" s="108">
        <v>36941690</v>
      </c>
      <c r="F19" s="247" t="s">
        <v>2527</v>
      </c>
      <c r="G19" s="108" t="s">
        <v>21</v>
      </c>
      <c r="H19" s="108" t="s">
        <v>538</v>
      </c>
      <c r="I19" s="108" t="s">
        <v>1621</v>
      </c>
      <c r="J19" s="108" t="s">
        <v>547</v>
      </c>
      <c r="K19" s="108" t="s">
        <v>1005</v>
      </c>
      <c r="L19" s="108" t="s">
        <v>1095</v>
      </c>
      <c r="M19" s="103" t="str">
        <f t="shared" si="0"/>
        <v>17/09/1999</v>
      </c>
      <c r="N19" s="71">
        <f t="shared" ca="1" si="1"/>
        <v>26</v>
      </c>
      <c r="O19" s="108" t="s">
        <v>1010</v>
      </c>
      <c r="P19" s="108" t="s">
        <v>1032</v>
      </c>
      <c r="Q19" s="108" t="s">
        <v>1033</v>
      </c>
      <c r="R19" s="108" t="s">
        <v>1034</v>
      </c>
      <c r="S19" s="108"/>
      <c r="T19" s="108"/>
      <c r="U19" s="108"/>
      <c r="V19" s="197">
        <v>45565</v>
      </c>
      <c r="W19" s="108"/>
      <c r="X19" s="203"/>
      <c r="Y19" s="203"/>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c r="BF19" s="204"/>
      <c r="BG19" s="204"/>
      <c r="BH19" s="204"/>
      <c r="BI19" s="204"/>
      <c r="BJ19" s="204"/>
      <c r="BK19" s="204"/>
      <c r="BL19" s="204"/>
      <c r="BM19" s="204"/>
      <c r="BN19" s="204"/>
      <c r="BO19" s="204"/>
      <c r="BP19" s="204"/>
      <c r="BQ19" s="204"/>
      <c r="BR19" s="204"/>
      <c r="BS19" s="204"/>
      <c r="BT19" s="204"/>
      <c r="BU19" s="204"/>
    </row>
    <row r="20" spans="1:73" ht="20.149999999999999" customHeight="1">
      <c r="A20" s="106"/>
      <c r="B20" s="106" t="s">
        <v>1584</v>
      </c>
      <c r="C20" s="106" t="s">
        <v>1627</v>
      </c>
      <c r="D20" s="123" t="s">
        <v>2184</v>
      </c>
      <c r="E20" s="117" t="s">
        <v>2463</v>
      </c>
      <c r="F20" s="180" t="s">
        <v>2464</v>
      </c>
      <c r="G20" s="106" t="s">
        <v>124</v>
      </c>
      <c r="H20" s="106" t="s">
        <v>538</v>
      </c>
      <c r="I20" s="106" t="s">
        <v>1621</v>
      </c>
      <c r="J20" s="106" t="s">
        <v>547</v>
      </c>
      <c r="K20" s="106" t="s">
        <v>1585</v>
      </c>
      <c r="L20" s="106" t="s">
        <v>1589</v>
      </c>
      <c r="M20" s="106" t="str">
        <f t="shared" si="0"/>
        <v>24/04/1993</v>
      </c>
      <c r="N20" s="106">
        <f t="shared" ca="1" si="1"/>
        <v>33</v>
      </c>
      <c r="O20" s="106" t="s">
        <v>988</v>
      </c>
      <c r="P20" s="106" t="s">
        <v>996</v>
      </c>
      <c r="Q20" s="106" t="s">
        <v>1334</v>
      </c>
      <c r="R20" s="106"/>
      <c r="S20" s="81" t="s">
        <v>2328</v>
      </c>
      <c r="T20" s="83" t="s">
        <v>2530</v>
      </c>
      <c r="U20" s="84">
        <v>46356</v>
      </c>
      <c r="V20" s="106"/>
      <c r="W20" s="106"/>
    </row>
    <row r="21" spans="1:73" ht="20.149999999999999" hidden="1" customHeight="1">
      <c r="A21" s="108" t="s">
        <v>252</v>
      </c>
      <c r="B21" s="108" t="s">
        <v>776</v>
      </c>
      <c r="C21" s="108" t="s">
        <v>1626</v>
      </c>
      <c r="D21" s="170" t="s">
        <v>778</v>
      </c>
      <c r="E21" s="108">
        <v>30846801</v>
      </c>
      <c r="F21" s="247" t="s">
        <v>2528</v>
      </c>
      <c r="G21" s="108" t="s">
        <v>83</v>
      </c>
      <c r="H21" s="108" t="s">
        <v>538</v>
      </c>
      <c r="I21" s="108" t="s">
        <v>1623</v>
      </c>
      <c r="J21" s="108" t="s">
        <v>539</v>
      </c>
      <c r="K21" s="108" t="s">
        <v>1036</v>
      </c>
      <c r="L21" s="108" t="s">
        <v>1035</v>
      </c>
      <c r="M21" s="108" t="str">
        <f t="shared" si="0"/>
        <v>30/05/1994</v>
      </c>
      <c r="N21" s="108">
        <f t="shared" ca="1" si="1"/>
        <v>32</v>
      </c>
      <c r="O21" s="108" t="s">
        <v>988</v>
      </c>
      <c r="P21" s="108" t="s">
        <v>983</v>
      </c>
      <c r="Q21" s="108" t="s">
        <v>1142</v>
      </c>
      <c r="R21" s="108"/>
      <c r="S21" s="108"/>
      <c r="T21" s="108"/>
      <c r="U21" s="108"/>
      <c r="V21" s="146">
        <v>45565</v>
      </c>
      <c r="W21" s="106"/>
    </row>
    <row r="22" spans="1:73" ht="20.149999999999999" hidden="1" customHeight="1">
      <c r="A22" s="108" t="s">
        <v>177</v>
      </c>
      <c r="B22" s="108" t="s">
        <v>709</v>
      </c>
      <c r="C22" s="108" t="s">
        <v>1626</v>
      </c>
      <c r="D22" s="170" t="s">
        <v>711</v>
      </c>
      <c r="E22" s="108">
        <v>29312165</v>
      </c>
      <c r="F22" s="247" t="s">
        <v>2529</v>
      </c>
      <c r="G22" s="108" t="s">
        <v>21</v>
      </c>
      <c r="H22" s="108" t="s">
        <v>538</v>
      </c>
      <c r="I22" s="108" t="s">
        <v>1620</v>
      </c>
      <c r="J22" s="108" t="s">
        <v>960</v>
      </c>
      <c r="K22" s="108" t="s">
        <v>1039</v>
      </c>
      <c r="L22" s="108" t="s">
        <v>1037</v>
      </c>
      <c r="M22" s="108" t="str">
        <f t="shared" si="0"/>
        <v>07/07/1992</v>
      </c>
      <c r="N22" s="108">
        <f t="shared" ca="1" si="1"/>
        <v>34</v>
      </c>
      <c r="O22" s="108" t="s">
        <v>988</v>
      </c>
      <c r="P22" s="108" t="s">
        <v>1038</v>
      </c>
      <c r="Q22" s="108" t="s">
        <v>985</v>
      </c>
      <c r="R22" s="108" t="s">
        <v>994</v>
      </c>
      <c r="S22" s="108"/>
      <c r="T22" s="108"/>
      <c r="U22" s="108"/>
      <c r="V22" s="146">
        <v>45565</v>
      </c>
      <c r="W22" s="106"/>
    </row>
    <row r="23" spans="1:73" ht="20.149999999999999" customHeight="1">
      <c r="A23" s="108" t="s">
        <v>229</v>
      </c>
      <c r="B23" s="108" t="s">
        <v>760</v>
      </c>
      <c r="C23" s="108" t="s">
        <v>1627</v>
      </c>
      <c r="D23" s="170" t="s">
        <v>761</v>
      </c>
      <c r="E23" s="108">
        <v>27059662</v>
      </c>
      <c r="F23" s="108" t="s">
        <v>2531</v>
      </c>
      <c r="G23" s="108" t="s">
        <v>407</v>
      </c>
      <c r="H23" s="108" t="s">
        <v>538</v>
      </c>
      <c r="I23" s="108" t="s">
        <v>1623</v>
      </c>
      <c r="J23" s="108" t="s">
        <v>696</v>
      </c>
      <c r="K23" s="108" t="s">
        <v>1039</v>
      </c>
      <c r="L23" s="108" t="s">
        <v>1045</v>
      </c>
      <c r="M23" s="108" t="str">
        <f t="shared" si="0"/>
        <v>15/05/1989</v>
      </c>
      <c r="N23" s="108">
        <f t="shared" ca="1" si="1"/>
        <v>37</v>
      </c>
      <c r="O23" s="108" t="s">
        <v>988</v>
      </c>
      <c r="P23" s="108" t="s">
        <v>1040</v>
      </c>
      <c r="Q23" s="108" t="s">
        <v>1041</v>
      </c>
      <c r="R23" s="108" t="s">
        <v>994</v>
      </c>
      <c r="S23" s="108"/>
      <c r="T23" s="108"/>
      <c r="U23" s="108"/>
      <c r="V23" s="146">
        <v>45565</v>
      </c>
      <c r="W23" s="106"/>
    </row>
    <row r="24" spans="1:73" s="205" customFormat="1" ht="20.149999999999999" customHeight="1">
      <c r="A24" s="108" t="s">
        <v>164</v>
      </c>
      <c r="B24" s="108" t="s">
        <v>699</v>
      </c>
      <c r="C24" s="108" t="s">
        <v>1627</v>
      </c>
      <c r="D24" s="170" t="s">
        <v>701</v>
      </c>
      <c r="E24" s="108">
        <v>29331892</v>
      </c>
      <c r="F24" s="247" t="s">
        <v>2465</v>
      </c>
      <c r="G24" s="108" t="s">
        <v>21</v>
      </c>
      <c r="H24" s="108" t="s">
        <v>538</v>
      </c>
      <c r="I24" s="108" t="s">
        <v>1623</v>
      </c>
      <c r="J24" s="108" t="s">
        <v>656</v>
      </c>
      <c r="K24" s="108" t="s">
        <v>1039</v>
      </c>
      <c r="L24" s="108" t="s">
        <v>1044</v>
      </c>
      <c r="M24" s="108" t="str">
        <f t="shared" si="0"/>
        <v>13/03/1992</v>
      </c>
      <c r="N24" s="108">
        <f t="shared" ca="1" si="1"/>
        <v>34</v>
      </c>
      <c r="O24" s="108" t="s">
        <v>998</v>
      </c>
      <c r="P24" s="108" t="s">
        <v>1042</v>
      </c>
      <c r="Q24" s="108" t="s">
        <v>1043</v>
      </c>
      <c r="R24" s="108" t="s">
        <v>994</v>
      </c>
      <c r="S24" s="108"/>
      <c r="T24" s="108"/>
      <c r="U24" s="108"/>
      <c r="V24" s="197">
        <v>45565</v>
      </c>
      <c r="W24" s="108"/>
      <c r="X24" s="203"/>
      <c r="Y24" s="203"/>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c r="BF24" s="204"/>
      <c r="BG24" s="204"/>
      <c r="BH24" s="204"/>
      <c r="BI24" s="204"/>
      <c r="BJ24" s="204"/>
      <c r="BK24" s="204"/>
      <c r="BL24" s="204"/>
      <c r="BM24" s="204"/>
      <c r="BN24" s="204"/>
      <c r="BO24" s="204"/>
      <c r="BP24" s="204"/>
      <c r="BQ24" s="204"/>
      <c r="BR24" s="204"/>
      <c r="BS24" s="204"/>
      <c r="BT24" s="204"/>
      <c r="BU24" s="204"/>
    </row>
    <row r="25" spans="1:73" s="205" customFormat="1" ht="20.149999999999999" hidden="1" customHeight="1">
      <c r="A25" s="106" t="s">
        <v>31</v>
      </c>
      <c r="B25" s="106" t="s">
        <v>550</v>
      </c>
      <c r="C25" s="106" t="s">
        <v>1626</v>
      </c>
      <c r="D25" s="117" t="s">
        <v>552</v>
      </c>
      <c r="E25" s="117" t="s">
        <v>2159</v>
      </c>
      <c r="F25" s="180" t="s">
        <v>2467</v>
      </c>
      <c r="G25" s="106" t="s">
        <v>21</v>
      </c>
      <c r="H25" s="106" t="s">
        <v>538</v>
      </c>
      <c r="I25" s="106" t="s">
        <v>1620</v>
      </c>
      <c r="J25" s="106" t="s">
        <v>551</v>
      </c>
      <c r="K25" s="106" t="s">
        <v>1005</v>
      </c>
      <c r="L25" s="106" t="s">
        <v>1050</v>
      </c>
      <c r="M25" s="106" t="str">
        <f t="shared" si="0"/>
        <v>27/09/1985</v>
      </c>
      <c r="N25" s="106">
        <f t="shared" ca="1" si="1"/>
        <v>40</v>
      </c>
      <c r="O25" s="106" t="s">
        <v>988</v>
      </c>
      <c r="P25" s="106" t="s">
        <v>1002</v>
      </c>
      <c r="Q25" s="106" t="s">
        <v>1051</v>
      </c>
      <c r="R25" s="106" t="s">
        <v>1055</v>
      </c>
      <c r="S25" s="106"/>
      <c r="T25" s="106"/>
      <c r="U25" s="106"/>
      <c r="V25" s="108"/>
      <c r="W25" s="108"/>
      <c r="X25" s="203"/>
      <c r="Y25" s="203"/>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c r="BF25" s="204"/>
      <c r="BG25" s="204"/>
      <c r="BH25" s="204"/>
      <c r="BI25" s="204"/>
      <c r="BJ25" s="204"/>
      <c r="BK25" s="204"/>
      <c r="BL25" s="204"/>
      <c r="BM25" s="204"/>
      <c r="BN25" s="204"/>
      <c r="BO25" s="204"/>
      <c r="BP25" s="204"/>
      <c r="BQ25" s="204"/>
      <c r="BR25" s="204"/>
      <c r="BS25" s="204"/>
      <c r="BT25" s="204"/>
      <c r="BU25" s="204"/>
    </row>
    <row r="26" spans="1:73" s="201" customFormat="1" ht="20.149999999999999" hidden="1" customHeight="1">
      <c r="A26" s="106" t="s">
        <v>173</v>
      </c>
      <c r="B26" s="106" t="s">
        <v>1938</v>
      </c>
      <c r="C26" s="106" t="s">
        <v>1626</v>
      </c>
      <c r="D26" s="119" t="s">
        <v>707</v>
      </c>
      <c r="E26" s="106">
        <v>28548632</v>
      </c>
      <c r="F26" s="182" t="s">
        <v>2466</v>
      </c>
      <c r="G26" s="106" t="s">
        <v>21</v>
      </c>
      <c r="H26" s="106" t="s">
        <v>538</v>
      </c>
      <c r="I26" s="106" t="s">
        <v>1623</v>
      </c>
      <c r="J26" s="106" t="s">
        <v>696</v>
      </c>
      <c r="K26" s="106" t="s">
        <v>1039</v>
      </c>
      <c r="L26" s="106" t="s">
        <v>1046</v>
      </c>
      <c r="M26" s="106" t="str">
        <f t="shared" si="0"/>
        <v>15/02/1991</v>
      </c>
      <c r="N26" s="106">
        <f t="shared" ca="1" si="1"/>
        <v>35</v>
      </c>
      <c r="O26" s="106" t="s">
        <v>988</v>
      </c>
      <c r="P26" s="106" t="s">
        <v>1047</v>
      </c>
      <c r="Q26" s="106" t="s">
        <v>1048</v>
      </c>
      <c r="R26" s="106" t="s">
        <v>1049</v>
      </c>
      <c r="S26" s="106"/>
      <c r="T26" s="106"/>
      <c r="U26" s="106"/>
      <c r="V26" s="106"/>
      <c r="W26" s="10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row>
    <row r="27" spans="1:73" ht="20.149999999999999" hidden="1" customHeight="1">
      <c r="A27" s="106"/>
      <c r="B27" s="106" t="s">
        <v>1586</v>
      </c>
      <c r="C27" s="106" t="s">
        <v>1626</v>
      </c>
      <c r="D27" s="123" t="s">
        <v>2185</v>
      </c>
      <c r="E27" s="117">
        <v>37792378</v>
      </c>
      <c r="F27" s="180" t="s">
        <v>2468</v>
      </c>
      <c r="G27" s="106" t="s">
        <v>124</v>
      </c>
      <c r="H27" s="106" t="s">
        <v>538</v>
      </c>
      <c r="I27" s="106" t="s">
        <v>1934</v>
      </c>
      <c r="J27" s="106" t="s">
        <v>571</v>
      </c>
      <c r="K27" s="106" t="s">
        <v>1585</v>
      </c>
      <c r="L27" s="106" t="s">
        <v>2469</v>
      </c>
      <c r="M27" s="106" t="str">
        <f t="shared" si="0"/>
        <v>22/03/2000</v>
      </c>
      <c r="N27" s="106">
        <f t="shared" ca="1" si="1"/>
        <v>26</v>
      </c>
      <c r="O27" s="106" t="s">
        <v>988</v>
      </c>
      <c r="P27" s="106" t="s">
        <v>996</v>
      </c>
      <c r="Q27" s="106" t="s">
        <v>1334</v>
      </c>
      <c r="R27" s="106"/>
      <c r="S27" s="81" t="s">
        <v>2328</v>
      </c>
      <c r="T27" s="83" t="s">
        <v>2198</v>
      </c>
      <c r="U27" s="84">
        <v>46326</v>
      </c>
      <c r="V27" s="106"/>
      <c r="W27" s="106"/>
    </row>
    <row r="28" spans="1:73" s="205" customFormat="1" ht="20" hidden="1" customHeight="1">
      <c r="A28" s="108" t="s">
        <v>77</v>
      </c>
      <c r="B28" s="108" t="s">
        <v>608</v>
      </c>
      <c r="C28" s="108" t="s">
        <v>1626</v>
      </c>
      <c r="D28" s="170" t="s">
        <v>610</v>
      </c>
      <c r="E28" s="108">
        <v>30085903</v>
      </c>
      <c r="F28" s="247" t="s">
        <v>2567</v>
      </c>
      <c r="G28" s="108" t="s">
        <v>21</v>
      </c>
      <c r="H28" s="108" t="s">
        <v>538</v>
      </c>
      <c r="I28" s="108" t="s">
        <v>1620</v>
      </c>
      <c r="J28" s="108" t="s">
        <v>960</v>
      </c>
      <c r="K28" s="108" t="s">
        <v>1005</v>
      </c>
      <c r="L28" s="108" t="s">
        <v>1052</v>
      </c>
      <c r="M28" s="108" t="str">
        <f t="shared" si="0"/>
        <v>03/11/1992</v>
      </c>
      <c r="N28" s="108">
        <f t="shared" ca="1" si="1"/>
        <v>33</v>
      </c>
      <c r="O28" s="108" t="s">
        <v>988</v>
      </c>
      <c r="P28" s="108" t="s">
        <v>1053</v>
      </c>
      <c r="Q28" s="108" t="s">
        <v>1054</v>
      </c>
      <c r="R28" s="108" t="s">
        <v>994</v>
      </c>
      <c r="S28" s="108"/>
      <c r="T28" s="108"/>
      <c r="U28" s="108"/>
      <c r="V28" s="197">
        <v>45565</v>
      </c>
      <c r="W28" s="108"/>
      <c r="X28" s="203"/>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c r="BF28" s="204"/>
      <c r="BG28" s="204"/>
      <c r="BH28" s="204"/>
      <c r="BI28" s="204"/>
      <c r="BJ28" s="204"/>
      <c r="BK28" s="204"/>
      <c r="BL28" s="204"/>
      <c r="BM28" s="204"/>
      <c r="BN28" s="204"/>
      <c r="BO28" s="204"/>
      <c r="BP28" s="204"/>
      <c r="BQ28" s="204"/>
      <c r="BR28" s="204"/>
      <c r="BS28" s="204"/>
      <c r="BT28" s="204"/>
      <c r="BU28" s="204"/>
    </row>
    <row r="29" spans="1:73" s="205" customFormat="1" ht="20.149999999999999" hidden="1" customHeight="1">
      <c r="A29" s="106" t="s">
        <v>157</v>
      </c>
      <c r="B29" s="106" t="s">
        <v>692</v>
      </c>
      <c r="C29" s="106" t="s">
        <v>1626</v>
      </c>
      <c r="D29" s="119" t="s">
        <v>693</v>
      </c>
      <c r="E29" s="106">
        <v>28971833</v>
      </c>
      <c r="F29" s="182" t="s">
        <v>2568</v>
      </c>
      <c r="G29" s="106" t="s">
        <v>21</v>
      </c>
      <c r="H29" s="106" t="s">
        <v>538</v>
      </c>
      <c r="I29" s="106" t="s">
        <v>1620</v>
      </c>
      <c r="J29" s="106" t="s">
        <v>960</v>
      </c>
      <c r="K29" s="106" t="s">
        <v>1059</v>
      </c>
      <c r="L29" s="106" t="s">
        <v>1058</v>
      </c>
      <c r="M29" s="106" t="str">
        <f t="shared" si="0"/>
        <v>15/11/1991</v>
      </c>
      <c r="N29" s="106">
        <f t="shared" ca="1" si="1"/>
        <v>34</v>
      </c>
      <c r="O29" s="106" t="s">
        <v>988</v>
      </c>
      <c r="P29" s="106" t="s">
        <v>1056</v>
      </c>
      <c r="Q29" s="106" t="s">
        <v>1057</v>
      </c>
      <c r="R29" s="106" t="s">
        <v>1203</v>
      </c>
      <c r="S29" s="106"/>
      <c r="T29" s="106"/>
      <c r="U29" s="106"/>
      <c r="V29" s="108"/>
      <c r="W29" s="108"/>
      <c r="X29" s="203"/>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c r="BF29" s="204"/>
      <c r="BG29" s="204"/>
      <c r="BH29" s="204"/>
      <c r="BI29" s="204"/>
      <c r="BJ29" s="204"/>
      <c r="BK29" s="204"/>
      <c r="BL29" s="204"/>
      <c r="BM29" s="204"/>
      <c r="BN29" s="204"/>
      <c r="BO29" s="204"/>
      <c r="BP29" s="204"/>
      <c r="BQ29" s="204"/>
      <c r="BR29" s="204"/>
      <c r="BS29" s="204"/>
      <c r="BT29" s="204"/>
      <c r="BU29" s="204"/>
    </row>
    <row r="30" spans="1:73" s="205" customFormat="1" ht="20.149999999999999" customHeight="1">
      <c r="A30" s="106" t="s">
        <v>237</v>
      </c>
      <c r="B30" s="106" t="s">
        <v>1096</v>
      </c>
      <c r="C30" s="106" t="s">
        <v>1627</v>
      </c>
      <c r="D30" s="123" t="s">
        <v>2173</v>
      </c>
      <c r="E30" s="117" t="s">
        <v>2174</v>
      </c>
      <c r="F30" s="180" t="s">
        <v>2480</v>
      </c>
      <c r="G30" s="106" t="s">
        <v>966</v>
      </c>
      <c r="H30" s="106" t="s">
        <v>538</v>
      </c>
      <c r="I30" s="106" t="s">
        <v>1620</v>
      </c>
      <c r="J30" s="106" t="s">
        <v>960</v>
      </c>
      <c r="K30" s="106" t="s">
        <v>1063</v>
      </c>
      <c r="L30" s="106" t="s">
        <v>1062</v>
      </c>
      <c r="M30" s="106" t="str">
        <f t="shared" si="0"/>
        <v>31/05/1997</v>
      </c>
      <c r="N30" s="106">
        <f t="shared" ca="1" si="1"/>
        <v>29</v>
      </c>
      <c r="O30" s="106" t="s">
        <v>988</v>
      </c>
      <c r="P30" s="106" t="s">
        <v>1029</v>
      </c>
      <c r="Q30" s="106" t="s">
        <v>1065</v>
      </c>
      <c r="R30" s="106"/>
      <c r="S30" s="81" t="s">
        <v>2459</v>
      </c>
      <c r="T30" t="s">
        <v>3278</v>
      </c>
      <c r="U30" s="84">
        <v>46387</v>
      </c>
      <c r="V30" s="108"/>
      <c r="W30" s="108"/>
      <c r="X30" s="203"/>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c r="BF30" s="204"/>
      <c r="BG30" s="204"/>
      <c r="BH30" s="204"/>
      <c r="BI30" s="204"/>
      <c r="BJ30" s="204"/>
      <c r="BK30" s="204"/>
      <c r="BL30" s="204"/>
      <c r="BM30" s="204"/>
      <c r="BN30" s="204"/>
      <c r="BO30" s="204"/>
      <c r="BP30" s="204"/>
      <c r="BQ30" s="204"/>
      <c r="BR30" s="204"/>
      <c r="BS30" s="204"/>
      <c r="BT30" s="204"/>
      <c r="BU30" s="204"/>
    </row>
    <row r="31" spans="1:73" ht="20.149999999999999" customHeight="1">
      <c r="A31" s="108" t="s">
        <v>241</v>
      </c>
      <c r="B31" s="108" t="s">
        <v>1061</v>
      </c>
      <c r="C31" s="108" t="s">
        <v>1627</v>
      </c>
      <c r="D31" s="170" t="s">
        <v>769</v>
      </c>
      <c r="E31" s="108">
        <v>33773201</v>
      </c>
      <c r="F31" s="247" t="s">
        <v>2563</v>
      </c>
      <c r="G31" s="108" t="s">
        <v>407</v>
      </c>
      <c r="H31" s="108" t="s">
        <v>538</v>
      </c>
      <c r="I31" s="108" t="s">
        <v>1621</v>
      </c>
      <c r="J31" s="108" t="s">
        <v>547</v>
      </c>
      <c r="K31" s="108" t="s">
        <v>1063</v>
      </c>
      <c r="L31" s="108" t="s">
        <v>2564</v>
      </c>
      <c r="M31" s="108" t="str">
        <f t="shared" si="0"/>
        <v>31/05/1997</v>
      </c>
      <c r="N31" s="108">
        <f t="shared" ca="1" si="1"/>
        <v>29</v>
      </c>
      <c r="O31" s="108" t="s">
        <v>988</v>
      </c>
      <c r="P31" s="108" t="s">
        <v>2565</v>
      </c>
      <c r="Q31" s="108" t="s">
        <v>2566</v>
      </c>
      <c r="R31" s="108"/>
      <c r="S31" s="108"/>
      <c r="T31" s="108"/>
      <c r="U31" s="108"/>
      <c r="V31" s="146">
        <v>45565</v>
      </c>
      <c r="W31" s="106"/>
    </row>
    <row r="32" spans="1:73" s="205" customFormat="1" ht="20.149999999999999" hidden="1" customHeight="1">
      <c r="A32" s="108" t="s">
        <v>118</v>
      </c>
      <c r="B32" s="108" t="s">
        <v>649</v>
      </c>
      <c r="C32" s="108" t="s">
        <v>1626</v>
      </c>
      <c r="D32" s="170" t="s">
        <v>2532</v>
      </c>
      <c r="E32" s="108">
        <v>32624116</v>
      </c>
      <c r="F32" s="247" t="s">
        <v>2533</v>
      </c>
      <c r="G32" s="108" t="s">
        <v>21</v>
      </c>
      <c r="H32" s="108" t="s">
        <v>538</v>
      </c>
      <c r="I32" s="108" t="s">
        <v>1624</v>
      </c>
      <c r="J32" s="108" t="s">
        <v>962</v>
      </c>
      <c r="K32" s="108" t="s">
        <v>1005</v>
      </c>
      <c r="L32" s="108" t="s">
        <v>1066</v>
      </c>
      <c r="M32" s="108" t="str">
        <f t="shared" si="0"/>
        <v>26/12/1995</v>
      </c>
      <c r="N32" s="108">
        <f t="shared" ca="1" si="1"/>
        <v>30</v>
      </c>
      <c r="O32" s="108" t="s">
        <v>998</v>
      </c>
      <c r="P32" s="108" t="s">
        <v>1067</v>
      </c>
      <c r="Q32" s="108" t="s">
        <v>1068</v>
      </c>
      <c r="R32" s="108" t="s">
        <v>1069</v>
      </c>
      <c r="S32" s="108"/>
      <c r="T32" s="108"/>
      <c r="U32" s="108"/>
      <c r="V32" s="197">
        <v>45565</v>
      </c>
      <c r="W32" s="106"/>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c r="BF32" s="204"/>
      <c r="BG32" s="204"/>
      <c r="BH32" s="204"/>
      <c r="BI32" s="204"/>
      <c r="BJ32" s="204"/>
      <c r="BK32" s="204"/>
      <c r="BL32" s="204"/>
      <c r="BM32" s="204"/>
      <c r="BN32" s="204"/>
      <c r="BO32" s="204"/>
      <c r="BP32" s="204"/>
      <c r="BQ32" s="204"/>
      <c r="BR32" s="204"/>
      <c r="BS32" s="204"/>
      <c r="BT32" s="204"/>
      <c r="BU32" s="204"/>
    </row>
    <row r="33" spans="1:73" ht="20.149999999999999" hidden="1" customHeight="1">
      <c r="A33" s="108" t="s">
        <v>296</v>
      </c>
      <c r="B33" s="108" t="s">
        <v>971</v>
      </c>
      <c r="C33" s="108" t="s">
        <v>1626</v>
      </c>
      <c r="D33" s="170" t="s">
        <v>2534</v>
      </c>
      <c r="E33" s="108">
        <v>26459476</v>
      </c>
      <c r="F33" s="182" t="s">
        <v>2535</v>
      </c>
      <c r="G33" s="108" t="s">
        <v>21</v>
      </c>
      <c r="H33" s="108" t="s">
        <v>538</v>
      </c>
      <c r="I33" s="108" t="s">
        <v>1620</v>
      </c>
      <c r="J33" s="108" t="s">
        <v>960</v>
      </c>
      <c r="K33" s="108" t="s">
        <v>1028</v>
      </c>
      <c r="L33" s="108" t="s">
        <v>1071</v>
      </c>
      <c r="M33" s="108" t="str">
        <f t="shared" si="0"/>
        <v>05/11/1987</v>
      </c>
      <c r="N33" s="108">
        <f t="shared" ca="1" si="1"/>
        <v>38</v>
      </c>
      <c r="O33" s="108" t="s">
        <v>988</v>
      </c>
      <c r="P33" s="108" t="s">
        <v>1072</v>
      </c>
      <c r="Q33" s="108" t="s">
        <v>1073</v>
      </c>
      <c r="R33" s="108" t="s">
        <v>1074</v>
      </c>
      <c r="S33" s="108"/>
      <c r="T33" s="108"/>
      <c r="U33" s="108"/>
      <c r="V33" s="146">
        <v>45565</v>
      </c>
      <c r="W33" s="106"/>
    </row>
    <row r="34" spans="1:73" s="205" customFormat="1" ht="20.149999999999999" hidden="1" customHeight="1">
      <c r="A34" s="106" t="s">
        <v>204</v>
      </c>
      <c r="B34" s="106" t="s">
        <v>738</v>
      </c>
      <c r="C34" s="106" t="s">
        <v>1626</v>
      </c>
      <c r="D34" s="119" t="s">
        <v>739</v>
      </c>
      <c r="E34" s="106">
        <v>32816744</v>
      </c>
      <c r="F34" s="182" t="s">
        <v>2481</v>
      </c>
      <c r="G34" s="106" t="s">
        <v>124</v>
      </c>
      <c r="H34" s="106" t="s">
        <v>538</v>
      </c>
      <c r="I34" s="106" t="s">
        <v>1620</v>
      </c>
      <c r="J34" s="106" t="s">
        <v>960</v>
      </c>
      <c r="K34" s="106" t="s">
        <v>1039</v>
      </c>
      <c r="L34" s="106" t="s">
        <v>1070</v>
      </c>
      <c r="M34" s="106" t="str">
        <f t="shared" si="0"/>
        <v>18/06/1996</v>
      </c>
      <c r="N34" s="106">
        <f t="shared" ca="1" si="1"/>
        <v>30</v>
      </c>
      <c r="O34" s="106" t="s">
        <v>988</v>
      </c>
      <c r="P34" s="106" t="s">
        <v>996</v>
      </c>
      <c r="Q34" s="106" t="s">
        <v>1013</v>
      </c>
      <c r="R34" s="106"/>
      <c r="S34" s="81" t="s">
        <v>2328</v>
      </c>
      <c r="T34" s="83" t="s">
        <v>2192</v>
      </c>
      <c r="U34" s="111">
        <v>46326</v>
      </c>
      <c r="V34" s="108"/>
      <c r="W34" s="108"/>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c r="BF34" s="204"/>
      <c r="BG34" s="204"/>
      <c r="BH34" s="204"/>
      <c r="BI34" s="204"/>
      <c r="BJ34" s="204"/>
      <c r="BK34" s="204"/>
      <c r="BL34" s="204"/>
      <c r="BM34" s="204"/>
      <c r="BN34" s="204"/>
      <c r="BO34" s="204"/>
      <c r="BP34" s="204"/>
      <c r="BQ34" s="204"/>
      <c r="BR34" s="204"/>
      <c r="BS34" s="204"/>
      <c r="BT34" s="204"/>
      <c r="BU34" s="204"/>
    </row>
    <row r="35" spans="1:73" ht="20.149999999999999" hidden="1" customHeight="1">
      <c r="A35" s="106" t="s">
        <v>34</v>
      </c>
      <c r="B35" s="106" t="s">
        <v>558</v>
      </c>
      <c r="C35" s="106" t="s">
        <v>1626</v>
      </c>
      <c r="D35" s="117" t="s">
        <v>560</v>
      </c>
      <c r="E35" s="117" t="s">
        <v>2160</v>
      </c>
      <c r="F35" s="180" t="s">
        <v>2482</v>
      </c>
      <c r="G35" s="106" t="s">
        <v>21</v>
      </c>
      <c r="H35" s="106" t="s">
        <v>538</v>
      </c>
      <c r="I35" s="106" t="s">
        <v>1621</v>
      </c>
      <c r="J35" s="106" t="s">
        <v>559</v>
      </c>
      <c r="K35" s="106" t="s">
        <v>1005</v>
      </c>
      <c r="L35" s="106" t="s">
        <v>1075</v>
      </c>
      <c r="M35" s="106" t="str">
        <f t="shared" ref="M35:M59" si="2">IF(L35="","",TEXT(DATEVALUE(SUBSTITUTE(SUBSTITUTE(SUBSTITUTE(SUBSTITUTE(SUBSTITUTE(L35,"st",""),"nd",""),"rd",""),"th",""),"TH","")),"dd/mm/yyyy"))</f>
        <v>24/09/1991</v>
      </c>
      <c r="N35" s="106">
        <f t="shared" ref="N35:N59" ca="1" si="3">IF(M35="","",DATEDIF(M35,TODAY(),"Y"))</f>
        <v>34</v>
      </c>
      <c r="O35" s="106" t="s">
        <v>988</v>
      </c>
      <c r="P35" s="106" t="s">
        <v>1076</v>
      </c>
      <c r="Q35" s="106" t="s">
        <v>989</v>
      </c>
      <c r="R35" s="106" t="s">
        <v>1049</v>
      </c>
      <c r="S35" s="106"/>
      <c r="T35" s="106"/>
      <c r="U35" s="106"/>
      <c r="V35" s="106"/>
      <c r="W35" s="106"/>
    </row>
    <row r="36" spans="1:73" s="205" customFormat="1" ht="20.149999999999999" hidden="1" customHeight="1">
      <c r="A36" s="108" t="s">
        <v>38</v>
      </c>
      <c r="B36" s="108" t="s">
        <v>562</v>
      </c>
      <c r="C36" s="108" t="s">
        <v>1626</v>
      </c>
      <c r="D36" s="248" t="s">
        <v>564</v>
      </c>
      <c r="E36" s="248" t="s">
        <v>2479</v>
      </c>
      <c r="F36" s="249" t="s">
        <v>2478</v>
      </c>
      <c r="G36" s="108" t="s">
        <v>21</v>
      </c>
      <c r="H36" s="108" t="s">
        <v>538</v>
      </c>
      <c r="I36" s="108" t="s">
        <v>1624</v>
      </c>
      <c r="J36" s="108" t="s">
        <v>579</v>
      </c>
      <c r="K36" s="108" t="s">
        <v>1005</v>
      </c>
      <c r="L36" s="108" t="s">
        <v>1077</v>
      </c>
      <c r="M36" s="108" t="str">
        <f t="shared" si="2"/>
        <v>04/01/1991</v>
      </c>
      <c r="N36" s="108">
        <f t="shared" ca="1" si="3"/>
        <v>35</v>
      </c>
      <c r="O36" s="108" t="s">
        <v>988</v>
      </c>
      <c r="P36" s="108" t="s">
        <v>1078</v>
      </c>
      <c r="Q36" s="108" t="s">
        <v>1051</v>
      </c>
      <c r="R36" s="108" t="s">
        <v>1049</v>
      </c>
      <c r="S36" s="108"/>
      <c r="T36" s="108"/>
      <c r="U36" s="108"/>
      <c r="V36" s="197">
        <v>45565</v>
      </c>
      <c r="W36" s="108"/>
      <c r="X36" s="203"/>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c r="BF36" s="204"/>
      <c r="BG36" s="204"/>
      <c r="BH36" s="204"/>
      <c r="BI36" s="204"/>
      <c r="BJ36" s="204"/>
      <c r="BK36" s="204"/>
      <c r="BL36" s="204"/>
      <c r="BM36" s="204"/>
      <c r="BN36" s="204"/>
      <c r="BO36" s="204"/>
      <c r="BP36" s="204"/>
      <c r="BQ36" s="204"/>
      <c r="BR36" s="204"/>
      <c r="BS36" s="204"/>
      <c r="BT36" s="204"/>
      <c r="BU36" s="204"/>
    </row>
    <row r="37" spans="1:73" ht="20.149999999999999" hidden="1" customHeight="1">
      <c r="A37" s="108" t="s">
        <v>169</v>
      </c>
      <c r="B37" s="108" t="s">
        <v>703</v>
      </c>
      <c r="C37" s="108" t="s">
        <v>1626</v>
      </c>
      <c r="D37" s="170" t="s">
        <v>704</v>
      </c>
      <c r="E37" s="108">
        <v>31790869</v>
      </c>
      <c r="F37" s="247" t="s">
        <v>2536</v>
      </c>
      <c r="G37" s="108" t="s">
        <v>21</v>
      </c>
      <c r="H37" s="108" t="s">
        <v>538</v>
      </c>
      <c r="I37" s="108" t="s">
        <v>1623</v>
      </c>
      <c r="J37" s="108" t="s">
        <v>696</v>
      </c>
      <c r="K37" s="108" t="s">
        <v>995</v>
      </c>
      <c r="L37" s="108" t="s">
        <v>1079</v>
      </c>
      <c r="M37" s="108" t="str">
        <f t="shared" si="2"/>
        <v>24/08/1993</v>
      </c>
      <c r="N37" s="108">
        <f t="shared" ca="1" si="3"/>
        <v>32</v>
      </c>
      <c r="O37" s="108" t="s">
        <v>988</v>
      </c>
      <c r="P37" s="108" t="s">
        <v>1080</v>
      </c>
      <c r="Q37" s="108" t="s">
        <v>1082</v>
      </c>
      <c r="R37" s="108" t="s">
        <v>1081</v>
      </c>
      <c r="S37" s="108"/>
      <c r="T37" s="108"/>
      <c r="U37" s="108"/>
      <c r="V37" s="146">
        <v>45565</v>
      </c>
      <c r="W37" s="106"/>
    </row>
    <row r="38" spans="1:73" ht="20.149999999999999" customHeight="1">
      <c r="A38" s="108" t="s">
        <v>122</v>
      </c>
      <c r="B38" s="108" t="s">
        <v>655</v>
      </c>
      <c r="C38" s="108" t="s">
        <v>1627</v>
      </c>
      <c r="D38" s="170" t="s">
        <v>657</v>
      </c>
      <c r="E38" s="108">
        <v>30757768</v>
      </c>
      <c r="F38" s="247" t="s">
        <v>2537</v>
      </c>
      <c r="G38" s="108" t="s">
        <v>83</v>
      </c>
      <c r="H38" s="108" t="s">
        <v>538</v>
      </c>
      <c r="I38" s="108" t="s">
        <v>1623</v>
      </c>
      <c r="J38" s="108" t="s">
        <v>656</v>
      </c>
      <c r="K38" s="108" t="s">
        <v>995</v>
      </c>
      <c r="L38" s="108" t="s">
        <v>1086</v>
      </c>
      <c r="M38" s="108" t="str">
        <f t="shared" si="2"/>
        <v>03/02/1994</v>
      </c>
      <c r="N38" s="108">
        <f t="shared" ca="1" si="3"/>
        <v>32</v>
      </c>
      <c r="O38" s="108" t="s">
        <v>998</v>
      </c>
      <c r="P38" s="108" t="s">
        <v>1083</v>
      </c>
      <c r="Q38" s="108" t="s">
        <v>1084</v>
      </c>
      <c r="R38" s="108" t="s">
        <v>1085</v>
      </c>
      <c r="S38" s="108"/>
      <c r="T38" s="108"/>
      <c r="U38" s="108"/>
      <c r="V38" s="146">
        <v>45565</v>
      </c>
      <c r="W38" s="106"/>
    </row>
    <row r="39" spans="1:73" ht="20.149999999999999" customHeight="1">
      <c r="A39" s="108" t="s">
        <v>225</v>
      </c>
      <c r="B39" s="108" t="s">
        <v>757</v>
      </c>
      <c r="C39" s="108" t="s">
        <v>1627</v>
      </c>
      <c r="D39" s="170" t="s">
        <v>758</v>
      </c>
      <c r="E39" s="108">
        <v>29397492</v>
      </c>
      <c r="F39" s="247" t="s">
        <v>2538</v>
      </c>
      <c r="G39" s="108" t="s">
        <v>407</v>
      </c>
      <c r="H39" s="108" t="s">
        <v>538</v>
      </c>
      <c r="I39" s="108" t="s">
        <v>1623</v>
      </c>
      <c r="J39" s="108" t="s">
        <v>656</v>
      </c>
      <c r="K39" s="108" t="s">
        <v>995</v>
      </c>
      <c r="L39" s="108" t="s">
        <v>1087</v>
      </c>
      <c r="M39" s="108" t="str">
        <f t="shared" si="2"/>
        <v>04/05/1992</v>
      </c>
      <c r="N39" s="108">
        <f t="shared" ca="1" si="3"/>
        <v>34</v>
      </c>
      <c r="O39" s="108" t="s">
        <v>988</v>
      </c>
      <c r="P39" s="108" t="s">
        <v>1002</v>
      </c>
      <c r="Q39" s="108" t="s">
        <v>1089</v>
      </c>
      <c r="R39" s="108" t="s">
        <v>1088</v>
      </c>
      <c r="S39" s="108"/>
      <c r="T39" s="108"/>
      <c r="U39" s="108"/>
      <c r="V39" s="146">
        <v>45565</v>
      </c>
      <c r="W39" s="106"/>
    </row>
    <row r="40" spans="1:73" s="205" customFormat="1" ht="20.149999999999999" hidden="1" customHeight="1">
      <c r="A40" s="108" t="s">
        <v>42</v>
      </c>
      <c r="B40" s="108" t="s">
        <v>1090</v>
      </c>
      <c r="C40" s="108" t="s">
        <v>1626</v>
      </c>
      <c r="D40" s="250" t="s">
        <v>568</v>
      </c>
      <c r="E40" s="248" t="s">
        <v>2539</v>
      </c>
      <c r="F40" s="249" t="s">
        <v>2540</v>
      </c>
      <c r="G40" s="108" t="s">
        <v>21</v>
      </c>
      <c r="H40" s="108" t="s">
        <v>538</v>
      </c>
      <c r="I40" s="108" t="s">
        <v>1621</v>
      </c>
      <c r="J40" s="108" t="s">
        <v>567</v>
      </c>
      <c r="K40" s="108" t="s">
        <v>1005</v>
      </c>
      <c r="L40" s="108" t="s">
        <v>1091</v>
      </c>
      <c r="M40" s="108" t="str">
        <f t="shared" si="2"/>
        <v>14/07/1968</v>
      </c>
      <c r="N40" s="108">
        <f t="shared" ca="1" si="3"/>
        <v>58</v>
      </c>
      <c r="O40" s="108" t="s">
        <v>998</v>
      </c>
      <c r="P40" s="108" t="s">
        <v>1092</v>
      </c>
      <c r="Q40" s="108" t="s">
        <v>1093</v>
      </c>
      <c r="R40" s="108" t="s">
        <v>1094</v>
      </c>
      <c r="S40" s="108"/>
      <c r="T40" s="108"/>
      <c r="U40" s="108"/>
      <c r="V40" s="197">
        <v>45565</v>
      </c>
      <c r="W40" s="108"/>
      <c r="X40" s="203"/>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c r="BF40" s="204"/>
      <c r="BG40" s="204"/>
      <c r="BH40" s="204"/>
      <c r="BI40" s="204"/>
      <c r="BJ40" s="204"/>
      <c r="BK40" s="204"/>
      <c r="BL40" s="204"/>
      <c r="BM40" s="204"/>
      <c r="BN40" s="204"/>
      <c r="BO40" s="204"/>
      <c r="BP40" s="204"/>
      <c r="BQ40" s="204"/>
      <c r="BR40" s="204"/>
      <c r="BS40" s="204"/>
      <c r="BT40" s="204"/>
      <c r="BU40" s="204"/>
    </row>
    <row r="41" spans="1:73" ht="20.149999999999999" hidden="1" customHeight="1">
      <c r="A41" s="108" t="s">
        <v>288</v>
      </c>
      <c r="B41" s="108" t="s">
        <v>973</v>
      </c>
      <c r="C41" s="108" t="s">
        <v>1626</v>
      </c>
      <c r="D41" s="170" t="s">
        <v>2542</v>
      </c>
      <c r="E41" s="108">
        <v>31642719</v>
      </c>
      <c r="F41" s="247" t="s">
        <v>2541</v>
      </c>
      <c r="G41" s="108" t="s">
        <v>124</v>
      </c>
      <c r="H41" s="108" t="s">
        <v>538</v>
      </c>
      <c r="I41" s="108" t="s">
        <v>1623</v>
      </c>
      <c r="J41" s="108" t="s">
        <v>571</v>
      </c>
      <c r="K41" s="108" t="s">
        <v>1097</v>
      </c>
      <c r="L41" s="108" t="s">
        <v>1099</v>
      </c>
      <c r="M41" s="108" t="str">
        <f t="shared" si="2"/>
        <v>09/04/1994</v>
      </c>
      <c r="N41" s="108">
        <f t="shared" ca="1" si="3"/>
        <v>32</v>
      </c>
      <c r="O41" s="108" t="s">
        <v>988</v>
      </c>
      <c r="P41" s="108" t="s">
        <v>996</v>
      </c>
      <c r="Q41" s="108" t="s">
        <v>1098</v>
      </c>
      <c r="R41" s="108"/>
      <c r="S41" s="108"/>
      <c r="T41" s="108"/>
      <c r="U41" s="108"/>
      <c r="V41" s="146">
        <v>45504</v>
      </c>
      <c r="W41" s="106" t="s">
        <v>2524</v>
      </c>
    </row>
    <row r="42" spans="1:73" s="205" customFormat="1" ht="20.149999999999999" hidden="1" customHeight="1">
      <c r="A42" s="108" t="s">
        <v>74</v>
      </c>
      <c r="B42" s="108" t="s">
        <v>605</v>
      </c>
      <c r="C42" s="108" t="s">
        <v>1626</v>
      </c>
      <c r="D42" s="170" t="s">
        <v>606</v>
      </c>
      <c r="E42" s="108">
        <v>25480801</v>
      </c>
      <c r="F42" s="247" t="s">
        <v>2543</v>
      </c>
      <c r="G42" s="108" t="s">
        <v>21</v>
      </c>
      <c r="H42" s="108" t="s">
        <v>538</v>
      </c>
      <c r="I42" s="108" t="s">
        <v>1623</v>
      </c>
      <c r="J42" s="108" t="s">
        <v>539</v>
      </c>
      <c r="K42" s="108" t="s">
        <v>1005</v>
      </c>
      <c r="L42" s="108" t="s">
        <v>1100</v>
      </c>
      <c r="M42" s="108" t="str">
        <f t="shared" si="2"/>
        <v>20/11/1986</v>
      </c>
      <c r="N42" s="108">
        <f t="shared" ca="1" si="3"/>
        <v>39</v>
      </c>
      <c r="O42" s="108" t="s">
        <v>1010</v>
      </c>
      <c r="P42" s="108" t="s">
        <v>1101</v>
      </c>
      <c r="Q42" s="108" t="s">
        <v>1051</v>
      </c>
      <c r="R42" s="108" t="s">
        <v>1049</v>
      </c>
      <c r="S42" s="108"/>
      <c r="T42" s="108"/>
      <c r="U42" s="108"/>
      <c r="V42" s="197">
        <v>45565</v>
      </c>
      <c r="W42" s="108"/>
      <c r="X42" s="203"/>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c r="BF42" s="204"/>
      <c r="BG42" s="204"/>
      <c r="BH42" s="204"/>
      <c r="BI42" s="204"/>
      <c r="BJ42" s="204"/>
      <c r="BK42" s="204"/>
      <c r="BL42" s="204"/>
      <c r="BM42" s="204"/>
      <c r="BN42" s="204"/>
      <c r="BO42" s="204"/>
      <c r="BP42" s="204"/>
      <c r="BQ42" s="204"/>
      <c r="BR42" s="204"/>
      <c r="BS42" s="204"/>
      <c r="BT42" s="204"/>
      <c r="BU42" s="204"/>
    </row>
    <row r="43" spans="1:73" s="205" customFormat="1" ht="20.149999999999999" hidden="1" customHeight="1">
      <c r="A43" s="106" t="s">
        <v>180</v>
      </c>
      <c r="B43" s="106" t="s">
        <v>713</v>
      </c>
      <c r="C43" s="106" t="s">
        <v>1626</v>
      </c>
      <c r="D43" s="119" t="s">
        <v>715</v>
      </c>
      <c r="E43" s="106">
        <v>28658688</v>
      </c>
      <c r="F43" s="182" t="s">
        <v>2483</v>
      </c>
      <c r="G43" s="106" t="s">
        <v>21</v>
      </c>
      <c r="H43" s="106" t="s">
        <v>538</v>
      </c>
      <c r="I43" s="106" t="s">
        <v>1624</v>
      </c>
      <c r="J43" s="106" t="s">
        <v>714</v>
      </c>
      <c r="K43" s="106" t="s">
        <v>995</v>
      </c>
      <c r="L43" s="106" t="s">
        <v>1103</v>
      </c>
      <c r="M43" s="106" t="str">
        <f t="shared" si="2"/>
        <v>20/10/1991</v>
      </c>
      <c r="N43" s="106">
        <f t="shared" ca="1" si="3"/>
        <v>34</v>
      </c>
      <c r="O43" s="106" t="s">
        <v>1010</v>
      </c>
      <c r="P43" s="106" t="s">
        <v>1104</v>
      </c>
      <c r="Q43" s="106" t="s">
        <v>985</v>
      </c>
      <c r="R43" s="106" t="s">
        <v>1049</v>
      </c>
      <c r="S43" s="106"/>
      <c r="T43" s="106"/>
      <c r="U43" s="106"/>
      <c r="V43" s="108"/>
      <c r="W43" s="108"/>
      <c r="X43" s="203"/>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c r="BF43" s="204"/>
      <c r="BG43" s="204"/>
      <c r="BH43" s="204"/>
      <c r="BI43" s="204"/>
      <c r="BJ43" s="204"/>
      <c r="BK43" s="204"/>
      <c r="BL43" s="204"/>
      <c r="BM43" s="204"/>
      <c r="BN43" s="204"/>
      <c r="BO43" s="204"/>
      <c r="BP43" s="204"/>
      <c r="BQ43" s="204"/>
      <c r="BR43" s="204"/>
      <c r="BS43" s="204"/>
      <c r="BT43" s="204"/>
      <c r="BU43" s="204"/>
    </row>
    <row r="44" spans="1:73" s="205" customFormat="1" ht="20.149999999999999" hidden="1" customHeight="1">
      <c r="A44" s="106" t="s">
        <v>184</v>
      </c>
      <c r="B44" s="106" t="s">
        <v>717</v>
      </c>
      <c r="C44" s="106" t="s">
        <v>1626</v>
      </c>
      <c r="D44" s="119" t="s">
        <v>719</v>
      </c>
      <c r="E44" s="106">
        <v>22008468</v>
      </c>
      <c r="F44" s="182" t="s">
        <v>2486</v>
      </c>
      <c r="G44" s="106" t="s">
        <v>21</v>
      </c>
      <c r="H44" s="106" t="s">
        <v>538</v>
      </c>
      <c r="I44" s="106" t="s">
        <v>1624</v>
      </c>
      <c r="J44" s="106" t="s">
        <v>623</v>
      </c>
      <c r="K44" s="106" t="s">
        <v>995</v>
      </c>
      <c r="L44" s="106" t="s">
        <v>2487</v>
      </c>
      <c r="M44" s="106" t="str">
        <f t="shared" si="2"/>
        <v>24/10/1980</v>
      </c>
      <c r="N44" s="106">
        <f t="shared" ca="1" si="3"/>
        <v>45</v>
      </c>
      <c r="O44" s="106" t="s">
        <v>988</v>
      </c>
      <c r="P44" s="106" t="s">
        <v>1105</v>
      </c>
      <c r="Q44" s="106" t="s">
        <v>1106</v>
      </c>
      <c r="R44" s="106" t="s">
        <v>1049</v>
      </c>
      <c r="S44" s="106"/>
      <c r="T44" s="106"/>
      <c r="U44" s="106"/>
      <c r="V44" s="108"/>
      <c r="W44" s="108"/>
      <c r="X44" s="203"/>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c r="BF44" s="204"/>
      <c r="BG44" s="204"/>
      <c r="BH44" s="204"/>
      <c r="BI44" s="204"/>
      <c r="BJ44" s="204"/>
      <c r="BK44" s="204"/>
      <c r="BL44" s="204"/>
      <c r="BM44" s="204"/>
      <c r="BN44" s="204"/>
      <c r="BO44" s="204"/>
      <c r="BP44" s="204"/>
      <c r="BQ44" s="204"/>
      <c r="BR44" s="204"/>
      <c r="BS44" s="204"/>
      <c r="BT44" s="204"/>
      <c r="BU44" s="204"/>
    </row>
    <row r="45" spans="1:73" ht="20.149999999999999" hidden="1" customHeight="1">
      <c r="A45" s="108" t="s">
        <v>46</v>
      </c>
      <c r="B45" s="108" t="s">
        <v>570</v>
      </c>
      <c r="C45" s="108" t="s">
        <v>1626</v>
      </c>
      <c r="D45" s="198" t="s">
        <v>572</v>
      </c>
      <c r="E45" s="117" t="s">
        <v>2544</v>
      </c>
      <c r="F45" s="180" t="s">
        <v>2545</v>
      </c>
      <c r="G45" s="108" t="s">
        <v>21</v>
      </c>
      <c r="H45" s="108" t="s">
        <v>538</v>
      </c>
      <c r="I45" s="108" t="s">
        <v>1623</v>
      </c>
      <c r="J45" s="108" t="s">
        <v>571</v>
      </c>
      <c r="K45" s="108" t="s">
        <v>1005</v>
      </c>
      <c r="L45" s="108" t="s">
        <v>1107</v>
      </c>
      <c r="M45" s="108" t="str">
        <f t="shared" si="2"/>
        <v>12/09/1982</v>
      </c>
      <c r="N45" s="108">
        <f t="shared" ca="1" si="3"/>
        <v>43</v>
      </c>
      <c r="O45" s="108" t="s">
        <v>1010</v>
      </c>
      <c r="P45" s="108" t="s">
        <v>1108</v>
      </c>
      <c r="Q45" s="108" t="s">
        <v>1106</v>
      </c>
      <c r="R45" s="108" t="s">
        <v>1109</v>
      </c>
      <c r="S45" s="108"/>
      <c r="T45" s="108"/>
      <c r="U45" s="108"/>
      <c r="V45" s="146">
        <v>45565</v>
      </c>
      <c r="W45" s="106"/>
    </row>
    <row r="46" spans="1:73" ht="20.149999999999999" hidden="1" customHeight="1">
      <c r="A46" s="106" t="s">
        <v>104</v>
      </c>
      <c r="B46" s="106" t="s">
        <v>961</v>
      </c>
      <c r="C46" s="106" t="s">
        <v>1626</v>
      </c>
      <c r="D46" s="117" t="s">
        <v>636</v>
      </c>
      <c r="E46" s="117" t="s">
        <v>2169</v>
      </c>
      <c r="F46" s="180" t="s">
        <v>2484</v>
      </c>
      <c r="G46" s="106" t="s">
        <v>21</v>
      </c>
      <c r="H46" s="106" t="s">
        <v>538</v>
      </c>
      <c r="I46" s="106" t="s">
        <v>1620</v>
      </c>
      <c r="J46" s="106" t="s">
        <v>960</v>
      </c>
      <c r="K46" s="106" t="s">
        <v>1005</v>
      </c>
      <c r="L46" s="106" t="s">
        <v>1110</v>
      </c>
      <c r="M46" s="106" t="str">
        <f t="shared" si="2"/>
        <v>25/10/1989</v>
      </c>
      <c r="N46" s="106">
        <f t="shared" ca="1" si="3"/>
        <v>36</v>
      </c>
      <c r="O46" s="106" t="s">
        <v>988</v>
      </c>
      <c r="P46" s="106" t="s">
        <v>1111</v>
      </c>
      <c r="Q46" s="106" t="s">
        <v>1112</v>
      </c>
      <c r="R46" s="106" t="s">
        <v>2485</v>
      </c>
      <c r="S46" s="106"/>
      <c r="T46" s="106"/>
      <c r="U46" s="106"/>
      <c r="V46" s="106"/>
      <c r="W46" s="106"/>
    </row>
    <row r="47" spans="1:73" s="205" customFormat="1" ht="20.149999999999999" hidden="1" customHeight="1">
      <c r="A47" s="108" t="s">
        <v>107</v>
      </c>
      <c r="B47" s="108" t="s">
        <v>1114</v>
      </c>
      <c r="C47" s="108" t="s">
        <v>1626</v>
      </c>
      <c r="D47" s="170" t="s">
        <v>640</v>
      </c>
      <c r="E47" s="108">
        <v>20198029</v>
      </c>
      <c r="F47" s="182" t="s">
        <v>2548</v>
      </c>
      <c r="G47" s="108" t="s">
        <v>21</v>
      </c>
      <c r="H47" s="108" t="s">
        <v>538</v>
      </c>
      <c r="I47" s="108" t="s">
        <v>1623</v>
      </c>
      <c r="J47" s="108" t="s">
        <v>571</v>
      </c>
      <c r="K47" s="108" t="s">
        <v>1005</v>
      </c>
      <c r="L47" s="108" t="s">
        <v>1113</v>
      </c>
      <c r="M47" s="108" t="str">
        <f t="shared" si="2"/>
        <v>07/05/1976</v>
      </c>
      <c r="N47" s="108">
        <f t="shared" ca="1" si="3"/>
        <v>50</v>
      </c>
      <c r="O47" s="108" t="s">
        <v>1115</v>
      </c>
      <c r="P47" s="108" t="s">
        <v>1116</v>
      </c>
      <c r="Q47" s="108" t="s">
        <v>1117</v>
      </c>
      <c r="R47" s="108"/>
      <c r="S47" s="108"/>
      <c r="T47" s="108"/>
      <c r="U47" s="108"/>
      <c r="V47" s="197">
        <v>45565</v>
      </c>
      <c r="W47" s="108"/>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c r="BF47" s="204"/>
      <c r="BG47" s="204"/>
      <c r="BH47" s="204"/>
      <c r="BI47" s="204"/>
      <c r="BJ47" s="204"/>
      <c r="BK47" s="204"/>
      <c r="BL47" s="204"/>
      <c r="BM47" s="204"/>
      <c r="BN47" s="204"/>
      <c r="BO47" s="204"/>
      <c r="BP47" s="204"/>
      <c r="BQ47" s="204"/>
      <c r="BR47" s="204"/>
      <c r="BS47" s="204"/>
      <c r="BT47" s="204"/>
      <c r="BU47" s="204"/>
    </row>
    <row r="48" spans="1:73" ht="20.149999999999999" hidden="1" customHeight="1">
      <c r="A48" s="106"/>
      <c r="B48" s="106" t="s">
        <v>1587</v>
      </c>
      <c r="C48" s="106" t="s">
        <v>1626</v>
      </c>
      <c r="D48" s="118" t="s">
        <v>2186</v>
      </c>
      <c r="E48" s="117">
        <v>39348782</v>
      </c>
      <c r="F48" s="180" t="s">
        <v>2488</v>
      </c>
      <c r="G48" s="106" t="s">
        <v>141</v>
      </c>
      <c r="H48" s="106" t="s">
        <v>538</v>
      </c>
      <c r="I48" s="106" t="s">
        <v>1622</v>
      </c>
      <c r="J48" s="106" t="s">
        <v>575</v>
      </c>
      <c r="K48" s="106" t="s">
        <v>1588</v>
      </c>
      <c r="L48" s="106" t="s">
        <v>1590</v>
      </c>
      <c r="M48" s="106" t="str">
        <f t="shared" si="2"/>
        <v>07/07/2000</v>
      </c>
      <c r="N48" s="106">
        <f t="shared" ca="1" si="3"/>
        <v>26</v>
      </c>
      <c r="O48" s="106" t="s">
        <v>988</v>
      </c>
      <c r="P48" s="106" t="s">
        <v>1591</v>
      </c>
      <c r="Q48" s="106" t="s">
        <v>1592</v>
      </c>
      <c r="R48" s="106"/>
      <c r="S48" s="81" t="s">
        <v>2329</v>
      </c>
      <c r="T48" s="83">
        <v>484530</v>
      </c>
      <c r="U48" s="84">
        <v>46112</v>
      </c>
      <c r="V48" s="106"/>
      <c r="W48" s="106"/>
    </row>
    <row r="49" spans="1:73" ht="20.149999999999999" hidden="1" customHeight="1">
      <c r="A49" s="106" t="s">
        <v>143</v>
      </c>
      <c r="B49" s="106" t="s">
        <v>679</v>
      </c>
      <c r="C49" s="106" t="s">
        <v>1626</v>
      </c>
      <c r="D49" s="119" t="s">
        <v>681</v>
      </c>
      <c r="E49" s="106" t="s">
        <v>2170</v>
      </c>
      <c r="F49" s="182" t="s">
        <v>2489</v>
      </c>
      <c r="G49" s="106" t="s">
        <v>21</v>
      </c>
      <c r="H49" s="106" t="s">
        <v>538</v>
      </c>
      <c r="I49" s="106" t="s">
        <v>1623</v>
      </c>
      <c r="J49" s="106" t="s">
        <v>539</v>
      </c>
      <c r="K49" s="106" t="s">
        <v>995</v>
      </c>
      <c r="L49" s="106" t="s">
        <v>1118</v>
      </c>
      <c r="M49" s="106" t="str">
        <f t="shared" si="2"/>
        <v>01/06/1996</v>
      </c>
      <c r="N49" s="106">
        <f t="shared" ca="1" si="3"/>
        <v>30</v>
      </c>
      <c r="O49" s="106" t="s">
        <v>988</v>
      </c>
      <c r="P49" s="106" t="s">
        <v>1119</v>
      </c>
      <c r="Q49" s="106" t="s">
        <v>1093</v>
      </c>
      <c r="R49" s="106" t="s">
        <v>1120</v>
      </c>
      <c r="S49" s="106"/>
      <c r="T49" s="106"/>
      <c r="U49" s="106"/>
      <c r="V49" s="106"/>
      <c r="W49" s="106"/>
    </row>
    <row r="50" spans="1:73" s="205" customFormat="1" ht="20.149999999999999" customHeight="1">
      <c r="A50" s="106" t="s">
        <v>264</v>
      </c>
      <c r="B50" s="106" t="s">
        <v>792</v>
      </c>
      <c r="C50" s="106" t="s">
        <v>1627</v>
      </c>
      <c r="D50" s="121" t="s">
        <v>794</v>
      </c>
      <c r="E50" s="106" t="s">
        <v>2177</v>
      </c>
      <c r="F50" s="182" t="s">
        <v>2490</v>
      </c>
      <c r="G50" s="106" t="s">
        <v>2115</v>
      </c>
      <c r="H50" s="106" t="s">
        <v>538</v>
      </c>
      <c r="I50" s="106" t="s">
        <v>1623</v>
      </c>
      <c r="J50" s="106" t="s">
        <v>696</v>
      </c>
      <c r="K50" s="106" t="s">
        <v>1012</v>
      </c>
      <c r="L50" s="106" t="s">
        <v>1121</v>
      </c>
      <c r="M50" s="106" t="str">
        <f t="shared" si="2"/>
        <v>11/07/1994</v>
      </c>
      <c r="N50" s="106">
        <f t="shared" ca="1" si="3"/>
        <v>32</v>
      </c>
      <c r="O50" s="106" t="s">
        <v>988</v>
      </c>
      <c r="P50" s="106" t="s">
        <v>1029</v>
      </c>
      <c r="Q50" s="106" t="s">
        <v>1122</v>
      </c>
      <c r="R50" s="106" t="s">
        <v>1123</v>
      </c>
      <c r="S50" s="81" t="s">
        <v>2064</v>
      </c>
      <c r="T50" s="83" t="s">
        <v>2204</v>
      </c>
      <c r="U50" s="84">
        <v>46022</v>
      </c>
      <c r="V50" s="108"/>
      <c r="W50" s="108"/>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c r="BF50" s="204"/>
      <c r="BG50" s="204"/>
      <c r="BH50" s="204"/>
      <c r="BI50" s="204"/>
      <c r="BJ50" s="204"/>
      <c r="BK50" s="204"/>
      <c r="BL50" s="204"/>
      <c r="BM50" s="204"/>
      <c r="BN50" s="204"/>
      <c r="BO50" s="204"/>
      <c r="BP50" s="204"/>
      <c r="BQ50" s="204"/>
      <c r="BR50" s="204"/>
      <c r="BS50" s="204"/>
      <c r="BT50" s="204"/>
      <c r="BU50" s="204"/>
    </row>
    <row r="51" spans="1:73" s="205" customFormat="1" ht="20.149999999999999" customHeight="1">
      <c r="A51" s="106" t="s">
        <v>268</v>
      </c>
      <c r="B51" s="106" t="s">
        <v>796</v>
      </c>
      <c r="C51" s="106" t="s">
        <v>1627</v>
      </c>
      <c r="D51" s="121" t="s">
        <v>2178</v>
      </c>
      <c r="E51" s="106">
        <v>32561960</v>
      </c>
      <c r="F51" s="182" t="s">
        <v>2491</v>
      </c>
      <c r="G51" s="106" t="s">
        <v>21</v>
      </c>
      <c r="H51" s="106" t="s">
        <v>538</v>
      </c>
      <c r="I51" s="106" t="s">
        <v>1620</v>
      </c>
      <c r="J51" s="106" t="s">
        <v>609</v>
      </c>
      <c r="K51" s="106" t="s">
        <v>1028</v>
      </c>
      <c r="L51" s="106" t="s">
        <v>1528</v>
      </c>
      <c r="M51" s="106" t="str">
        <f t="shared" si="2"/>
        <v>12/03/1995</v>
      </c>
      <c r="N51" s="106">
        <f t="shared" ca="1" si="3"/>
        <v>31</v>
      </c>
      <c r="O51" s="106" t="s">
        <v>1201</v>
      </c>
      <c r="P51" s="106" t="s">
        <v>1505</v>
      </c>
      <c r="Q51" s="106" t="s">
        <v>1506</v>
      </c>
      <c r="R51" s="106" t="s">
        <v>1507</v>
      </c>
      <c r="S51" s="106"/>
      <c r="T51" s="106"/>
      <c r="U51" s="106"/>
      <c r="V51" s="108"/>
      <c r="W51" s="108"/>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c r="BF51" s="204"/>
      <c r="BG51" s="204"/>
      <c r="BH51" s="204"/>
      <c r="BI51" s="204"/>
      <c r="BJ51" s="204"/>
      <c r="BK51" s="204"/>
      <c r="BL51" s="204"/>
      <c r="BM51" s="204"/>
      <c r="BN51" s="204"/>
      <c r="BO51" s="204"/>
      <c r="BP51" s="204"/>
      <c r="BQ51" s="204"/>
      <c r="BR51" s="204"/>
      <c r="BS51" s="204"/>
      <c r="BT51" s="204"/>
      <c r="BU51" s="204"/>
    </row>
    <row r="52" spans="1:73" s="205" customFormat="1" ht="15.5" hidden="1" customHeight="1">
      <c r="A52" s="106" t="s">
        <v>215</v>
      </c>
      <c r="B52" s="106" t="s">
        <v>748</v>
      </c>
      <c r="C52" s="106" t="s">
        <v>1626</v>
      </c>
      <c r="D52" s="118" t="s">
        <v>2171</v>
      </c>
      <c r="E52" s="106">
        <v>28737252</v>
      </c>
      <c r="F52" s="182" t="s">
        <v>2492</v>
      </c>
      <c r="G52" s="106" t="s">
        <v>124</v>
      </c>
      <c r="H52" s="106" t="s">
        <v>538</v>
      </c>
      <c r="I52" s="106" t="s">
        <v>1623</v>
      </c>
      <c r="J52" s="106" t="s">
        <v>696</v>
      </c>
      <c r="K52" s="106" t="s">
        <v>1128</v>
      </c>
      <c r="L52" s="106" t="s">
        <v>1127</v>
      </c>
      <c r="M52" s="106" t="str">
        <f t="shared" si="2"/>
        <v>29/03/1992</v>
      </c>
      <c r="N52" s="106">
        <f t="shared" ca="1" si="3"/>
        <v>34</v>
      </c>
      <c r="O52" s="106" t="s">
        <v>988</v>
      </c>
      <c r="P52" s="106" t="s">
        <v>1124</v>
      </c>
      <c r="Q52" s="106" t="s">
        <v>1125</v>
      </c>
      <c r="R52" s="106" t="s">
        <v>1126</v>
      </c>
      <c r="S52" s="81" t="s">
        <v>2328</v>
      </c>
      <c r="T52" s="83" t="s">
        <v>2195</v>
      </c>
      <c r="U52" s="84">
        <v>46112</v>
      </c>
      <c r="V52" s="108"/>
      <c r="W52" s="108"/>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c r="BF52" s="204"/>
      <c r="BG52" s="204"/>
      <c r="BH52" s="204"/>
      <c r="BI52" s="204"/>
      <c r="BJ52" s="204"/>
      <c r="BK52" s="204"/>
      <c r="BL52" s="204"/>
      <c r="BM52" s="204"/>
      <c r="BN52" s="204"/>
      <c r="BO52" s="204"/>
      <c r="BP52" s="204"/>
      <c r="BQ52" s="204"/>
      <c r="BR52" s="204"/>
      <c r="BS52" s="204"/>
      <c r="BT52" s="204"/>
      <c r="BU52" s="204"/>
    </row>
    <row r="53" spans="1:73" ht="20.149999999999999" hidden="1" customHeight="1">
      <c r="A53" s="106" t="s">
        <v>272</v>
      </c>
      <c r="B53" s="106" t="s">
        <v>970</v>
      </c>
      <c r="C53" s="106" t="s">
        <v>1626</v>
      </c>
      <c r="D53" s="121" t="s">
        <v>2493</v>
      </c>
      <c r="E53" s="106">
        <v>34472524</v>
      </c>
      <c r="F53" s="182" t="s">
        <v>2494</v>
      </c>
      <c r="G53" s="106" t="s">
        <v>124</v>
      </c>
      <c r="H53" s="106" t="s">
        <v>538</v>
      </c>
      <c r="I53" s="106" t="s">
        <v>1620</v>
      </c>
      <c r="J53" s="106" t="s">
        <v>960</v>
      </c>
      <c r="K53" s="106" t="s">
        <v>1129</v>
      </c>
      <c r="L53" s="106" t="s">
        <v>1130</v>
      </c>
      <c r="M53" s="106" t="str">
        <f t="shared" si="2"/>
        <v>24/02/1998</v>
      </c>
      <c r="N53" s="106">
        <f t="shared" ca="1" si="3"/>
        <v>28</v>
      </c>
      <c r="O53" s="106" t="s">
        <v>988</v>
      </c>
      <c r="P53" s="106" t="s">
        <v>1124</v>
      </c>
      <c r="Q53" s="106" t="s">
        <v>1131</v>
      </c>
      <c r="R53" s="106"/>
      <c r="S53" s="81" t="s">
        <v>2328</v>
      </c>
      <c r="T53" s="83" t="s">
        <v>2196</v>
      </c>
      <c r="U53" s="84">
        <v>46053</v>
      </c>
      <c r="V53" s="106"/>
      <c r="W53" s="106"/>
    </row>
    <row r="54" spans="1:73" ht="20.149999999999999" hidden="1" customHeight="1">
      <c r="A54" s="108" t="s">
        <v>304</v>
      </c>
      <c r="B54" s="108" t="s">
        <v>974</v>
      </c>
      <c r="C54" s="108" t="s">
        <v>1626</v>
      </c>
      <c r="D54" s="170" t="s">
        <v>2546</v>
      </c>
      <c r="E54" s="108">
        <v>27448459</v>
      </c>
      <c r="F54" s="182" t="s">
        <v>2547</v>
      </c>
      <c r="G54" s="108" t="s">
        <v>141</v>
      </c>
      <c r="H54" s="108" t="s">
        <v>538</v>
      </c>
      <c r="I54" s="108" t="s">
        <v>1622</v>
      </c>
      <c r="J54" s="108" t="s">
        <v>575</v>
      </c>
      <c r="K54" s="108" t="s">
        <v>1028</v>
      </c>
      <c r="L54" s="108" t="s">
        <v>1132</v>
      </c>
      <c r="M54" s="108" t="str">
        <f t="shared" si="2"/>
        <v>04/06/1989</v>
      </c>
      <c r="N54" s="108">
        <f t="shared" ca="1" si="3"/>
        <v>37</v>
      </c>
      <c r="O54" s="108" t="s">
        <v>988</v>
      </c>
      <c r="P54" s="108" t="s">
        <v>1022</v>
      </c>
      <c r="Q54" s="108" t="s">
        <v>1133</v>
      </c>
      <c r="R54" s="108"/>
      <c r="S54" s="108"/>
      <c r="T54" s="108"/>
      <c r="U54" s="108"/>
      <c r="V54" s="146">
        <v>45869</v>
      </c>
      <c r="W54" s="106" t="s">
        <v>2524</v>
      </c>
    </row>
    <row r="55" spans="1:73" ht="20.149999999999999" hidden="1" customHeight="1">
      <c r="A55" s="106" t="s">
        <v>50</v>
      </c>
      <c r="B55" s="106" t="s">
        <v>574</v>
      </c>
      <c r="C55" s="106" t="s">
        <v>1626</v>
      </c>
      <c r="D55" s="117" t="s">
        <v>576</v>
      </c>
      <c r="E55" s="117" t="s">
        <v>2161</v>
      </c>
      <c r="F55" s="180" t="s">
        <v>2495</v>
      </c>
      <c r="G55" s="106" t="s">
        <v>21</v>
      </c>
      <c r="H55" s="106" t="s">
        <v>538</v>
      </c>
      <c r="I55" s="106" t="s">
        <v>1622</v>
      </c>
      <c r="J55" s="106" t="s">
        <v>575</v>
      </c>
      <c r="K55" s="106" t="s">
        <v>1005</v>
      </c>
      <c r="L55" s="106" t="s">
        <v>1136</v>
      </c>
      <c r="M55" s="106" t="str">
        <f t="shared" si="2"/>
        <v>01/01/1987</v>
      </c>
      <c r="N55" s="106">
        <f t="shared" ca="1" si="3"/>
        <v>39</v>
      </c>
      <c r="O55" s="106" t="s">
        <v>988</v>
      </c>
      <c r="P55" s="106" t="s">
        <v>1134</v>
      </c>
      <c r="Q55" s="106" t="s">
        <v>1082</v>
      </c>
      <c r="R55" s="106" t="s">
        <v>1135</v>
      </c>
      <c r="S55" s="106"/>
      <c r="T55" s="106"/>
      <c r="U55" s="106"/>
      <c r="V55" s="106"/>
      <c r="W55" s="106"/>
    </row>
    <row r="56" spans="1:73" ht="20.149999999999999" hidden="1" customHeight="1">
      <c r="A56" s="106" t="s">
        <v>280</v>
      </c>
      <c r="B56" s="106" t="s">
        <v>957</v>
      </c>
      <c r="C56" s="106" t="s">
        <v>1626</v>
      </c>
      <c r="D56" s="121" t="s">
        <v>2181</v>
      </c>
      <c r="E56" s="106">
        <v>25094277</v>
      </c>
      <c r="F56" s="182" t="s">
        <v>2496</v>
      </c>
      <c r="G56" s="106" t="s">
        <v>124</v>
      </c>
      <c r="H56" s="106" t="s">
        <v>538</v>
      </c>
      <c r="I56" s="106" t="s">
        <v>1624</v>
      </c>
      <c r="J56" s="106" t="s">
        <v>587</v>
      </c>
      <c r="K56" s="106" t="s">
        <v>1028</v>
      </c>
      <c r="L56" s="106" t="s">
        <v>1563</v>
      </c>
      <c r="M56" s="106" t="str">
        <f t="shared" si="2"/>
        <v>21/04/1987</v>
      </c>
      <c r="N56" s="106">
        <f t="shared" ca="1" si="3"/>
        <v>39</v>
      </c>
      <c r="O56" s="106" t="s">
        <v>988</v>
      </c>
      <c r="P56" s="106" t="s">
        <v>1124</v>
      </c>
      <c r="Q56" s="106" t="s">
        <v>997</v>
      </c>
      <c r="R56" s="106" t="s">
        <v>1137</v>
      </c>
      <c r="S56" s="81" t="s">
        <v>2328</v>
      </c>
      <c r="T56" s="83" t="s">
        <v>2197</v>
      </c>
      <c r="U56" s="84">
        <v>46173</v>
      </c>
      <c r="V56" s="106"/>
      <c r="W56" s="106"/>
    </row>
    <row r="57" spans="1:73" ht="20.149999999999999" hidden="1" customHeight="1">
      <c r="A57" s="108" t="s">
        <v>219</v>
      </c>
      <c r="B57" s="108" t="s">
        <v>750</v>
      </c>
      <c r="C57" s="108" t="s">
        <v>1626</v>
      </c>
      <c r="D57" s="170" t="s">
        <v>751</v>
      </c>
      <c r="E57" s="108">
        <v>22244319</v>
      </c>
      <c r="F57" s="182" t="s">
        <v>2549</v>
      </c>
      <c r="G57" s="108" t="s">
        <v>407</v>
      </c>
      <c r="H57" s="108" t="s">
        <v>538</v>
      </c>
      <c r="I57" s="108" t="s">
        <v>1624</v>
      </c>
      <c r="J57" s="108" t="s">
        <v>714</v>
      </c>
      <c r="K57" s="108" t="s">
        <v>995</v>
      </c>
      <c r="L57" s="108" t="s">
        <v>1140</v>
      </c>
      <c r="M57" s="108" t="str">
        <f t="shared" si="2"/>
        <v>30/08/1980</v>
      </c>
      <c r="N57" s="108">
        <f t="shared" ca="1" si="3"/>
        <v>45</v>
      </c>
      <c r="O57" s="108" t="s">
        <v>998</v>
      </c>
      <c r="P57" s="108" t="s">
        <v>1138</v>
      </c>
      <c r="Q57" s="108" t="s">
        <v>1041</v>
      </c>
      <c r="R57" s="108" t="s">
        <v>1139</v>
      </c>
      <c r="S57" s="108"/>
      <c r="T57" s="108"/>
      <c r="U57" s="108"/>
      <c r="V57" s="146">
        <v>45565</v>
      </c>
      <c r="W57" s="106"/>
    </row>
    <row r="58" spans="1:73" ht="20.149999999999999" hidden="1" customHeight="1">
      <c r="A58" s="106" t="s">
        <v>201</v>
      </c>
      <c r="B58" s="106" t="s">
        <v>735</v>
      </c>
      <c r="C58" s="106" t="s">
        <v>1626</v>
      </c>
      <c r="D58" s="119" t="s">
        <v>736</v>
      </c>
      <c r="E58" s="106">
        <v>27758689</v>
      </c>
      <c r="F58" s="182" t="s">
        <v>2500</v>
      </c>
      <c r="G58" s="106" t="s">
        <v>124</v>
      </c>
      <c r="H58" s="106" t="s">
        <v>538</v>
      </c>
      <c r="I58" s="106" t="s">
        <v>1624</v>
      </c>
      <c r="J58" s="106" t="s">
        <v>714</v>
      </c>
      <c r="K58" s="106" t="s">
        <v>995</v>
      </c>
      <c r="L58" s="106" t="s">
        <v>1141</v>
      </c>
      <c r="M58" s="106" t="str">
        <f t="shared" si="2"/>
        <v>14/08/1989</v>
      </c>
      <c r="N58" s="106">
        <f t="shared" ca="1" si="3"/>
        <v>36</v>
      </c>
      <c r="O58" s="106" t="s">
        <v>988</v>
      </c>
      <c r="P58" s="106" t="s">
        <v>1124</v>
      </c>
      <c r="Q58" s="106" t="s">
        <v>1142</v>
      </c>
      <c r="R58" s="106"/>
      <c r="S58" s="81" t="s">
        <v>2328</v>
      </c>
      <c r="T58" s="83" t="s">
        <v>2191</v>
      </c>
      <c r="U58" s="84">
        <v>46356</v>
      </c>
      <c r="V58" s="106"/>
      <c r="W58" s="106"/>
    </row>
    <row r="59" spans="1:73" s="205" customFormat="1" ht="20.149999999999999" hidden="1" customHeight="1">
      <c r="A59" s="108"/>
      <c r="B59" s="106" t="s">
        <v>780</v>
      </c>
      <c r="C59" s="106" t="s">
        <v>1626</v>
      </c>
      <c r="D59" s="121" t="s">
        <v>782</v>
      </c>
      <c r="E59" s="106">
        <v>29176685</v>
      </c>
      <c r="F59" s="182" t="s">
        <v>2497</v>
      </c>
      <c r="G59" s="106" t="s">
        <v>21</v>
      </c>
      <c r="H59" s="106" t="s">
        <v>538</v>
      </c>
      <c r="I59" s="106" t="s">
        <v>1621</v>
      </c>
      <c r="J59" s="106" t="s">
        <v>563</v>
      </c>
      <c r="K59" s="106" t="s">
        <v>2205</v>
      </c>
      <c r="L59" s="106" t="s">
        <v>2498</v>
      </c>
      <c r="M59" s="106" t="str">
        <f t="shared" si="2"/>
        <v>03/03/1992</v>
      </c>
      <c r="N59" s="106">
        <f t="shared" ca="1" si="3"/>
        <v>34</v>
      </c>
      <c r="O59" s="106" t="s">
        <v>988</v>
      </c>
      <c r="P59" s="106" t="s">
        <v>2158</v>
      </c>
      <c r="Q59" s="106" t="s">
        <v>1143</v>
      </c>
      <c r="R59" s="106" t="s">
        <v>2499</v>
      </c>
      <c r="S59" s="106"/>
      <c r="T59" s="106"/>
      <c r="U59" s="106"/>
      <c r="V59" s="108"/>
      <c r="W59" s="108"/>
      <c r="X59" s="203"/>
      <c r="Y59" s="203"/>
      <c r="Z59" s="203"/>
      <c r="AA59" s="203"/>
      <c r="AB59" s="203"/>
      <c r="AC59" s="203"/>
      <c r="AD59" s="203"/>
      <c r="AE59" s="203"/>
      <c r="AF59" s="203"/>
      <c r="AG59" s="203"/>
      <c r="AH59" s="203"/>
      <c r="AI59" s="203"/>
      <c r="AJ59" s="203"/>
      <c r="AK59" s="203"/>
      <c r="AL59" s="203"/>
      <c r="AM59" s="203"/>
      <c r="AN59" s="203"/>
      <c r="AO59" s="203"/>
      <c r="AP59" s="203"/>
      <c r="AQ59" s="203"/>
      <c r="AR59" s="204"/>
      <c r="AS59" s="204"/>
      <c r="AT59" s="204"/>
      <c r="AU59" s="204"/>
      <c r="AV59" s="204"/>
      <c r="AW59" s="204"/>
      <c r="AX59" s="204"/>
      <c r="AY59" s="204"/>
      <c r="AZ59" s="204"/>
      <c r="BA59" s="204"/>
      <c r="BB59" s="204"/>
      <c r="BC59" s="204"/>
      <c r="BD59" s="204"/>
      <c r="BE59" s="204"/>
      <c r="BF59" s="204"/>
      <c r="BG59" s="204"/>
      <c r="BH59" s="204"/>
      <c r="BI59" s="204"/>
      <c r="BJ59" s="204"/>
      <c r="BK59" s="204"/>
      <c r="BL59" s="204"/>
      <c r="BM59" s="204"/>
      <c r="BN59" s="204"/>
      <c r="BO59" s="204"/>
      <c r="BP59" s="204"/>
      <c r="BQ59" s="204"/>
      <c r="BR59" s="204"/>
      <c r="BS59" s="204"/>
      <c r="BT59" s="204"/>
      <c r="BU59" s="204"/>
    </row>
    <row r="60" spans="1:73" s="205" customFormat="1" ht="20.149999999999999" customHeight="1">
      <c r="A60" s="106" t="s">
        <v>233</v>
      </c>
      <c r="B60" s="106" t="s">
        <v>763</v>
      </c>
      <c r="C60" s="106" t="s">
        <v>1627</v>
      </c>
      <c r="D60" s="122" t="s">
        <v>764</v>
      </c>
      <c r="E60" s="119" t="s">
        <v>2172</v>
      </c>
      <c r="F60" s="199" t="s">
        <v>2501</v>
      </c>
      <c r="G60" s="106" t="s">
        <v>1581</v>
      </c>
      <c r="H60" s="106" t="s">
        <v>538</v>
      </c>
      <c r="I60" s="106" t="s">
        <v>1620</v>
      </c>
      <c r="J60" s="106" t="s">
        <v>960</v>
      </c>
      <c r="K60" s="106" t="s">
        <v>1144</v>
      </c>
      <c r="L60" s="106" t="s">
        <v>1145</v>
      </c>
      <c r="M60" s="106" t="str">
        <f t="shared" ref="M60:M85" si="4">IF(L60="","",TEXT(DATEVALUE(SUBSTITUTE(SUBSTITUTE(SUBSTITUTE(SUBSTITUTE(SUBSTITUTE(L60,"st",""),"nd",""),"rd",""),"th",""),"TH","")),"dd/mm/yyyy"))</f>
        <v>13/05/1981</v>
      </c>
      <c r="N60" s="106">
        <f t="shared" ref="N60:N85" ca="1" si="5">IF(M60="","",DATEDIF(M60,TODAY(),"Y"))</f>
        <v>45</v>
      </c>
      <c r="O60" s="106" t="s">
        <v>988</v>
      </c>
      <c r="P60" s="106" t="s">
        <v>1146</v>
      </c>
      <c r="Q60" s="106" t="s">
        <v>1147</v>
      </c>
      <c r="R60" s="106" t="s">
        <v>1148</v>
      </c>
      <c r="S60" s="106"/>
      <c r="T60" s="106"/>
      <c r="U60" s="106"/>
      <c r="V60" s="108"/>
      <c r="W60" s="108"/>
      <c r="X60" s="203"/>
      <c r="Y60" s="203"/>
      <c r="Z60" s="203"/>
      <c r="AA60" s="203"/>
      <c r="AB60" s="203"/>
      <c r="AC60" s="203"/>
      <c r="AD60" s="203"/>
      <c r="AE60" s="203"/>
      <c r="AF60" s="203"/>
      <c r="AG60" s="203"/>
      <c r="AH60" s="203"/>
      <c r="AI60" s="203"/>
      <c r="AJ60" s="203"/>
      <c r="AK60" s="203"/>
      <c r="AL60" s="203"/>
      <c r="AM60" s="203"/>
      <c r="AN60" s="203"/>
      <c r="AO60" s="203"/>
      <c r="AP60" s="203"/>
      <c r="AQ60" s="203"/>
      <c r="AR60" s="204"/>
      <c r="AS60" s="204"/>
      <c r="AT60" s="204"/>
      <c r="AU60" s="204"/>
      <c r="AV60" s="204"/>
      <c r="AW60" s="204"/>
      <c r="AX60" s="204"/>
      <c r="AY60" s="204"/>
      <c r="AZ60" s="204"/>
      <c r="BA60" s="204"/>
      <c r="BB60" s="204"/>
      <c r="BC60" s="204"/>
      <c r="BD60" s="204"/>
      <c r="BE60" s="204"/>
      <c r="BF60" s="204"/>
      <c r="BG60" s="204"/>
      <c r="BH60" s="204"/>
      <c r="BI60" s="204"/>
      <c r="BJ60" s="204"/>
      <c r="BK60" s="204"/>
      <c r="BL60" s="204"/>
      <c r="BM60" s="204"/>
      <c r="BN60" s="204"/>
      <c r="BO60" s="204"/>
      <c r="BP60" s="204"/>
      <c r="BQ60" s="204"/>
      <c r="BR60" s="204"/>
      <c r="BS60" s="204"/>
      <c r="BT60" s="204"/>
      <c r="BU60" s="204"/>
    </row>
    <row r="61" spans="1:73" s="205" customFormat="1" ht="20.149999999999999" hidden="1" customHeight="1">
      <c r="A61" s="106" t="s">
        <v>85</v>
      </c>
      <c r="B61" s="106" t="s">
        <v>1150</v>
      </c>
      <c r="C61" s="106" t="s">
        <v>1626</v>
      </c>
      <c r="D61" s="117" t="s">
        <v>620</v>
      </c>
      <c r="E61" s="117" t="s">
        <v>2166</v>
      </c>
      <c r="F61" s="180" t="s">
        <v>2502</v>
      </c>
      <c r="G61" s="106" t="s">
        <v>124</v>
      </c>
      <c r="H61" s="106" t="s">
        <v>538</v>
      </c>
      <c r="I61" s="106" t="s">
        <v>1621</v>
      </c>
      <c r="J61" s="106" t="s">
        <v>619</v>
      </c>
      <c r="K61" s="106" t="s">
        <v>1005</v>
      </c>
      <c r="L61" s="106" t="s">
        <v>1149</v>
      </c>
      <c r="M61" s="106" t="str">
        <f t="shared" si="4"/>
        <v>19/06/1991</v>
      </c>
      <c r="N61" s="106">
        <f t="shared" ca="1" si="5"/>
        <v>35</v>
      </c>
      <c r="O61" s="106" t="s">
        <v>988</v>
      </c>
      <c r="P61" s="106" t="s">
        <v>1124</v>
      </c>
      <c r="Q61" s="106" t="s">
        <v>1143</v>
      </c>
      <c r="R61" s="106"/>
      <c r="S61" s="81" t="s">
        <v>2328</v>
      </c>
      <c r="T61" s="83" t="s">
        <v>2187</v>
      </c>
      <c r="U61" s="84">
        <v>46265</v>
      </c>
      <c r="V61" s="108"/>
      <c r="W61" s="108"/>
      <c r="X61" s="203"/>
      <c r="Y61" s="203"/>
      <c r="Z61" s="203"/>
      <c r="AA61" s="203"/>
      <c r="AB61" s="203"/>
      <c r="AC61" s="203"/>
      <c r="AD61" s="203"/>
      <c r="AE61" s="203"/>
      <c r="AF61" s="203"/>
      <c r="AG61" s="203"/>
      <c r="AH61" s="203"/>
      <c r="AI61" s="203"/>
      <c r="AJ61" s="203"/>
      <c r="AK61" s="203"/>
      <c r="AL61" s="203"/>
      <c r="AM61" s="203"/>
      <c r="AN61" s="203"/>
      <c r="AO61" s="203"/>
      <c r="AP61" s="203"/>
      <c r="AQ61" s="203"/>
      <c r="AR61" s="204"/>
      <c r="AS61" s="204"/>
      <c r="AT61" s="204"/>
      <c r="AU61" s="204"/>
      <c r="AV61" s="204"/>
      <c r="AW61" s="204"/>
      <c r="AX61" s="204"/>
      <c r="AY61" s="204"/>
      <c r="AZ61" s="204"/>
      <c r="BA61" s="204"/>
      <c r="BB61" s="204"/>
      <c r="BC61" s="204"/>
      <c r="BD61" s="204"/>
      <c r="BE61" s="204"/>
      <c r="BF61" s="204"/>
      <c r="BG61" s="204"/>
      <c r="BH61" s="204"/>
      <c r="BI61" s="204"/>
      <c r="BJ61" s="204"/>
      <c r="BK61" s="204"/>
      <c r="BL61" s="204"/>
      <c r="BM61" s="204"/>
      <c r="BN61" s="204"/>
      <c r="BO61" s="204"/>
      <c r="BP61" s="204"/>
      <c r="BQ61" s="204"/>
      <c r="BR61" s="204"/>
      <c r="BS61" s="204"/>
      <c r="BT61" s="204"/>
      <c r="BU61" s="204"/>
    </row>
    <row r="62" spans="1:73" s="205" customFormat="1" ht="20.149999999999999" customHeight="1">
      <c r="A62" s="108" t="s">
        <v>129</v>
      </c>
      <c r="B62" s="108" t="s">
        <v>663</v>
      </c>
      <c r="C62" s="108" t="s">
        <v>1627</v>
      </c>
      <c r="D62" s="170" t="s">
        <v>665</v>
      </c>
      <c r="E62" s="108">
        <v>29351565</v>
      </c>
      <c r="F62" s="108" t="s">
        <v>2550</v>
      </c>
      <c r="G62" s="108" t="s">
        <v>83</v>
      </c>
      <c r="H62" s="108" t="s">
        <v>538</v>
      </c>
      <c r="I62" s="108" t="s">
        <v>1622</v>
      </c>
      <c r="J62" s="108" t="s">
        <v>664</v>
      </c>
      <c r="K62" s="108" t="s">
        <v>995</v>
      </c>
      <c r="L62" s="108" t="s">
        <v>1151</v>
      </c>
      <c r="M62" s="108" t="str">
        <f t="shared" si="4"/>
        <v>07/06/1992</v>
      </c>
      <c r="N62" s="108">
        <f t="shared" ca="1" si="5"/>
        <v>34</v>
      </c>
      <c r="O62" s="108" t="s">
        <v>988</v>
      </c>
      <c r="P62" s="108" t="s">
        <v>983</v>
      </c>
      <c r="Q62" s="108" t="s">
        <v>1152</v>
      </c>
      <c r="R62" s="108"/>
      <c r="S62" s="108"/>
      <c r="T62" s="108"/>
      <c r="U62" s="108"/>
      <c r="V62" s="197">
        <v>45565</v>
      </c>
      <c r="W62" s="108"/>
      <c r="X62" s="203"/>
      <c r="Y62" s="203"/>
      <c r="Z62" s="203"/>
      <c r="AA62" s="203"/>
      <c r="AB62" s="203"/>
      <c r="AC62" s="203"/>
      <c r="AD62" s="203"/>
      <c r="AE62" s="203"/>
      <c r="AF62" s="203"/>
      <c r="AG62" s="203"/>
      <c r="AH62" s="203"/>
      <c r="AI62" s="203"/>
      <c r="AJ62" s="203"/>
      <c r="AK62" s="203"/>
      <c r="AL62" s="203"/>
      <c r="AM62" s="203"/>
      <c r="AN62" s="203"/>
      <c r="AO62" s="203"/>
      <c r="AP62" s="203"/>
      <c r="AQ62" s="203"/>
      <c r="AR62" s="204"/>
      <c r="AS62" s="204"/>
      <c r="AT62" s="204"/>
      <c r="AU62" s="204"/>
      <c r="AV62" s="204"/>
      <c r="AW62" s="204"/>
      <c r="AX62" s="204"/>
      <c r="AY62" s="204"/>
      <c r="AZ62" s="204"/>
      <c r="BA62" s="204"/>
      <c r="BB62" s="204"/>
      <c r="BC62" s="204"/>
      <c r="BD62" s="204"/>
      <c r="BE62" s="204"/>
      <c r="BF62" s="204"/>
      <c r="BG62" s="204"/>
      <c r="BH62" s="204"/>
      <c r="BI62" s="204"/>
      <c r="BJ62" s="204"/>
      <c r="BK62" s="204"/>
      <c r="BL62" s="204"/>
      <c r="BM62" s="204"/>
      <c r="BN62" s="204"/>
      <c r="BO62" s="204"/>
      <c r="BP62" s="204"/>
      <c r="BQ62" s="204"/>
      <c r="BR62" s="204"/>
      <c r="BS62" s="204"/>
      <c r="BT62" s="204"/>
      <c r="BU62" s="204"/>
    </row>
    <row r="63" spans="1:73" ht="20.149999999999999" customHeight="1">
      <c r="A63" s="106" t="s">
        <v>208</v>
      </c>
      <c r="B63" s="106" t="s">
        <v>741</v>
      </c>
      <c r="C63" s="106" t="s">
        <v>1627</v>
      </c>
      <c r="D63" s="119" t="s">
        <v>743</v>
      </c>
      <c r="E63" s="106">
        <v>23208654</v>
      </c>
      <c r="F63" s="182" t="s">
        <v>2503</v>
      </c>
      <c r="G63" s="106" t="s">
        <v>124</v>
      </c>
      <c r="H63" s="106" t="s">
        <v>538</v>
      </c>
      <c r="I63" s="106" t="s">
        <v>1623</v>
      </c>
      <c r="J63" s="106" t="s">
        <v>656</v>
      </c>
      <c r="K63" s="106" t="s">
        <v>995</v>
      </c>
      <c r="L63" s="106" t="s">
        <v>1153</v>
      </c>
      <c r="M63" s="106" t="str">
        <f t="shared" si="4"/>
        <v>20/06/1983</v>
      </c>
      <c r="N63" s="106">
        <f t="shared" ca="1" si="5"/>
        <v>43</v>
      </c>
      <c r="O63" s="106" t="s">
        <v>988</v>
      </c>
      <c r="P63" s="106" t="s">
        <v>996</v>
      </c>
      <c r="Q63" s="106" t="s">
        <v>997</v>
      </c>
      <c r="R63" s="106"/>
      <c r="S63" s="82" t="s">
        <v>2328</v>
      </c>
      <c r="T63" s="90" t="s">
        <v>2193</v>
      </c>
      <c r="U63" s="84">
        <v>46173</v>
      </c>
      <c r="V63" s="106"/>
      <c r="W63" s="106"/>
    </row>
    <row r="64" spans="1:73" ht="20.149999999999999" hidden="1" customHeight="1">
      <c r="A64" s="108" t="s">
        <v>63</v>
      </c>
      <c r="B64" s="108" t="s">
        <v>1102</v>
      </c>
      <c r="C64" s="108" t="s">
        <v>1626</v>
      </c>
      <c r="D64" s="170" t="s">
        <v>596</v>
      </c>
      <c r="E64" s="108">
        <v>32478426</v>
      </c>
      <c r="F64" s="182" t="s">
        <v>2551</v>
      </c>
      <c r="G64" s="108" t="s">
        <v>83</v>
      </c>
      <c r="H64" s="108" t="s">
        <v>538</v>
      </c>
      <c r="I64" s="108" t="s">
        <v>1621</v>
      </c>
      <c r="J64" s="108" t="s">
        <v>559</v>
      </c>
      <c r="K64" s="108" t="s">
        <v>1005</v>
      </c>
      <c r="L64" s="108" t="s">
        <v>1154</v>
      </c>
      <c r="M64" s="108" t="str">
        <f t="shared" si="4"/>
        <v>20/10/1994</v>
      </c>
      <c r="N64" s="108">
        <f t="shared" ca="1" si="5"/>
        <v>31</v>
      </c>
      <c r="O64" s="108" t="s">
        <v>988</v>
      </c>
      <c r="P64" s="108" t="s">
        <v>983</v>
      </c>
      <c r="Q64" s="108" t="s">
        <v>1155</v>
      </c>
      <c r="R64" s="108"/>
      <c r="S64" s="108"/>
      <c r="T64" s="108"/>
      <c r="U64" s="108"/>
      <c r="V64" s="146">
        <v>45565</v>
      </c>
      <c r="W64" s="106"/>
    </row>
    <row r="65" spans="1:73" s="205" customFormat="1" ht="20.149999999999999" hidden="1" customHeight="1">
      <c r="A65" s="108" t="s">
        <v>154</v>
      </c>
      <c r="B65" s="108" t="s">
        <v>689</v>
      </c>
      <c r="C65" s="108" t="s">
        <v>1626</v>
      </c>
      <c r="D65" s="170" t="s">
        <v>690</v>
      </c>
      <c r="E65" s="108">
        <v>31444492</v>
      </c>
      <c r="F65" s="108" t="s">
        <v>2802</v>
      </c>
      <c r="G65" s="108" t="s">
        <v>21</v>
      </c>
      <c r="H65" s="108" t="s">
        <v>538</v>
      </c>
      <c r="I65" s="108" t="s">
        <v>1620</v>
      </c>
      <c r="J65" s="108" t="s">
        <v>960</v>
      </c>
      <c r="K65" s="108" t="s">
        <v>995</v>
      </c>
      <c r="L65" s="108" t="s">
        <v>1156</v>
      </c>
      <c r="M65" s="108" t="str">
        <f t="shared" si="4"/>
        <v>15/04/1993</v>
      </c>
      <c r="N65" s="108">
        <f t="shared" ca="1" si="5"/>
        <v>33</v>
      </c>
      <c r="O65" s="108" t="s">
        <v>988</v>
      </c>
      <c r="P65" s="108" t="s">
        <v>1002</v>
      </c>
      <c r="Q65" s="108" t="s">
        <v>1089</v>
      </c>
      <c r="R65" s="108" t="s">
        <v>1049</v>
      </c>
      <c r="S65" s="108"/>
      <c r="T65" s="108"/>
      <c r="U65" s="108"/>
      <c r="V65" s="197">
        <v>45565</v>
      </c>
      <c r="W65" s="108"/>
      <c r="X65" s="203"/>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c r="BF65" s="204"/>
      <c r="BG65" s="204"/>
      <c r="BH65" s="204"/>
      <c r="BI65" s="204"/>
      <c r="BJ65" s="204"/>
      <c r="BK65" s="204"/>
      <c r="BL65" s="204"/>
      <c r="BM65" s="204"/>
      <c r="BN65" s="204"/>
      <c r="BO65" s="204"/>
      <c r="BP65" s="204"/>
      <c r="BQ65" s="204"/>
      <c r="BR65" s="204"/>
      <c r="BS65" s="204"/>
      <c r="BT65" s="204"/>
      <c r="BU65" s="204"/>
    </row>
    <row r="66" spans="1:73" ht="20.149999999999999" hidden="1" customHeight="1">
      <c r="A66" s="106" t="s">
        <v>67</v>
      </c>
      <c r="B66" s="106" t="s">
        <v>598</v>
      </c>
      <c r="C66" s="106" t="s">
        <v>1626</v>
      </c>
      <c r="D66" s="117" t="s">
        <v>600</v>
      </c>
      <c r="E66" s="117" t="s">
        <v>2164</v>
      </c>
      <c r="F66" s="182" t="s">
        <v>2504</v>
      </c>
      <c r="G66" s="106" t="s">
        <v>83</v>
      </c>
      <c r="H66" s="106" t="s">
        <v>538</v>
      </c>
      <c r="I66" s="106" t="s">
        <v>1621</v>
      </c>
      <c r="J66" s="106" t="s">
        <v>547</v>
      </c>
      <c r="K66" s="106" t="s">
        <v>1005</v>
      </c>
      <c r="L66" s="106" t="s">
        <v>1157</v>
      </c>
      <c r="M66" s="106" t="str">
        <f t="shared" si="4"/>
        <v>05/06/1992</v>
      </c>
      <c r="N66" s="106">
        <f t="shared" ca="1" si="5"/>
        <v>34</v>
      </c>
      <c r="O66" s="106" t="s">
        <v>988</v>
      </c>
      <c r="P66" s="106" t="s">
        <v>983</v>
      </c>
      <c r="Q66" s="106" t="s">
        <v>1334</v>
      </c>
      <c r="R66" s="106"/>
      <c r="S66" s="83" t="s">
        <v>2330</v>
      </c>
      <c r="T66" s="81" t="s">
        <v>2199</v>
      </c>
      <c r="U66" s="84">
        <v>46344</v>
      </c>
      <c r="V66" s="106"/>
      <c r="W66" s="106"/>
    </row>
    <row r="67" spans="1:73" s="205" customFormat="1" ht="20.149999999999999" hidden="1" customHeight="1">
      <c r="A67" s="108" t="s">
        <v>222</v>
      </c>
      <c r="B67" s="108" t="s">
        <v>753</v>
      </c>
      <c r="C67" s="108" t="s">
        <v>1626</v>
      </c>
      <c r="D67" s="170" t="s">
        <v>755</v>
      </c>
      <c r="E67" s="108">
        <v>32389151</v>
      </c>
      <c r="F67" s="182" t="s">
        <v>2552</v>
      </c>
      <c r="G67" s="108" t="s">
        <v>407</v>
      </c>
      <c r="H67" s="108" t="s">
        <v>538</v>
      </c>
      <c r="I67" s="108" t="s">
        <v>1620</v>
      </c>
      <c r="J67" s="108" t="s">
        <v>960</v>
      </c>
      <c r="K67" s="108" t="s">
        <v>995</v>
      </c>
      <c r="L67" s="108" t="s">
        <v>1158</v>
      </c>
      <c r="M67" s="108" t="str">
        <f t="shared" si="4"/>
        <v>12/12/1994</v>
      </c>
      <c r="N67" s="108">
        <f t="shared" ca="1" si="5"/>
        <v>31</v>
      </c>
      <c r="O67" s="108" t="s">
        <v>998</v>
      </c>
      <c r="P67" s="108" t="s">
        <v>1159</v>
      </c>
      <c r="Q67" s="108" t="s">
        <v>1160</v>
      </c>
      <c r="R67" s="108"/>
      <c r="S67" s="108"/>
      <c r="T67" s="108"/>
      <c r="U67" s="108"/>
      <c r="V67" s="197">
        <v>45565</v>
      </c>
      <c r="W67" s="108"/>
      <c r="X67" s="203"/>
      <c r="Y67" s="203"/>
      <c r="Z67" s="203"/>
      <c r="AA67" s="203"/>
      <c r="AB67" s="203"/>
      <c r="AC67" s="203"/>
      <c r="AD67" s="203"/>
      <c r="AE67" s="203"/>
      <c r="AF67" s="203"/>
      <c r="AG67" s="203"/>
      <c r="AH67" s="203"/>
      <c r="AI67" s="203"/>
      <c r="AJ67" s="203"/>
      <c r="AK67" s="203"/>
      <c r="AL67" s="203"/>
      <c r="AM67" s="203"/>
      <c r="AN67" s="203"/>
      <c r="AO67" s="203"/>
      <c r="AP67" s="203"/>
      <c r="AQ67" s="203"/>
      <c r="AR67" s="203"/>
      <c r="AS67" s="203"/>
      <c r="AT67" s="203"/>
      <c r="AU67" s="203"/>
      <c r="AV67" s="203"/>
      <c r="AW67" s="203"/>
      <c r="AX67" s="203"/>
      <c r="AY67" s="203"/>
      <c r="AZ67" s="203"/>
      <c r="BA67" s="203"/>
      <c r="BB67" s="203"/>
      <c r="BC67" s="203"/>
      <c r="BD67" s="203"/>
      <c r="BE67" s="204"/>
      <c r="BF67" s="204"/>
      <c r="BG67" s="204"/>
      <c r="BH67" s="204"/>
      <c r="BI67" s="204"/>
      <c r="BJ67" s="204"/>
      <c r="BK67" s="204"/>
      <c r="BL67" s="204"/>
      <c r="BM67" s="204"/>
      <c r="BN67" s="204"/>
      <c r="BO67" s="204"/>
      <c r="BP67" s="204"/>
      <c r="BQ67" s="204"/>
      <c r="BR67" s="204"/>
      <c r="BS67" s="204"/>
      <c r="BT67" s="204"/>
      <c r="BU67" s="204"/>
    </row>
    <row r="68" spans="1:73" s="205" customFormat="1" ht="20.149999999999999" hidden="1" customHeight="1">
      <c r="A68" s="108" t="s">
        <v>248</v>
      </c>
      <c r="B68" s="108" t="s">
        <v>969</v>
      </c>
      <c r="C68" s="108" t="s">
        <v>1626</v>
      </c>
      <c r="D68" s="170" t="s">
        <v>774</v>
      </c>
      <c r="E68" s="108">
        <v>22953862</v>
      </c>
      <c r="F68" s="182" t="s">
        <v>2553</v>
      </c>
      <c r="G68" s="108" t="s">
        <v>83</v>
      </c>
      <c r="H68" s="108" t="s">
        <v>538</v>
      </c>
      <c r="I68" s="108" t="s">
        <v>1624</v>
      </c>
      <c r="J68" s="108" t="s">
        <v>595</v>
      </c>
      <c r="K68" s="108" t="s">
        <v>1005</v>
      </c>
      <c r="L68" s="108" t="s">
        <v>1161</v>
      </c>
      <c r="M68" s="108" t="str">
        <f t="shared" si="4"/>
        <v>14/02/1983</v>
      </c>
      <c r="N68" s="108">
        <f t="shared" ca="1" si="5"/>
        <v>43</v>
      </c>
      <c r="O68" s="108" t="s">
        <v>988</v>
      </c>
      <c r="P68" s="108" t="s">
        <v>983</v>
      </c>
      <c r="Q68" s="108" t="s">
        <v>1162</v>
      </c>
      <c r="R68" s="108"/>
      <c r="S68" s="108"/>
      <c r="T68" s="108"/>
      <c r="U68" s="108"/>
      <c r="V68" s="197">
        <v>45565</v>
      </c>
      <c r="W68" s="108"/>
      <c r="X68" s="203"/>
      <c r="Y68" s="203"/>
      <c r="Z68" s="203"/>
      <c r="AA68" s="203"/>
      <c r="AB68" s="203"/>
      <c r="AC68" s="203"/>
      <c r="AD68" s="203"/>
      <c r="AE68" s="203"/>
      <c r="AF68" s="203"/>
      <c r="AG68" s="203"/>
      <c r="AH68" s="203"/>
      <c r="AI68" s="203"/>
      <c r="AJ68" s="203"/>
      <c r="AK68" s="203"/>
      <c r="AL68" s="203"/>
      <c r="AM68" s="203"/>
      <c r="AN68" s="203"/>
      <c r="AO68" s="203"/>
      <c r="AP68" s="203"/>
      <c r="AQ68" s="203"/>
      <c r="AR68" s="203"/>
      <c r="AS68" s="203"/>
      <c r="AT68" s="203"/>
      <c r="AU68" s="203"/>
      <c r="AV68" s="203"/>
      <c r="AW68" s="203"/>
      <c r="AX68" s="203"/>
      <c r="AY68" s="203"/>
      <c r="AZ68" s="203"/>
      <c r="BA68" s="203"/>
      <c r="BB68" s="203"/>
      <c r="BC68" s="203"/>
      <c r="BD68" s="203"/>
      <c r="BE68" s="204"/>
      <c r="BF68" s="204"/>
      <c r="BG68" s="204"/>
      <c r="BH68" s="204"/>
      <c r="BI68" s="204"/>
      <c r="BJ68" s="204"/>
      <c r="BK68" s="204"/>
      <c r="BL68" s="204"/>
      <c r="BM68" s="204"/>
      <c r="BN68" s="204"/>
      <c r="BO68" s="204"/>
      <c r="BP68" s="204"/>
      <c r="BQ68" s="204"/>
      <c r="BR68" s="204"/>
      <c r="BS68" s="204"/>
      <c r="BT68" s="204"/>
      <c r="BU68" s="204"/>
    </row>
    <row r="69" spans="1:73" s="205" customFormat="1" ht="20.149999999999999" hidden="1" customHeight="1">
      <c r="A69" s="108" t="s">
        <v>136</v>
      </c>
      <c r="B69" s="108" t="s">
        <v>671</v>
      </c>
      <c r="C69" s="108" t="s">
        <v>1626</v>
      </c>
      <c r="D69" s="170" t="s">
        <v>673</v>
      </c>
      <c r="E69" s="108">
        <v>24654241</v>
      </c>
      <c r="F69" s="182" t="s">
        <v>2554</v>
      </c>
      <c r="G69" s="108" t="s">
        <v>21</v>
      </c>
      <c r="H69" s="108" t="s">
        <v>538</v>
      </c>
      <c r="I69" s="108" t="s">
        <v>1624</v>
      </c>
      <c r="J69" s="108" t="s">
        <v>643</v>
      </c>
      <c r="K69" s="108" t="s">
        <v>995</v>
      </c>
      <c r="L69" s="108" t="s">
        <v>1163</v>
      </c>
      <c r="M69" s="108" t="str">
        <f t="shared" si="4"/>
        <v>16/10/1984</v>
      </c>
      <c r="N69" s="108">
        <f t="shared" ca="1" si="5"/>
        <v>41</v>
      </c>
      <c r="O69" s="108" t="s">
        <v>988</v>
      </c>
      <c r="P69" s="108" t="s">
        <v>983</v>
      </c>
      <c r="Q69" s="108" t="s">
        <v>1155</v>
      </c>
      <c r="R69" s="108" t="s">
        <v>1049</v>
      </c>
      <c r="S69" s="108"/>
      <c r="T69" s="108"/>
      <c r="U69" s="108"/>
      <c r="V69" s="197">
        <v>45930</v>
      </c>
      <c r="W69" s="108"/>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4"/>
      <c r="BF69" s="204"/>
      <c r="BG69" s="204"/>
      <c r="BH69" s="204"/>
      <c r="BI69" s="204"/>
      <c r="BJ69" s="204"/>
      <c r="BK69" s="204"/>
      <c r="BL69" s="204"/>
      <c r="BM69" s="204"/>
      <c r="BN69" s="204"/>
      <c r="BO69" s="204"/>
      <c r="BP69" s="204"/>
      <c r="BQ69" s="204"/>
      <c r="BR69" s="204"/>
      <c r="BS69" s="204"/>
      <c r="BT69" s="204"/>
      <c r="BU69" s="204"/>
    </row>
    <row r="70" spans="1:73" ht="20.149999999999999" customHeight="1">
      <c r="A70" s="106" t="s">
        <v>89</v>
      </c>
      <c r="B70" s="106" t="s">
        <v>1164</v>
      </c>
      <c r="C70" s="106" t="s">
        <v>1627</v>
      </c>
      <c r="D70" s="117" t="s">
        <v>624</v>
      </c>
      <c r="E70" s="117" t="s">
        <v>2167</v>
      </c>
      <c r="F70" s="180" t="s">
        <v>2505</v>
      </c>
      <c r="G70" s="106" t="s">
        <v>935</v>
      </c>
      <c r="H70" s="106" t="s">
        <v>538</v>
      </c>
      <c r="I70" s="106" t="s">
        <v>1621</v>
      </c>
      <c r="J70" s="106" t="s">
        <v>965</v>
      </c>
      <c r="K70" s="106" t="s">
        <v>1005</v>
      </c>
      <c r="L70" s="106" t="s">
        <v>1165</v>
      </c>
      <c r="M70" s="106" t="str">
        <f t="shared" si="4"/>
        <v>20/01/1996</v>
      </c>
      <c r="N70" s="106">
        <f t="shared" ca="1" si="5"/>
        <v>30</v>
      </c>
      <c r="O70" s="106" t="s">
        <v>988</v>
      </c>
      <c r="P70" s="106" t="s">
        <v>1124</v>
      </c>
      <c r="Q70" s="106" t="s">
        <v>1013</v>
      </c>
      <c r="R70" s="106"/>
      <c r="S70" s="81" t="s">
        <v>2328</v>
      </c>
      <c r="T70" s="83" t="s">
        <v>2188</v>
      </c>
      <c r="U70" s="84">
        <v>46295</v>
      </c>
      <c r="V70" s="106"/>
      <c r="W70" s="106"/>
    </row>
    <row r="71" spans="1:73" ht="20.149999999999999" hidden="1" customHeight="1">
      <c r="A71" s="108" t="s">
        <v>191</v>
      </c>
      <c r="B71" s="108" t="s">
        <v>725</v>
      </c>
      <c r="C71" s="108" t="s">
        <v>1626</v>
      </c>
      <c r="D71" s="170" t="s">
        <v>726</v>
      </c>
      <c r="E71" s="108">
        <v>30342708</v>
      </c>
      <c r="F71" s="182" t="s">
        <v>2555</v>
      </c>
      <c r="G71" s="108" t="s">
        <v>21</v>
      </c>
      <c r="H71" s="108" t="s">
        <v>538</v>
      </c>
      <c r="I71" s="108" t="s">
        <v>1623</v>
      </c>
      <c r="J71" s="108" t="s">
        <v>656</v>
      </c>
      <c r="K71" s="108" t="s">
        <v>995</v>
      </c>
      <c r="L71" s="108" t="s">
        <v>1166</v>
      </c>
      <c r="M71" s="108" t="str">
        <f t="shared" si="4"/>
        <v>18/01/1992</v>
      </c>
      <c r="N71" s="108">
        <f t="shared" ca="1" si="5"/>
        <v>34</v>
      </c>
      <c r="O71" s="108" t="s">
        <v>988</v>
      </c>
      <c r="P71" s="108" t="s">
        <v>1167</v>
      </c>
      <c r="Q71" s="108" t="s">
        <v>1168</v>
      </c>
      <c r="R71" s="108" t="s">
        <v>1049</v>
      </c>
      <c r="S71" s="108"/>
      <c r="T71" s="108"/>
      <c r="U71" s="108"/>
      <c r="V71" s="146">
        <v>45565</v>
      </c>
      <c r="W71" s="106"/>
    </row>
    <row r="72" spans="1:73" s="205" customFormat="1" ht="20.149999999999999" hidden="1" customHeight="1">
      <c r="A72" s="106" t="s">
        <v>284</v>
      </c>
      <c r="B72" s="106" t="s">
        <v>972</v>
      </c>
      <c r="C72" s="106" t="s">
        <v>1626</v>
      </c>
      <c r="D72" s="121" t="s">
        <v>2182</v>
      </c>
      <c r="E72" s="106">
        <v>31231798</v>
      </c>
      <c r="F72" s="142" t="s">
        <v>2803</v>
      </c>
      <c r="G72" s="106" t="s">
        <v>124</v>
      </c>
      <c r="H72" s="106" t="s">
        <v>538</v>
      </c>
      <c r="I72" s="106" t="s">
        <v>1620</v>
      </c>
      <c r="J72" s="106" t="s">
        <v>609</v>
      </c>
      <c r="K72" s="106" t="s">
        <v>1028</v>
      </c>
      <c r="L72" s="106" t="s">
        <v>1169</v>
      </c>
      <c r="M72" s="106" t="str">
        <f t="shared" si="4"/>
        <v>17/04/1994</v>
      </c>
      <c r="N72" s="106">
        <f t="shared" ca="1" si="5"/>
        <v>32</v>
      </c>
      <c r="O72" s="106" t="s">
        <v>988</v>
      </c>
      <c r="P72" s="106" t="s">
        <v>996</v>
      </c>
      <c r="Q72" s="106" t="s">
        <v>1170</v>
      </c>
      <c r="R72" s="106"/>
      <c r="S72" s="81" t="s">
        <v>2328</v>
      </c>
      <c r="T72" s="83" t="s">
        <v>2197</v>
      </c>
      <c r="U72" s="84">
        <v>46173</v>
      </c>
      <c r="V72" s="108"/>
      <c r="W72" s="108"/>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c r="BF72" s="204"/>
      <c r="BG72" s="204"/>
      <c r="BH72" s="204"/>
      <c r="BI72" s="204"/>
      <c r="BJ72" s="204"/>
      <c r="BK72" s="204"/>
      <c r="BL72" s="204"/>
      <c r="BM72" s="204"/>
      <c r="BN72" s="204"/>
      <c r="BO72" s="204"/>
      <c r="BP72" s="204"/>
      <c r="BQ72" s="204"/>
      <c r="BR72" s="204"/>
      <c r="BS72" s="204"/>
      <c r="BT72" s="204"/>
      <c r="BU72" s="204"/>
    </row>
    <row r="73" spans="1:73" s="205" customFormat="1" ht="20.149999999999999" hidden="1" customHeight="1">
      <c r="A73" s="108" t="s">
        <v>161</v>
      </c>
      <c r="B73" s="108" t="s">
        <v>695</v>
      </c>
      <c r="C73" s="108" t="s">
        <v>1626</v>
      </c>
      <c r="D73" s="170" t="s">
        <v>697</v>
      </c>
      <c r="E73" s="108">
        <v>13398964</v>
      </c>
      <c r="F73" s="182" t="s">
        <v>2556</v>
      </c>
      <c r="G73" s="108" t="s">
        <v>21</v>
      </c>
      <c r="H73" s="108" t="s">
        <v>538</v>
      </c>
      <c r="I73" s="108" t="s">
        <v>1623</v>
      </c>
      <c r="J73" s="108" t="s">
        <v>696</v>
      </c>
      <c r="K73" s="108" t="s">
        <v>995</v>
      </c>
      <c r="L73" s="108" t="s">
        <v>1171</v>
      </c>
      <c r="M73" s="108" t="str">
        <f t="shared" si="4"/>
        <v>25/12/1975</v>
      </c>
      <c r="N73" s="108">
        <f t="shared" ca="1" si="5"/>
        <v>50</v>
      </c>
      <c r="O73" s="108" t="s">
        <v>988</v>
      </c>
      <c r="P73" s="108" t="s">
        <v>1172</v>
      </c>
      <c r="Q73" s="108" t="s">
        <v>1173</v>
      </c>
      <c r="R73" s="108" t="s">
        <v>1049</v>
      </c>
      <c r="S73" s="108"/>
      <c r="T73" s="108"/>
      <c r="U73" s="108"/>
      <c r="V73" s="197">
        <v>45565</v>
      </c>
      <c r="W73" s="108"/>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c r="BF73" s="204"/>
      <c r="BG73" s="204"/>
      <c r="BH73" s="204"/>
      <c r="BI73" s="204"/>
      <c r="BJ73" s="204"/>
      <c r="BK73" s="204"/>
      <c r="BL73" s="204"/>
      <c r="BM73" s="204"/>
      <c r="BN73" s="204"/>
      <c r="BO73" s="204"/>
      <c r="BP73" s="204"/>
      <c r="BQ73" s="204"/>
      <c r="BR73" s="204"/>
      <c r="BS73" s="204"/>
      <c r="BT73" s="204"/>
      <c r="BU73" s="204"/>
    </row>
    <row r="74" spans="1:73" ht="20.149999999999999" hidden="1" customHeight="1">
      <c r="A74" s="106" t="s">
        <v>93</v>
      </c>
      <c r="B74" s="106" t="s">
        <v>1174</v>
      </c>
      <c r="C74" s="106" t="s">
        <v>1626</v>
      </c>
      <c r="D74" s="117" t="s">
        <v>627</v>
      </c>
      <c r="E74" s="117" t="s">
        <v>2168</v>
      </c>
      <c r="F74" s="180" t="s">
        <v>2506</v>
      </c>
      <c r="G74" s="106" t="s">
        <v>935</v>
      </c>
      <c r="H74" s="106" t="s">
        <v>538</v>
      </c>
      <c r="I74" s="106" t="s">
        <v>1620</v>
      </c>
      <c r="J74" s="106" t="s">
        <v>609</v>
      </c>
      <c r="K74" s="106" t="s">
        <v>1005</v>
      </c>
      <c r="L74" s="106" t="s">
        <v>1175</v>
      </c>
      <c r="M74" s="106" t="str">
        <f t="shared" si="4"/>
        <v>13/05/1993</v>
      </c>
      <c r="N74" s="106">
        <f t="shared" ca="1" si="5"/>
        <v>33</v>
      </c>
      <c r="O74" s="106" t="s">
        <v>988</v>
      </c>
      <c r="P74" s="106" t="s">
        <v>996</v>
      </c>
      <c r="Q74" s="106" t="s">
        <v>1176</v>
      </c>
      <c r="R74" s="106"/>
      <c r="S74" s="81" t="s">
        <v>2328</v>
      </c>
      <c r="T74" s="83" t="s">
        <v>2189</v>
      </c>
      <c r="U74" s="84">
        <v>46142</v>
      </c>
      <c r="V74" s="106"/>
      <c r="W74" s="106"/>
    </row>
    <row r="75" spans="1:73" s="205" customFormat="1" ht="20.149999999999999" hidden="1" customHeight="1">
      <c r="A75" s="106" t="s">
        <v>54</v>
      </c>
      <c r="B75" s="106" t="s">
        <v>582</v>
      </c>
      <c r="C75" s="106" t="s">
        <v>1626</v>
      </c>
      <c r="D75" s="117" t="s">
        <v>584</v>
      </c>
      <c r="E75" s="117" t="s">
        <v>2162</v>
      </c>
      <c r="F75" s="180" t="s">
        <v>2507</v>
      </c>
      <c r="G75" s="106" t="s">
        <v>21</v>
      </c>
      <c r="H75" s="106" t="s">
        <v>538</v>
      </c>
      <c r="I75" s="106" t="s">
        <v>1623</v>
      </c>
      <c r="J75" s="106" t="s">
        <v>696</v>
      </c>
      <c r="K75" s="106" t="s">
        <v>1005</v>
      </c>
      <c r="L75" s="106" t="s">
        <v>2508</v>
      </c>
      <c r="M75" s="106" t="str">
        <f t="shared" si="4"/>
        <v>01/03/1988</v>
      </c>
      <c r="N75" s="106">
        <f t="shared" ca="1" si="5"/>
        <v>38</v>
      </c>
      <c r="O75" s="106" t="s">
        <v>988</v>
      </c>
      <c r="P75" s="106" t="s">
        <v>1177</v>
      </c>
      <c r="Q75" s="106" t="s">
        <v>2509</v>
      </c>
      <c r="R75" s="106" t="s">
        <v>1178</v>
      </c>
      <c r="S75" s="106"/>
      <c r="T75" s="106"/>
      <c r="U75" s="106"/>
      <c r="V75" s="108"/>
      <c r="W75" s="108"/>
      <c r="X75" s="203"/>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c r="BF75" s="204"/>
      <c r="BG75" s="204"/>
      <c r="BH75" s="204"/>
      <c r="BI75" s="204"/>
      <c r="BJ75" s="204"/>
      <c r="BK75" s="204"/>
      <c r="BL75" s="204"/>
      <c r="BM75" s="204"/>
      <c r="BN75" s="204"/>
      <c r="BO75" s="204"/>
      <c r="BP75" s="204"/>
      <c r="BQ75" s="204"/>
      <c r="BR75" s="204"/>
      <c r="BS75" s="204"/>
      <c r="BT75" s="204"/>
      <c r="BU75" s="204"/>
    </row>
    <row r="76" spans="1:73" ht="20.149999999999999" hidden="1" customHeight="1">
      <c r="A76" s="108" t="s">
        <v>57</v>
      </c>
      <c r="B76" s="108" t="s">
        <v>586</v>
      </c>
      <c r="C76" s="108" t="s">
        <v>1626</v>
      </c>
      <c r="D76" s="170" t="s">
        <v>588</v>
      </c>
      <c r="E76" s="108">
        <v>25909544</v>
      </c>
      <c r="F76" s="182" t="s">
        <v>2557</v>
      </c>
      <c r="G76" s="108" t="s">
        <v>21</v>
      </c>
      <c r="H76" s="108" t="s">
        <v>538</v>
      </c>
      <c r="I76" s="108" t="s">
        <v>1624</v>
      </c>
      <c r="J76" s="108" t="s">
        <v>587</v>
      </c>
      <c r="K76" s="108" t="s">
        <v>1005</v>
      </c>
      <c r="L76" s="108" t="s">
        <v>1179</v>
      </c>
      <c r="M76" s="108" t="str">
        <f t="shared" si="4"/>
        <v>20/08/1987</v>
      </c>
      <c r="N76" s="108">
        <f t="shared" ca="1" si="5"/>
        <v>38</v>
      </c>
      <c r="O76" s="108" t="s">
        <v>988</v>
      </c>
      <c r="P76" s="108" t="s">
        <v>1072</v>
      </c>
      <c r="Q76" s="108" t="s">
        <v>1180</v>
      </c>
      <c r="R76" s="108" t="s">
        <v>1181</v>
      </c>
      <c r="S76" s="108"/>
      <c r="T76" s="108"/>
      <c r="U76" s="108"/>
      <c r="V76" s="146">
        <v>45565</v>
      </c>
      <c r="W76" s="106"/>
    </row>
    <row r="77" spans="1:73" ht="20.149999999999999" hidden="1" customHeight="1">
      <c r="A77" s="108" t="s">
        <v>292</v>
      </c>
      <c r="B77" s="108" t="s">
        <v>976</v>
      </c>
      <c r="C77" s="108" t="s">
        <v>1626</v>
      </c>
      <c r="D77" s="170" t="s">
        <v>2559</v>
      </c>
      <c r="E77" s="108">
        <v>31345819</v>
      </c>
      <c r="F77" s="182" t="s">
        <v>2558</v>
      </c>
      <c r="G77" s="108" t="s">
        <v>21</v>
      </c>
      <c r="H77" s="108" t="s">
        <v>538</v>
      </c>
      <c r="I77" s="108" t="s">
        <v>1622</v>
      </c>
      <c r="J77" s="108" t="s">
        <v>555</v>
      </c>
      <c r="K77" s="108" t="s">
        <v>1028</v>
      </c>
      <c r="L77" s="108" t="s">
        <v>1182</v>
      </c>
      <c r="M77" s="108" t="str">
        <f t="shared" si="4"/>
        <v>26/10/1994</v>
      </c>
      <c r="N77" s="108">
        <f t="shared" ca="1" si="5"/>
        <v>31</v>
      </c>
      <c r="O77" s="108" t="s">
        <v>988</v>
      </c>
      <c r="P77" s="108" t="s">
        <v>1002</v>
      </c>
      <c r="Q77" s="108" t="s">
        <v>1089</v>
      </c>
      <c r="R77" s="108" t="s">
        <v>1049</v>
      </c>
      <c r="S77" s="108"/>
      <c r="T77" s="108"/>
      <c r="U77" s="108"/>
      <c r="V77" s="146">
        <v>45565</v>
      </c>
      <c r="W77" s="106"/>
    </row>
    <row r="78" spans="1:73" ht="20.149999999999999" hidden="1" customHeight="1">
      <c r="A78" s="106" t="s">
        <v>60</v>
      </c>
      <c r="B78" s="106" t="s">
        <v>2510</v>
      </c>
      <c r="C78" s="106" t="s">
        <v>1626</v>
      </c>
      <c r="D78" s="117" t="s">
        <v>592</v>
      </c>
      <c r="E78" s="117" t="s">
        <v>2163</v>
      </c>
      <c r="F78" s="180" t="s">
        <v>2511</v>
      </c>
      <c r="G78" s="106" t="s">
        <v>21</v>
      </c>
      <c r="H78" s="106" t="s">
        <v>538</v>
      </c>
      <c r="I78" s="106" t="s">
        <v>1624</v>
      </c>
      <c r="J78" s="106" t="s">
        <v>543</v>
      </c>
      <c r="K78" s="106" t="s">
        <v>1005</v>
      </c>
      <c r="L78" s="106" t="s">
        <v>1183</v>
      </c>
      <c r="M78" s="106" t="str">
        <f t="shared" si="4"/>
        <v>09/08/1993</v>
      </c>
      <c r="N78" s="106">
        <f t="shared" ca="1" si="5"/>
        <v>32</v>
      </c>
      <c r="O78" s="106" t="s">
        <v>988</v>
      </c>
      <c r="P78" s="106" t="s">
        <v>1184</v>
      </c>
      <c r="Q78" s="106" t="s">
        <v>1051</v>
      </c>
      <c r="R78" s="106" t="s">
        <v>1049</v>
      </c>
      <c r="S78" s="106"/>
      <c r="T78" s="106"/>
      <c r="U78" s="106"/>
      <c r="V78" s="106"/>
      <c r="W78" s="106"/>
    </row>
    <row r="79" spans="1:73" s="205" customFormat="1" ht="20.149999999999999" customHeight="1">
      <c r="A79" s="106" t="s">
        <v>120</v>
      </c>
      <c r="B79" s="106" t="s">
        <v>651</v>
      </c>
      <c r="C79" s="106" t="s">
        <v>1627</v>
      </c>
      <c r="D79" s="119" t="s">
        <v>653</v>
      </c>
      <c r="E79" s="106">
        <v>29101303</v>
      </c>
      <c r="F79" s="182" t="s">
        <v>2512</v>
      </c>
      <c r="G79" s="106" t="s">
        <v>83</v>
      </c>
      <c r="H79" s="106" t="s">
        <v>538</v>
      </c>
      <c r="I79" s="106" t="s">
        <v>1620</v>
      </c>
      <c r="J79" s="106" t="s">
        <v>960</v>
      </c>
      <c r="K79" s="106" t="s">
        <v>995</v>
      </c>
      <c r="L79" s="106" t="s">
        <v>1185</v>
      </c>
      <c r="M79" s="106" t="str">
        <f t="shared" si="4"/>
        <v>25/02/1992</v>
      </c>
      <c r="N79" s="106">
        <f t="shared" ca="1" si="5"/>
        <v>34</v>
      </c>
      <c r="O79" s="106" t="s">
        <v>988</v>
      </c>
      <c r="P79" s="106" t="s">
        <v>983</v>
      </c>
      <c r="Q79" s="106" t="s">
        <v>1125</v>
      </c>
      <c r="R79" s="106"/>
      <c r="S79" s="83" t="s">
        <v>2330</v>
      </c>
      <c r="T79" s="81" t="s">
        <v>2200</v>
      </c>
      <c r="U79" s="84">
        <v>46137</v>
      </c>
      <c r="V79" s="108"/>
      <c r="W79" s="108"/>
      <c r="X79" s="203"/>
      <c r="Y79" s="203"/>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c r="BF79" s="204"/>
      <c r="BG79" s="204"/>
      <c r="BH79" s="204"/>
      <c r="BI79" s="204"/>
      <c r="BJ79" s="204"/>
      <c r="BK79" s="204"/>
      <c r="BL79" s="204"/>
      <c r="BM79" s="204"/>
      <c r="BN79" s="204"/>
      <c r="BO79" s="204"/>
      <c r="BP79" s="204"/>
      <c r="BQ79" s="204"/>
      <c r="BR79" s="204"/>
      <c r="BS79" s="204"/>
      <c r="BT79" s="204"/>
      <c r="BU79" s="204"/>
    </row>
    <row r="80" spans="1:73" ht="20.149999999999999" hidden="1" customHeight="1">
      <c r="A80" s="108" t="s">
        <v>111</v>
      </c>
      <c r="B80" s="108" t="s">
        <v>2560</v>
      </c>
      <c r="C80" s="108" t="s">
        <v>1626</v>
      </c>
      <c r="D80" s="170" t="s">
        <v>644</v>
      </c>
      <c r="E80" s="108">
        <v>24661652</v>
      </c>
      <c r="F80" s="108"/>
      <c r="G80" s="108" t="s">
        <v>21</v>
      </c>
      <c r="H80" s="108" t="s">
        <v>538</v>
      </c>
      <c r="I80" s="108" t="s">
        <v>1624</v>
      </c>
      <c r="J80" s="108" t="s">
        <v>643</v>
      </c>
      <c r="K80" s="108" t="s">
        <v>1005</v>
      </c>
      <c r="L80" s="108" t="s">
        <v>1186</v>
      </c>
      <c r="M80" s="108" t="str">
        <f t="shared" si="4"/>
        <v>05/11/1985</v>
      </c>
      <c r="N80" s="108">
        <f t="shared" ca="1" si="5"/>
        <v>40</v>
      </c>
      <c r="O80" s="108" t="s">
        <v>998</v>
      </c>
      <c r="P80" s="108" t="s">
        <v>1187</v>
      </c>
      <c r="Q80" s="108" t="s">
        <v>1189</v>
      </c>
      <c r="R80" s="108"/>
      <c r="S80" s="108"/>
      <c r="T80" s="108"/>
      <c r="U80" s="108"/>
      <c r="V80" s="146">
        <v>45565</v>
      </c>
      <c r="W80" s="106"/>
    </row>
    <row r="81" spans="1:23" ht="20.149999999999999" customHeight="1">
      <c r="A81" s="108" t="s">
        <v>194</v>
      </c>
      <c r="B81" s="108" t="s">
        <v>728</v>
      </c>
      <c r="C81" s="108" t="s">
        <v>1627</v>
      </c>
      <c r="D81" s="170" t="s">
        <v>729</v>
      </c>
      <c r="E81" s="108">
        <v>271649</v>
      </c>
      <c r="F81" s="182" t="s">
        <v>2561</v>
      </c>
      <c r="G81" s="108" t="s">
        <v>21</v>
      </c>
      <c r="H81" s="108" t="s">
        <v>538</v>
      </c>
      <c r="I81" s="108" t="s">
        <v>1620</v>
      </c>
      <c r="J81" s="108" t="s">
        <v>960</v>
      </c>
      <c r="K81" s="108" t="s">
        <v>995</v>
      </c>
      <c r="L81" s="197" t="s">
        <v>2562</v>
      </c>
      <c r="M81" s="108" t="str">
        <f t="shared" si="4"/>
        <v>01/01/1987</v>
      </c>
      <c r="N81" s="108">
        <f t="shared" ca="1" si="5"/>
        <v>39</v>
      </c>
      <c r="O81" s="108" t="s">
        <v>1188</v>
      </c>
      <c r="P81" s="108" t="s">
        <v>1002</v>
      </c>
      <c r="Q81" s="108" t="s">
        <v>1048</v>
      </c>
      <c r="R81" s="108" t="s">
        <v>1049</v>
      </c>
      <c r="S81" s="108"/>
      <c r="T81" s="108"/>
      <c r="U81" s="108"/>
      <c r="V81" s="146">
        <v>45565</v>
      </c>
      <c r="W81" s="106"/>
    </row>
    <row r="82" spans="1:23" ht="20.149999999999999" customHeight="1">
      <c r="A82" s="106" t="s">
        <v>197</v>
      </c>
      <c r="B82" s="106" t="s">
        <v>1654</v>
      </c>
      <c r="C82" s="106" t="s">
        <v>1627</v>
      </c>
      <c r="D82" s="119" t="s">
        <v>733</v>
      </c>
      <c r="E82" s="106">
        <v>28478409</v>
      </c>
      <c r="F82" s="182" t="s">
        <v>2513</v>
      </c>
      <c r="G82" s="106" t="s">
        <v>935</v>
      </c>
      <c r="H82" s="106" t="s">
        <v>538</v>
      </c>
      <c r="I82" s="106" t="s">
        <v>1620</v>
      </c>
      <c r="J82" s="106" t="s">
        <v>960</v>
      </c>
      <c r="K82" s="106" t="s">
        <v>1039</v>
      </c>
      <c r="L82" s="106" t="s">
        <v>1190</v>
      </c>
      <c r="M82" s="106" t="str">
        <f t="shared" si="4"/>
        <v>01/07/1991</v>
      </c>
      <c r="N82" s="106">
        <f t="shared" ca="1" si="5"/>
        <v>35</v>
      </c>
      <c r="O82" s="106" t="s">
        <v>988</v>
      </c>
      <c r="P82" s="106" t="s">
        <v>996</v>
      </c>
      <c r="Q82" s="106" t="s">
        <v>1125</v>
      </c>
      <c r="R82" s="106" t="s">
        <v>1049</v>
      </c>
      <c r="S82" s="81" t="s">
        <v>2328</v>
      </c>
      <c r="T82" s="83" t="s">
        <v>2190</v>
      </c>
      <c r="U82" s="84">
        <v>46326</v>
      </c>
      <c r="V82" s="106"/>
      <c r="W82" s="106"/>
    </row>
    <row r="83" spans="1:23" ht="20.149999999999999" hidden="1" customHeight="1">
      <c r="A83" s="106" t="s">
        <v>244</v>
      </c>
      <c r="B83" s="106" t="s">
        <v>968</v>
      </c>
      <c r="C83" s="106" t="s">
        <v>1626</v>
      </c>
      <c r="D83" s="118" t="s">
        <v>2176</v>
      </c>
      <c r="E83" s="117" t="s">
        <v>2175</v>
      </c>
      <c r="F83" s="180" t="s">
        <v>2515</v>
      </c>
      <c r="G83" s="106" t="s">
        <v>83</v>
      </c>
      <c r="H83" s="106" t="s">
        <v>538</v>
      </c>
      <c r="I83" s="106" t="s">
        <v>1622</v>
      </c>
      <c r="J83" s="106" t="s">
        <v>575</v>
      </c>
      <c r="K83" s="106" t="s">
        <v>1193</v>
      </c>
      <c r="L83" s="106" t="s">
        <v>1194</v>
      </c>
      <c r="M83" s="106" t="str">
        <f t="shared" si="4"/>
        <v>14/03/1995</v>
      </c>
      <c r="N83" s="106">
        <f t="shared" ca="1" si="5"/>
        <v>31</v>
      </c>
      <c r="O83" s="106" t="s">
        <v>988</v>
      </c>
      <c r="P83" s="106" t="s">
        <v>983</v>
      </c>
      <c r="Q83" s="106" t="s">
        <v>1131</v>
      </c>
      <c r="R83" s="106"/>
      <c r="S83" s="83" t="s">
        <v>2330</v>
      </c>
      <c r="T83" s="81" t="s">
        <v>2203</v>
      </c>
      <c r="U83" s="84">
        <v>46343</v>
      </c>
      <c r="V83" s="106"/>
      <c r="W83" s="106"/>
    </row>
    <row r="84" spans="1:23" ht="20.149999999999999" hidden="1" customHeight="1">
      <c r="A84" s="106" t="s">
        <v>150</v>
      </c>
      <c r="B84" s="106" t="s">
        <v>1933</v>
      </c>
      <c r="C84" s="106" t="s">
        <v>1626</v>
      </c>
      <c r="D84" s="119" t="s">
        <v>687</v>
      </c>
      <c r="E84" s="106">
        <v>31834660</v>
      </c>
      <c r="F84" s="182" t="s">
        <v>2514</v>
      </c>
      <c r="G84" s="106" t="s">
        <v>963</v>
      </c>
      <c r="H84" s="106" t="s">
        <v>538</v>
      </c>
      <c r="I84" s="106" t="s">
        <v>1624</v>
      </c>
      <c r="J84" s="106" t="s">
        <v>579</v>
      </c>
      <c r="K84" s="106" t="s">
        <v>995</v>
      </c>
      <c r="L84" s="106" t="s">
        <v>1191</v>
      </c>
      <c r="M84" s="106" t="str">
        <f t="shared" si="4"/>
        <v>27/11/1993</v>
      </c>
      <c r="N84" s="106">
        <f t="shared" ca="1" si="5"/>
        <v>32</v>
      </c>
      <c r="O84" s="106" t="s">
        <v>998</v>
      </c>
      <c r="P84" s="106" t="s">
        <v>1192</v>
      </c>
      <c r="Q84" s="106" t="s">
        <v>1041</v>
      </c>
      <c r="R84" s="106" t="s">
        <v>1049</v>
      </c>
      <c r="S84" s="106"/>
      <c r="T84" s="106"/>
      <c r="U84" s="106"/>
      <c r="V84" s="106"/>
      <c r="W84" s="106"/>
    </row>
    <row r="85" spans="1:23" ht="20.149999999999999" hidden="1" customHeight="1">
      <c r="A85" s="106"/>
      <c r="B85" s="106" t="s">
        <v>3166</v>
      </c>
      <c r="C85" s="106" t="s">
        <v>1626</v>
      </c>
      <c r="D85" s="118" t="s">
        <v>3272</v>
      </c>
      <c r="E85" s="106">
        <v>22714059</v>
      </c>
      <c r="F85" s="142" t="s">
        <v>3273</v>
      </c>
      <c r="G85" s="106" t="s">
        <v>21</v>
      </c>
      <c r="H85" s="106" t="s">
        <v>538</v>
      </c>
      <c r="I85" s="106" t="s">
        <v>1620</v>
      </c>
      <c r="J85" s="106" t="s">
        <v>609</v>
      </c>
      <c r="K85" s="146">
        <v>46041</v>
      </c>
      <c r="L85" s="106" t="s">
        <v>3274</v>
      </c>
      <c r="M85" s="106" t="str">
        <f t="shared" si="4"/>
        <v>03/06/1983</v>
      </c>
      <c r="N85" s="106">
        <f t="shared" ca="1" si="5"/>
        <v>43</v>
      </c>
      <c r="O85" s="106"/>
      <c r="P85" s="106"/>
      <c r="Q85" s="106"/>
      <c r="R85" s="106"/>
      <c r="S85" s="106"/>
      <c r="T85" s="106"/>
      <c r="U85" s="106"/>
      <c r="V85" s="106"/>
      <c r="W85" s="106"/>
    </row>
  </sheetData>
  <autoFilter ref="A2:U85" xr:uid="{00000000-0001-0000-0300-000000000000}">
    <filterColumn colId="2">
      <filters>
        <filter val="M"/>
      </filters>
    </filterColumn>
    <sortState xmlns:xlrd2="http://schemas.microsoft.com/office/spreadsheetml/2017/richdata2" ref="A3:U85">
      <sortCondition ref="B2:B85"/>
    </sortState>
  </autoFilter>
  <phoneticPr fontId="19" type="noConversion"/>
  <dataValidations count="1">
    <dataValidation type="date" allowBlank="1" showInputMessage="1" showErrorMessage="1" error="Enter correct date format" promptTitle="Date" prompt="Enter date as (dd/mm/yyyy)" sqref="U20:U25 U53:U58 U74 U77:U78 U80:U83 U16 U31 U33 U35 U66 U64 U70" xr:uid="{34A33B31-8B57-470B-AB51-C76A12ECC9CE}">
      <formula1>45292</formula1>
      <formula2>47848</formula2>
    </dataValidation>
  </dataValidations>
  <hyperlinks>
    <hyperlink ref="F3" r:id="rId1" xr:uid="{752F6A73-65C5-4809-9462-21AB9064BF12}"/>
    <hyperlink ref="F6" r:id="rId2" xr:uid="{52DE09D9-8AD3-4971-9D61-5E56866A7C0B}"/>
    <hyperlink ref="F5" r:id="rId3" xr:uid="{2E943FBA-C3C0-430B-BAF7-BCEBF99704DD}"/>
    <hyperlink ref="F7" r:id="rId4" xr:uid="{46267026-4F6C-48BE-B2EA-488E0DE84BE9}"/>
    <hyperlink ref="F14" r:id="rId5" xr:uid="{687272E2-D769-4988-AF1A-CF000AD1A737}"/>
    <hyperlink ref="F15" r:id="rId6" xr:uid="{9CFA6379-D2BC-4ED8-B083-7E0CCF3D2D4B}"/>
    <hyperlink ref="F17" r:id="rId7" xr:uid="{01F9F039-3AD1-4C74-A4C5-EF8ADF8FE6CB}"/>
    <hyperlink ref="F18" r:id="rId8" xr:uid="{A58DEAF9-2720-40F1-8593-0A49CDEA7FB4}"/>
    <hyperlink ref="F20" r:id="rId9" xr:uid="{52008B3C-7646-47EA-94A8-EC3875D1D9CB}"/>
    <hyperlink ref="F24" r:id="rId10" xr:uid="{CDCD5039-FA65-4988-B737-47C31EC58921}"/>
    <hyperlink ref="F26" r:id="rId11" xr:uid="{774776C4-7213-482D-92EA-EFF397AC90CF}"/>
    <hyperlink ref="F25" r:id="rId12" xr:uid="{155AC9A0-1779-4B1E-AB15-ACB092589263}"/>
    <hyperlink ref="F27" r:id="rId13" xr:uid="{EC91CD8E-5DBC-4749-A6A4-7CA11A31382B}"/>
    <hyperlink ref="F36" r:id="rId14" xr:uid="{7740187C-28A3-4F48-B6C3-3DDBD9B0D2CF}"/>
    <hyperlink ref="F30" r:id="rId15" xr:uid="{68134ED4-7B9F-4AA3-BD76-10B1EE78F642}"/>
    <hyperlink ref="F34" r:id="rId16" xr:uid="{657E64AC-A462-4AD2-8017-47BB09CE4CDF}"/>
    <hyperlink ref="F35" r:id="rId17" xr:uid="{6F770FAA-2E69-4D08-955F-13167D612DC3}"/>
    <hyperlink ref="F43" r:id="rId18" xr:uid="{25E8237F-9708-4263-9D61-06EA8B970865}"/>
    <hyperlink ref="F46" r:id="rId19" xr:uid="{8CB62A84-1580-413B-BF64-A85BD40023F1}"/>
    <hyperlink ref="F44" r:id="rId20" xr:uid="{E72F5BB5-DFEA-49D0-850A-9696BABFC7A7}"/>
    <hyperlink ref="F48" r:id="rId21" xr:uid="{717E26BA-6896-4EDC-9100-048D7EBCFC52}"/>
    <hyperlink ref="F49" r:id="rId22" xr:uid="{EA543C86-E566-428A-A035-C33833BACEB5}"/>
    <hyperlink ref="F50" r:id="rId23" xr:uid="{C2D8D94C-EF68-4B6C-9715-D91CE6264E77}"/>
    <hyperlink ref="F51" r:id="rId24" xr:uid="{AF6DB1A6-EA5E-4361-98CB-4E5D650B6597}"/>
    <hyperlink ref="F52" r:id="rId25" xr:uid="{30F1AE70-80B8-4320-BF2D-5BCFF43C2E5F}"/>
    <hyperlink ref="F53" r:id="rId26" xr:uid="{BD096F8F-8468-414F-B3DB-6F2AC18129DC}"/>
    <hyperlink ref="F55" r:id="rId27" xr:uid="{9F11D648-71FF-41AE-B5E6-4068B4F9F9F2}"/>
    <hyperlink ref="F56" r:id="rId28" xr:uid="{BDBD2B95-C451-4BAC-98BC-8C4C9BA46873}"/>
    <hyperlink ref="F59" r:id="rId29" xr:uid="{3B1DD5A1-2582-4237-9AAE-3D5DB4912841}"/>
    <hyperlink ref="F58" r:id="rId30" xr:uid="{D0D9F9E7-041F-4412-8758-BA1BE17F79E1}"/>
    <hyperlink ref="F60" r:id="rId31" xr:uid="{20F0C562-1FEB-4C6E-A318-7B732464BE35}"/>
    <hyperlink ref="F61" r:id="rId32" xr:uid="{9C05E7BA-8D5E-40DA-A4E7-74F81E0C516F}"/>
    <hyperlink ref="F63" r:id="rId33" xr:uid="{D684FB7F-DF70-4842-93E4-2DAF255C9896}"/>
    <hyperlink ref="F66" r:id="rId34" xr:uid="{86BCF6BF-1509-42E4-9D03-7F5B71C4146A}"/>
    <hyperlink ref="F70" r:id="rId35" xr:uid="{2498681E-AEC1-4D57-A094-8DCA0806A316}"/>
    <hyperlink ref="F74" r:id="rId36" xr:uid="{311AC58B-FAFD-436F-B5ED-7F25103D0F57}"/>
    <hyperlink ref="F75" r:id="rId37" xr:uid="{F4410910-E2EE-46D6-BBEF-F4C93B7A0456}"/>
    <hyperlink ref="F78" r:id="rId38" xr:uid="{654B5F7C-BD4C-4311-B7A9-3756504563CD}"/>
    <hyperlink ref="F79" r:id="rId39" xr:uid="{EA0D50D1-376B-4426-8ACE-3F1769ECF6FB}"/>
    <hyperlink ref="F82" r:id="rId40" xr:uid="{DF5C5CBB-C825-417F-BA7B-172332F9E40F}"/>
    <hyperlink ref="F84" r:id="rId41" xr:uid="{B19D6B46-EA42-4137-9C3A-236CCA1C9608}"/>
    <hyperlink ref="F83" r:id="rId42" xr:uid="{16782EEB-C9F6-4904-B1FC-164C638C1195}"/>
    <hyperlink ref="F9" r:id="rId43" xr:uid="{A6CEF707-A43C-4C87-A442-F4ADB4427CE4}"/>
    <hyperlink ref="F8" r:id="rId44" xr:uid="{C675A41D-3CF8-4242-A7D2-63A5B0B17F24}"/>
    <hyperlink ref="F10" r:id="rId45" xr:uid="{F5C71339-4FA9-48FC-90A0-6B521675C5AC}"/>
    <hyperlink ref="F12" r:id="rId46" xr:uid="{94D98EE4-C5C9-49FE-A73F-81C187F79B02}"/>
    <hyperlink ref="F11" r:id="rId47" xr:uid="{14BD04DB-C1EB-4DBF-B263-25FEE01FF249}"/>
    <hyperlink ref="F16" r:id="rId48" xr:uid="{2A2BDD9B-5197-4138-8D19-7EBE399A3DE9}"/>
    <hyperlink ref="F19" r:id="rId49" xr:uid="{39857229-9F8E-455E-A0D3-BE5A24A1750E}"/>
    <hyperlink ref="F21" r:id="rId50" xr:uid="{A2528E69-8644-436A-8E00-2B5646BDD76A}"/>
    <hyperlink ref="F22" r:id="rId51" xr:uid="{67057C71-9348-4FDF-AB20-FCCDCD7E8EE3}"/>
    <hyperlink ref="F32" r:id="rId52" xr:uid="{B5FC4AFA-EF5D-499D-8168-33B4FE651B10}"/>
    <hyperlink ref="F33" r:id="rId53" xr:uid="{B84AEDD4-7A7C-4357-8D1C-5D27C61FB8DB}"/>
    <hyperlink ref="F37" r:id="rId54" xr:uid="{ABABF008-1022-4CD6-BE1C-F5A645A0D614}"/>
    <hyperlink ref="F38" r:id="rId55" xr:uid="{B27B65E2-556E-4254-A834-3815822E2B73}"/>
    <hyperlink ref="F39" r:id="rId56" xr:uid="{89E2B248-209D-4E54-ACAC-30C41C5E7136}"/>
    <hyperlink ref="F40" r:id="rId57" xr:uid="{3C0A45A5-F4FE-4C1C-AB41-7CF2EE63B17E}"/>
    <hyperlink ref="F41" r:id="rId58" xr:uid="{0BACE4D8-55E7-4C4F-BD49-E2DE8B2EEC33}"/>
    <hyperlink ref="F42" r:id="rId59" xr:uid="{9EF136D7-C738-4C85-A8EF-4620A05AA39B}"/>
    <hyperlink ref="F45" r:id="rId60" xr:uid="{07D734E8-0F45-41C7-9BAE-ED29B6845414}"/>
    <hyperlink ref="F54" r:id="rId61" xr:uid="{0D0CF482-B258-4B7F-BC50-64F182065930}"/>
    <hyperlink ref="F47" r:id="rId62" xr:uid="{CA003961-6334-4096-A3A9-EF6AF50E0AA5}"/>
    <hyperlink ref="F57" r:id="rId63" xr:uid="{B5203E69-6C64-4ED6-A6C7-670274070436}"/>
    <hyperlink ref="F64" r:id="rId64" xr:uid="{DA0E06FD-50D2-4475-B2E3-5FBA6F4CB3C3}"/>
    <hyperlink ref="F67" r:id="rId65" xr:uid="{0D1F942D-A4DC-4286-A445-B78C3F969B1F}"/>
    <hyperlink ref="F68" r:id="rId66" xr:uid="{4D89D490-3490-4088-8ABD-F9BDCF865B80}"/>
    <hyperlink ref="F69" r:id="rId67" xr:uid="{494E87B9-947D-40AE-9F5F-AC135C49A737}"/>
    <hyperlink ref="F71" r:id="rId68" xr:uid="{CD11828E-E822-46F8-8790-77EEB01D5C31}"/>
    <hyperlink ref="F73" r:id="rId69" xr:uid="{7F427682-CB3F-4C9C-B3B2-560331BBA1E7}"/>
    <hyperlink ref="F76" r:id="rId70" xr:uid="{1409EC49-98D7-4E05-A045-9C5CCDA5CD0F}"/>
    <hyperlink ref="F77" r:id="rId71" xr:uid="{10B73463-9B5E-4729-8012-D966A80C5867}"/>
    <hyperlink ref="F81" r:id="rId72" xr:uid="{8171CDB0-2C1E-47F2-B061-F8313FB5A259}"/>
    <hyperlink ref="F31" r:id="rId73" xr:uid="{1032E574-2542-4C3C-8BDC-1F61549760C9}"/>
    <hyperlink ref="F28" r:id="rId74" xr:uid="{BF4F278D-8974-4FAB-9104-577BBAD03AA5}"/>
    <hyperlink ref="F29" r:id="rId75" xr:uid="{7A094674-2436-4CB6-A0C4-981AD1DED2D4}"/>
    <hyperlink ref="F72" r:id="rId76" xr:uid="{92339573-5248-498D-9987-A4E180954924}"/>
    <hyperlink ref="F4" r:id="rId77" xr:uid="{A59AF710-00AD-4DB6-B4A4-B82778460191}"/>
    <hyperlink ref="F85" r:id="rId78" xr:uid="{F1681232-EBAD-4F83-AAD2-30BE9EE8344E}"/>
  </hyperlinks>
  <pageMargins left="0.2" right="0.2" top="0.45" bottom="0.63" header="0.24" footer="0.3"/>
  <pageSetup scale="22" fitToHeight="0" orientation="landscape" r:id="rId79"/>
  <legacyDrawing r:id="rId80"/>
  <extLst>
    <ext xmlns:x14="http://schemas.microsoft.com/office/spreadsheetml/2009/9/main" uri="{CCE6A557-97BC-4b89-ADB6-D9C93CAAB3DF}">
      <x14:dataValidations xmlns:xm="http://schemas.microsoft.com/office/excel/2006/main" count="1">
        <x14:dataValidation type="list" allowBlank="1" showInputMessage="1" showErrorMessage="1" xr:uid="{24334745-0375-42F3-913F-AB3DBE4420D6}">
          <x14:formula1>
            <xm:f>Sheet2!$A$2:$A$8</xm:f>
          </x14:formula1>
          <xm:sqref>W76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52"/>
  <sheetViews>
    <sheetView topLeftCell="A3" zoomScaleNormal="100" workbookViewId="0">
      <selection activeCell="D16" sqref="D16"/>
    </sheetView>
  </sheetViews>
  <sheetFormatPr defaultColWidth="9.1796875" defaultRowHeight="20.149999999999999" customHeight="1"/>
  <cols>
    <col min="1" max="1" width="4.453125" style="55" customWidth="1"/>
    <col min="2" max="2" width="26.54296875" style="116" bestFit="1" customWidth="1"/>
    <col min="3" max="3" width="9.08984375" style="116" bestFit="1" customWidth="1"/>
    <col min="4" max="4" width="14.453125" style="116" bestFit="1" customWidth="1"/>
    <col min="5" max="5" width="9.54296875" style="116" bestFit="1" customWidth="1"/>
    <col min="6" max="6" width="29.54296875" style="116" bestFit="1" customWidth="1"/>
    <col min="7" max="7" width="33.7265625" style="116" bestFit="1" customWidth="1"/>
    <col min="8" max="8" width="16.26953125" style="116" customWidth="1"/>
    <col min="9" max="9" width="14.90625" style="116" bestFit="1" customWidth="1"/>
    <col min="10" max="10" width="36.36328125" style="49" customWidth="1"/>
    <col min="11" max="11" width="15.81640625" style="49" customWidth="1"/>
    <col min="12" max="12" width="14.36328125" style="49" bestFit="1" customWidth="1"/>
    <col min="13" max="13" width="14.36328125" style="49" customWidth="1"/>
    <col min="14" max="14" width="12.81640625" style="49" customWidth="1"/>
    <col min="15" max="15" width="17.26953125" style="49" customWidth="1"/>
    <col min="16" max="16" width="41.7265625" style="49" customWidth="1"/>
    <col min="17" max="17" width="35.1796875" style="49" customWidth="1"/>
    <col min="18" max="18" width="36.1796875" style="49" bestFit="1" customWidth="1"/>
    <col min="19" max="19" width="16.36328125" style="49" bestFit="1" customWidth="1"/>
    <col min="20" max="20" width="23" style="49" bestFit="1" customWidth="1"/>
    <col min="21" max="21" width="21.453125" style="126" customWidth="1"/>
    <col min="22" max="16384" width="9.1796875" style="54"/>
  </cols>
  <sheetData>
    <row r="1" spans="1:21" ht="23.5" customHeight="1">
      <c r="A1" s="55" t="s">
        <v>2</v>
      </c>
      <c r="B1" s="131" t="s">
        <v>4</v>
      </c>
      <c r="C1" s="131" t="s">
        <v>1625</v>
      </c>
      <c r="D1" s="131" t="s">
        <v>1983</v>
      </c>
      <c r="E1" s="131" t="s">
        <v>1909</v>
      </c>
      <c r="F1" s="131" t="s">
        <v>2741</v>
      </c>
      <c r="G1" s="131" t="s">
        <v>5</v>
      </c>
      <c r="H1" s="131" t="s">
        <v>6</v>
      </c>
      <c r="I1" s="131" t="s">
        <v>1593</v>
      </c>
      <c r="J1" s="132" t="s">
        <v>7</v>
      </c>
      <c r="K1" s="132" t="s">
        <v>990</v>
      </c>
      <c r="L1" s="132" t="s">
        <v>1550</v>
      </c>
      <c r="M1" s="133" t="s">
        <v>1552</v>
      </c>
      <c r="N1" s="133" t="s">
        <v>1549</v>
      </c>
      <c r="O1" s="132" t="s">
        <v>987</v>
      </c>
      <c r="P1" s="132" t="s">
        <v>982</v>
      </c>
      <c r="Q1" s="132" t="s">
        <v>984</v>
      </c>
      <c r="R1" s="132" t="s">
        <v>1379</v>
      </c>
      <c r="S1" s="134" t="s">
        <v>1984</v>
      </c>
      <c r="T1" s="134" t="s">
        <v>2113</v>
      </c>
      <c r="U1" s="135" t="s">
        <v>1986</v>
      </c>
    </row>
    <row r="2" spans="1:21" s="61" customFormat="1" ht="16.5">
      <c r="A2" s="64" t="s">
        <v>10</v>
      </c>
      <c r="B2" s="93" t="s">
        <v>804</v>
      </c>
      <c r="C2" s="93" t="s">
        <v>1626</v>
      </c>
      <c r="D2" s="129" t="s">
        <v>806</v>
      </c>
      <c r="E2" s="125">
        <v>22371616</v>
      </c>
      <c r="F2" s="187" t="s">
        <v>2742</v>
      </c>
      <c r="G2" s="93" t="s">
        <v>124</v>
      </c>
      <c r="H2" s="93" t="s">
        <v>800</v>
      </c>
      <c r="I2" s="93" t="s">
        <v>1613</v>
      </c>
      <c r="J2" s="93" t="s">
        <v>805</v>
      </c>
      <c r="K2" s="62" t="s">
        <v>1005</v>
      </c>
      <c r="L2" s="62" t="s">
        <v>1364</v>
      </c>
      <c r="M2" s="104" t="str">
        <f>IF(L2="","",TEXT(DATEVALUE(SUBSTITUTE(SUBSTITUTE(SUBSTITUTE(SUBSTITUTE(SUBSTITUTE(L2,"st",""),"nd",""),"rd",""),"th",""),"TH","")),"dd/mm/yyyy"))</f>
        <v>12/11/1977</v>
      </c>
      <c r="N2" s="50">
        <f ca="1">IF(M2="","",DATEDIF(M2,TODAY(),"Y"))</f>
        <v>48</v>
      </c>
      <c r="O2" s="62" t="s">
        <v>988</v>
      </c>
      <c r="P2" s="62" t="s">
        <v>2222</v>
      </c>
      <c r="Q2" s="62" t="s">
        <v>2223</v>
      </c>
      <c r="R2" s="62"/>
      <c r="S2" s="81" t="s">
        <v>2022</v>
      </c>
      <c r="T2" s="83" t="s">
        <v>2476</v>
      </c>
      <c r="U2" s="84">
        <v>46356</v>
      </c>
    </row>
    <row r="3" spans="1:21" s="61" customFormat="1" ht="16">
      <c r="A3" s="64" t="s">
        <v>77</v>
      </c>
      <c r="B3" s="96" t="s">
        <v>866</v>
      </c>
      <c r="C3" s="93" t="s">
        <v>1626</v>
      </c>
      <c r="D3" s="129" t="s">
        <v>868</v>
      </c>
      <c r="E3" s="125">
        <v>29098742</v>
      </c>
      <c r="F3" s="186" t="s">
        <v>2743</v>
      </c>
      <c r="G3" s="93" t="s">
        <v>21</v>
      </c>
      <c r="H3" s="93" t="s">
        <v>800</v>
      </c>
      <c r="I3" s="93" t="s">
        <v>1613</v>
      </c>
      <c r="J3" s="93" t="s">
        <v>867</v>
      </c>
      <c r="K3" s="62" t="s">
        <v>1005</v>
      </c>
      <c r="L3" s="62" t="s">
        <v>1366</v>
      </c>
      <c r="M3" s="104" t="str">
        <f t="shared" ref="M3:M36" si="0">IF(L3="","",TEXT(DATEVALUE(SUBSTITUTE(SUBSTITUTE(SUBSTITUTE(SUBSTITUTE(SUBSTITUTE(L3,"st",""),"nd",""),"rd",""),"th",""),"TH","")),"dd/mm/yyyy"))</f>
        <v>12/12/1991</v>
      </c>
      <c r="N3" s="50">
        <f t="shared" ref="N3:N36" ca="1" si="1">IF(M3="","",DATEDIF(M3,TODAY(),"Y"))</f>
        <v>34</v>
      </c>
      <c r="O3" s="62" t="s">
        <v>1188</v>
      </c>
      <c r="P3" s="62" t="s">
        <v>2745</v>
      </c>
      <c r="Q3" s="62" t="s">
        <v>1284</v>
      </c>
      <c r="R3" s="62" t="s">
        <v>1365</v>
      </c>
      <c r="S3" s="82"/>
      <c r="T3" s="90"/>
      <c r="U3" s="84"/>
    </row>
    <row r="4" spans="1:21" s="61" customFormat="1" ht="16">
      <c r="A4" s="64" t="s">
        <v>46</v>
      </c>
      <c r="B4" s="96" t="s">
        <v>831</v>
      </c>
      <c r="C4" s="93" t="s">
        <v>1626</v>
      </c>
      <c r="D4" s="129" t="s">
        <v>833</v>
      </c>
      <c r="E4" s="125">
        <v>30303410</v>
      </c>
      <c r="F4" s="186" t="s">
        <v>2744</v>
      </c>
      <c r="G4" s="93" t="s">
        <v>21</v>
      </c>
      <c r="H4" s="93" t="s">
        <v>800</v>
      </c>
      <c r="I4" s="93" t="s">
        <v>1617</v>
      </c>
      <c r="J4" s="93" t="s">
        <v>832</v>
      </c>
      <c r="K4" s="62" t="s">
        <v>1005</v>
      </c>
      <c r="L4" s="62" t="s">
        <v>1367</v>
      </c>
      <c r="M4" s="104" t="str">
        <f t="shared" si="0"/>
        <v>15/07/1993</v>
      </c>
      <c r="N4" s="50">
        <f t="shared" ca="1" si="1"/>
        <v>33</v>
      </c>
      <c r="O4" s="62" t="s">
        <v>1188</v>
      </c>
      <c r="P4" s="62" t="s">
        <v>2745</v>
      </c>
      <c r="Q4" s="62" t="s">
        <v>989</v>
      </c>
      <c r="R4" s="62" t="s">
        <v>1365</v>
      </c>
      <c r="S4" s="190" t="s">
        <v>2038</v>
      </c>
      <c r="T4" s="113" t="s">
        <v>2215</v>
      </c>
      <c r="U4" s="191">
        <v>46326</v>
      </c>
    </row>
    <row r="5" spans="1:21" s="61" customFormat="1" ht="16">
      <c r="A5" s="64" t="s">
        <v>120</v>
      </c>
      <c r="B5" s="93" t="s">
        <v>910</v>
      </c>
      <c r="C5" s="93" t="s">
        <v>1626</v>
      </c>
      <c r="D5" s="129" t="s">
        <v>2207</v>
      </c>
      <c r="E5" s="129">
        <v>32598273</v>
      </c>
      <c r="F5" s="192" t="s">
        <v>2746</v>
      </c>
      <c r="G5" s="93" t="s">
        <v>124</v>
      </c>
      <c r="H5" s="93" t="s">
        <v>800</v>
      </c>
      <c r="I5" s="93" t="s">
        <v>1614</v>
      </c>
      <c r="J5" s="93" t="s">
        <v>932</v>
      </c>
      <c r="K5" s="62" t="s">
        <v>1368</v>
      </c>
      <c r="L5" s="62" t="s">
        <v>1369</v>
      </c>
      <c r="M5" s="104" t="str">
        <f t="shared" si="0"/>
        <v>02/10/1995</v>
      </c>
      <c r="N5" s="50">
        <f t="shared" ca="1" si="1"/>
        <v>30</v>
      </c>
      <c r="O5" s="62" t="s">
        <v>988</v>
      </c>
      <c r="P5" s="62" t="s">
        <v>996</v>
      </c>
      <c r="Q5" s="62" t="s">
        <v>1013</v>
      </c>
      <c r="R5" s="62"/>
      <c r="S5" s="83" t="s">
        <v>2022</v>
      </c>
      <c r="T5" s="81" t="s">
        <v>2212</v>
      </c>
      <c r="U5" s="84">
        <v>46356</v>
      </c>
    </row>
    <row r="6" spans="1:21" ht="15">
      <c r="A6" s="184" t="s">
        <v>60</v>
      </c>
      <c r="B6" s="185" t="s">
        <v>1372</v>
      </c>
      <c r="C6" s="185" t="s">
        <v>1627</v>
      </c>
      <c r="D6" s="185"/>
      <c r="E6" s="185"/>
      <c r="F6" s="185"/>
      <c r="G6" s="185" t="s">
        <v>21</v>
      </c>
      <c r="H6" s="185" t="s">
        <v>800</v>
      </c>
      <c r="I6" s="185" t="s">
        <v>1617</v>
      </c>
      <c r="J6" s="127" t="s">
        <v>847</v>
      </c>
      <c r="K6" s="127" t="s">
        <v>1005</v>
      </c>
      <c r="L6" s="127" t="s">
        <v>1370</v>
      </c>
      <c r="M6" s="54" t="str">
        <f t="shared" si="0"/>
        <v>10/09/1998</v>
      </c>
      <c r="N6" s="127">
        <f t="shared" ca="1" si="1"/>
        <v>27</v>
      </c>
      <c r="O6" s="127" t="s">
        <v>988</v>
      </c>
      <c r="P6" s="127" t="s">
        <v>1239</v>
      </c>
      <c r="Q6" s="127" t="s">
        <v>1371</v>
      </c>
      <c r="R6" s="127"/>
      <c r="S6" s="127"/>
      <c r="T6" s="73"/>
      <c r="U6" s="54"/>
    </row>
    <row r="7" spans="1:21" s="61" customFormat="1" ht="16">
      <c r="A7" s="64" t="s">
        <v>136</v>
      </c>
      <c r="B7" s="93" t="s">
        <v>940</v>
      </c>
      <c r="C7" s="93" t="s">
        <v>1627</v>
      </c>
      <c r="D7" s="123" t="s">
        <v>2474</v>
      </c>
      <c r="E7" s="117" t="s">
        <v>2062</v>
      </c>
      <c r="F7" s="140" t="s">
        <v>2747</v>
      </c>
      <c r="G7" s="93" t="s">
        <v>935</v>
      </c>
      <c r="H7" s="93" t="s">
        <v>800</v>
      </c>
      <c r="I7" s="93" t="s">
        <v>1614</v>
      </c>
      <c r="J7" s="93" t="s">
        <v>903</v>
      </c>
      <c r="K7" s="62" t="s">
        <v>1374</v>
      </c>
      <c r="L7" s="62" t="s">
        <v>2748</v>
      </c>
      <c r="M7" s="104" t="str">
        <f t="shared" si="0"/>
        <v>27/07/1994</v>
      </c>
      <c r="N7" s="50">
        <f t="shared" ca="1" si="1"/>
        <v>32</v>
      </c>
      <c r="O7" s="50" t="s">
        <v>988</v>
      </c>
      <c r="P7" s="62" t="s">
        <v>2222</v>
      </c>
      <c r="Q7" s="50" t="s">
        <v>1013</v>
      </c>
      <c r="R7" s="62"/>
      <c r="S7" s="83" t="s">
        <v>2022</v>
      </c>
      <c r="T7" s="81" t="s">
        <v>2211</v>
      </c>
      <c r="U7" s="84">
        <v>46295</v>
      </c>
    </row>
    <row r="8" spans="1:21" ht="16">
      <c r="A8" s="184" t="s">
        <v>111</v>
      </c>
      <c r="B8" s="185" t="s">
        <v>900</v>
      </c>
      <c r="C8" s="185" t="s">
        <v>1626</v>
      </c>
      <c r="D8" s="195" t="s">
        <v>2790</v>
      </c>
      <c r="E8" s="185">
        <v>35536790</v>
      </c>
      <c r="F8" s="143" t="s">
        <v>2791</v>
      </c>
      <c r="G8" s="185" t="s">
        <v>21</v>
      </c>
      <c r="H8" s="185" t="s">
        <v>800</v>
      </c>
      <c r="I8" s="185" t="s">
        <v>1614</v>
      </c>
      <c r="J8" s="127" t="s">
        <v>932</v>
      </c>
      <c r="K8" s="127" t="s">
        <v>1060</v>
      </c>
      <c r="L8" s="127" t="s">
        <v>1373</v>
      </c>
      <c r="M8" s="54" t="str">
        <f t="shared" si="0"/>
        <v>11/09/1997</v>
      </c>
      <c r="N8" s="127">
        <f t="shared" ca="1" si="1"/>
        <v>28</v>
      </c>
      <c r="O8" s="127" t="s">
        <v>1188</v>
      </c>
      <c r="P8" s="127" t="s">
        <v>1184</v>
      </c>
      <c r="Q8" s="127" t="s">
        <v>1197</v>
      </c>
      <c r="R8" s="127"/>
      <c r="S8" s="127"/>
      <c r="T8" s="73"/>
      <c r="U8" s="54"/>
    </row>
    <row r="9" spans="1:21" s="61" customFormat="1" ht="16">
      <c r="A9" s="64" t="s">
        <v>81</v>
      </c>
      <c r="B9" s="96" t="s">
        <v>1376</v>
      </c>
      <c r="C9" s="93" t="s">
        <v>1626</v>
      </c>
      <c r="D9" s="129" t="s">
        <v>872</v>
      </c>
      <c r="E9" s="125">
        <v>33213735</v>
      </c>
      <c r="F9" s="186" t="s">
        <v>2749</v>
      </c>
      <c r="G9" s="93" t="s">
        <v>21</v>
      </c>
      <c r="H9" s="93" t="s">
        <v>800</v>
      </c>
      <c r="I9" s="93" t="s">
        <v>1617</v>
      </c>
      <c r="J9" s="93" t="s">
        <v>871</v>
      </c>
      <c r="K9" s="62" t="s">
        <v>1005</v>
      </c>
      <c r="L9" s="62" t="s">
        <v>1375</v>
      </c>
      <c r="M9" s="104" t="str">
        <f t="shared" si="0"/>
        <v>12/11/1995</v>
      </c>
      <c r="N9" s="50">
        <f t="shared" ca="1" si="1"/>
        <v>30</v>
      </c>
      <c r="O9" s="62" t="s">
        <v>988</v>
      </c>
      <c r="P9" s="62" t="s">
        <v>2220</v>
      </c>
      <c r="Q9" s="62" t="s">
        <v>2221</v>
      </c>
      <c r="R9" s="62" t="s">
        <v>1040</v>
      </c>
      <c r="S9" s="83"/>
      <c r="T9" s="81"/>
      <c r="U9" s="84"/>
    </row>
    <row r="10" spans="1:21" s="61" customFormat="1" ht="16">
      <c r="A10" s="64" t="s">
        <v>107</v>
      </c>
      <c r="B10" s="93" t="s">
        <v>897</v>
      </c>
      <c r="C10" s="93" t="s">
        <v>1626</v>
      </c>
      <c r="D10" s="129" t="s">
        <v>898</v>
      </c>
      <c r="E10" s="129">
        <v>29099933</v>
      </c>
      <c r="F10" s="192" t="s">
        <v>2750</v>
      </c>
      <c r="G10" s="93" t="s">
        <v>12</v>
      </c>
      <c r="H10" s="93" t="s">
        <v>800</v>
      </c>
      <c r="I10" s="93" t="s">
        <v>1617</v>
      </c>
      <c r="J10" s="93" t="s">
        <v>859</v>
      </c>
      <c r="K10" s="62" t="s">
        <v>1005</v>
      </c>
      <c r="L10" s="62" t="s">
        <v>1377</v>
      </c>
      <c r="M10" s="104" t="str">
        <f t="shared" si="0"/>
        <v>14/05/1990</v>
      </c>
      <c r="N10" s="50">
        <f t="shared" ca="1" si="1"/>
        <v>36</v>
      </c>
      <c r="O10" s="62" t="s">
        <v>988</v>
      </c>
      <c r="P10" s="50" t="s">
        <v>2751</v>
      </c>
      <c r="Q10" s="50" t="s">
        <v>1284</v>
      </c>
      <c r="R10" s="50" t="s">
        <v>1365</v>
      </c>
      <c r="S10" s="62" t="s">
        <v>2003</v>
      </c>
      <c r="T10" s="62" t="s">
        <v>2217</v>
      </c>
      <c r="U10" s="193">
        <v>46022</v>
      </c>
    </row>
    <row r="11" spans="1:21" ht="16">
      <c r="A11" s="184" t="s">
        <v>104</v>
      </c>
      <c r="B11" s="185" t="s">
        <v>893</v>
      </c>
      <c r="C11" s="185" t="s">
        <v>1627</v>
      </c>
      <c r="D11" s="195" t="s">
        <v>895</v>
      </c>
      <c r="E11" s="185">
        <v>9096761</v>
      </c>
      <c r="F11" s="143" t="s">
        <v>2792</v>
      </c>
      <c r="G11" s="185" t="s">
        <v>21</v>
      </c>
      <c r="H11" s="185" t="s">
        <v>800</v>
      </c>
      <c r="I11" s="185" t="s">
        <v>1617</v>
      </c>
      <c r="J11" s="127" t="s">
        <v>859</v>
      </c>
      <c r="K11" s="127" t="s">
        <v>1005</v>
      </c>
      <c r="L11" s="127" t="s">
        <v>1380</v>
      </c>
      <c r="M11" s="54" t="str">
        <f t="shared" si="0"/>
        <v>15/06/1968</v>
      </c>
      <c r="N11" s="127">
        <f t="shared" ca="1" si="1"/>
        <v>58</v>
      </c>
      <c r="O11" s="127" t="s">
        <v>988</v>
      </c>
      <c r="P11" s="127" t="s">
        <v>1381</v>
      </c>
      <c r="Q11" s="127" t="s">
        <v>1382</v>
      </c>
      <c r="R11" s="127"/>
      <c r="S11" s="127"/>
      <c r="T11" s="73"/>
      <c r="U11" s="54"/>
    </row>
    <row r="12" spans="1:21" s="61" customFormat="1" ht="16">
      <c r="A12" s="64" t="s">
        <v>129</v>
      </c>
      <c r="B12" s="93" t="s">
        <v>938</v>
      </c>
      <c r="C12" s="93" t="s">
        <v>1627</v>
      </c>
      <c r="D12" s="129" t="s">
        <v>2208</v>
      </c>
      <c r="E12" s="129">
        <v>27155930</v>
      </c>
      <c r="F12" s="192" t="s">
        <v>2752</v>
      </c>
      <c r="G12" s="93" t="s">
        <v>935</v>
      </c>
      <c r="H12" s="93" t="s">
        <v>800</v>
      </c>
      <c r="I12" s="93" t="s">
        <v>1617</v>
      </c>
      <c r="J12" s="93" t="s">
        <v>937</v>
      </c>
      <c r="K12" s="62" t="s">
        <v>1383</v>
      </c>
      <c r="L12" s="62" t="s">
        <v>1384</v>
      </c>
      <c r="M12" s="104" t="str">
        <f t="shared" si="0"/>
        <v>07/02/1989</v>
      </c>
      <c r="N12" s="50">
        <f t="shared" ca="1" si="1"/>
        <v>37</v>
      </c>
      <c r="O12" s="62" t="s">
        <v>988</v>
      </c>
      <c r="P12" s="62" t="s">
        <v>2222</v>
      </c>
      <c r="Q12" s="50" t="s">
        <v>1331</v>
      </c>
      <c r="R12" s="62" t="s">
        <v>2753</v>
      </c>
      <c r="S12" s="62" t="s">
        <v>2022</v>
      </c>
      <c r="T12" s="62" t="s">
        <v>2754</v>
      </c>
      <c r="U12" s="193">
        <v>46142</v>
      </c>
    </row>
    <row r="13" spans="1:21" ht="16">
      <c r="A13" s="184" t="s">
        <v>54</v>
      </c>
      <c r="B13" s="185" t="s">
        <v>839</v>
      </c>
      <c r="C13" s="185" t="s">
        <v>1626</v>
      </c>
      <c r="D13" s="195" t="s">
        <v>841</v>
      </c>
      <c r="E13" s="185">
        <v>29916319</v>
      </c>
      <c r="F13" s="143" t="s">
        <v>2789</v>
      </c>
      <c r="G13" s="185" t="s">
        <v>21</v>
      </c>
      <c r="H13" s="185" t="s">
        <v>800</v>
      </c>
      <c r="I13" s="185" t="s">
        <v>1615</v>
      </c>
      <c r="J13" s="127" t="s">
        <v>840</v>
      </c>
      <c r="K13" s="127" t="s">
        <v>1005</v>
      </c>
      <c r="L13" s="127" t="s">
        <v>1385</v>
      </c>
      <c r="M13" s="54" t="str">
        <f t="shared" si="0"/>
        <v>21/08/1993</v>
      </c>
      <c r="N13" s="127">
        <f t="shared" ca="1" si="1"/>
        <v>32</v>
      </c>
      <c r="O13" s="127" t="s">
        <v>988</v>
      </c>
      <c r="P13" s="127" t="s">
        <v>2763</v>
      </c>
      <c r="Q13" s="127" t="s">
        <v>1197</v>
      </c>
      <c r="R13" s="50" t="s">
        <v>1365</v>
      </c>
      <c r="S13" s="127"/>
      <c r="T13" s="73"/>
      <c r="U13" s="54"/>
    </row>
    <row r="14" spans="1:21" s="61" customFormat="1" ht="16">
      <c r="A14" s="64" t="s">
        <v>101</v>
      </c>
      <c r="B14" s="93" t="s">
        <v>1491</v>
      </c>
      <c r="C14" s="93" t="s">
        <v>1626</v>
      </c>
      <c r="D14" s="129" t="s">
        <v>891</v>
      </c>
      <c r="E14" s="125">
        <v>31233470</v>
      </c>
      <c r="F14" s="186" t="s">
        <v>2755</v>
      </c>
      <c r="G14" s="93" t="s">
        <v>141</v>
      </c>
      <c r="H14" s="93" t="s">
        <v>800</v>
      </c>
      <c r="I14" s="93" t="s">
        <v>1617</v>
      </c>
      <c r="J14" s="93" t="s">
        <v>859</v>
      </c>
      <c r="K14" s="62" t="s">
        <v>1005</v>
      </c>
      <c r="L14" s="62" t="s">
        <v>1551</v>
      </c>
      <c r="M14" s="104" t="str">
        <f t="shared" si="0"/>
        <v>19/10/1993</v>
      </c>
      <c r="N14" s="50">
        <f t="shared" ca="1" si="1"/>
        <v>32</v>
      </c>
      <c r="O14" s="62" t="s">
        <v>988</v>
      </c>
      <c r="P14" s="50" t="s">
        <v>2756</v>
      </c>
      <c r="Q14" s="50" t="s">
        <v>1273</v>
      </c>
      <c r="R14" s="62"/>
      <c r="S14" s="62" t="s">
        <v>2066</v>
      </c>
      <c r="T14" s="62">
        <v>511301</v>
      </c>
      <c r="U14" s="193">
        <v>46265</v>
      </c>
    </row>
    <row r="15" spans="1:21" ht="16">
      <c r="A15" s="184" t="s">
        <v>26</v>
      </c>
      <c r="B15" s="185" t="s">
        <v>812</v>
      </c>
      <c r="C15" s="185" t="s">
        <v>1627</v>
      </c>
      <c r="D15" s="195" t="s">
        <v>813</v>
      </c>
      <c r="E15" s="185">
        <v>31039309</v>
      </c>
      <c r="F15" s="143" t="s">
        <v>2793</v>
      </c>
      <c r="G15" s="185" t="s">
        <v>83</v>
      </c>
      <c r="H15" s="185" t="s">
        <v>800</v>
      </c>
      <c r="I15" s="185" t="s">
        <v>1614</v>
      </c>
      <c r="J15" s="127" t="s">
        <v>932</v>
      </c>
      <c r="K15" s="127" t="s">
        <v>1386</v>
      </c>
      <c r="L15" s="127" t="s">
        <v>1387</v>
      </c>
      <c r="M15" s="54" t="str">
        <f t="shared" si="0"/>
        <v>09/04/1993</v>
      </c>
      <c r="N15" s="127">
        <f t="shared" ca="1" si="1"/>
        <v>33</v>
      </c>
      <c r="O15" s="127" t="s">
        <v>988</v>
      </c>
      <c r="P15" s="127" t="s">
        <v>2794</v>
      </c>
      <c r="Q15" s="127" t="s">
        <v>989</v>
      </c>
      <c r="R15" s="127"/>
      <c r="S15" s="127"/>
      <c r="T15" s="73"/>
      <c r="U15" s="54"/>
    </row>
    <row r="16" spans="1:21" s="61" customFormat="1" ht="16">
      <c r="A16" s="64" t="s">
        <v>115</v>
      </c>
      <c r="B16" s="96" t="s">
        <v>902</v>
      </c>
      <c r="C16" s="93" t="s">
        <v>1626</v>
      </c>
      <c r="D16" s="129" t="s">
        <v>904</v>
      </c>
      <c r="E16" s="129" t="s">
        <v>2206</v>
      </c>
      <c r="F16" s="192" t="s">
        <v>2757</v>
      </c>
      <c r="G16" s="93" t="s">
        <v>21</v>
      </c>
      <c r="H16" s="93" t="s">
        <v>800</v>
      </c>
      <c r="I16" s="93" t="s">
        <v>1614</v>
      </c>
      <c r="J16" s="93" t="s">
        <v>1869</v>
      </c>
      <c r="K16" s="62" t="s">
        <v>1063</v>
      </c>
      <c r="L16" s="62" t="s">
        <v>2758</v>
      </c>
      <c r="M16" s="104" t="str">
        <f t="shared" si="0"/>
        <v>06/04/1996</v>
      </c>
      <c r="N16" s="50">
        <f t="shared" ca="1" si="1"/>
        <v>30</v>
      </c>
      <c r="O16" s="62" t="s">
        <v>1010</v>
      </c>
      <c r="P16" s="50" t="s">
        <v>2759</v>
      </c>
      <c r="Q16" s="50" t="s">
        <v>1057</v>
      </c>
      <c r="R16" s="62" t="s">
        <v>1365</v>
      </c>
      <c r="S16" s="62"/>
      <c r="T16" s="62"/>
      <c r="U16" s="62"/>
    </row>
    <row r="17" spans="1:21" s="61" customFormat="1" ht="16">
      <c r="A17" s="64" t="s">
        <v>126</v>
      </c>
      <c r="B17" s="93" t="s">
        <v>1658</v>
      </c>
      <c r="C17" s="93" t="s">
        <v>1626</v>
      </c>
      <c r="D17" s="129" t="s">
        <v>2209</v>
      </c>
      <c r="E17" s="129">
        <v>33817106</v>
      </c>
      <c r="F17" s="192" t="s">
        <v>2761</v>
      </c>
      <c r="G17" s="93" t="s">
        <v>935</v>
      </c>
      <c r="H17" s="93" t="s">
        <v>800</v>
      </c>
      <c r="I17" s="93" t="s">
        <v>1615</v>
      </c>
      <c r="J17" s="93" t="s">
        <v>936</v>
      </c>
      <c r="K17" s="62" t="s">
        <v>1383</v>
      </c>
      <c r="L17" s="62" t="s">
        <v>1389</v>
      </c>
      <c r="M17" s="104" t="str">
        <f t="shared" si="0"/>
        <v>25/09/1997</v>
      </c>
      <c r="N17" s="50">
        <f t="shared" ca="1" si="1"/>
        <v>28</v>
      </c>
      <c r="O17" s="62" t="s">
        <v>988</v>
      </c>
      <c r="P17" s="62" t="s">
        <v>2222</v>
      </c>
      <c r="Q17" s="50" t="s">
        <v>1013</v>
      </c>
      <c r="R17" s="50"/>
      <c r="S17" s="62" t="s">
        <v>2022</v>
      </c>
      <c r="T17" s="62" t="s">
        <v>2760</v>
      </c>
      <c r="U17" s="193">
        <v>46295</v>
      </c>
    </row>
    <row r="18" spans="1:21" s="61" customFormat="1" ht="16">
      <c r="A18" s="64" t="s">
        <v>118</v>
      </c>
      <c r="B18" s="93" t="s">
        <v>906</v>
      </c>
      <c r="C18" s="93" t="s">
        <v>1627</v>
      </c>
      <c r="D18" s="129" t="s">
        <v>908</v>
      </c>
      <c r="E18" s="129">
        <v>28357756</v>
      </c>
      <c r="F18" s="192" t="s">
        <v>2762</v>
      </c>
      <c r="G18" s="93" t="s">
        <v>2218</v>
      </c>
      <c r="H18" s="93" t="s">
        <v>800</v>
      </c>
      <c r="I18" s="93" t="s">
        <v>1617</v>
      </c>
      <c r="J18" s="93" t="s">
        <v>859</v>
      </c>
      <c r="K18" s="62" t="s">
        <v>1036</v>
      </c>
      <c r="L18" s="62" t="s">
        <v>1390</v>
      </c>
      <c r="M18" s="104" t="str">
        <f t="shared" si="0"/>
        <v>22/08/1990</v>
      </c>
      <c r="N18" s="50">
        <f t="shared" ca="1" si="1"/>
        <v>35</v>
      </c>
      <c r="O18" s="62" t="s">
        <v>988</v>
      </c>
      <c r="P18" s="50" t="s">
        <v>2584</v>
      </c>
      <c r="Q18" s="50" t="s">
        <v>1170</v>
      </c>
      <c r="S18" s="62" t="s">
        <v>2064</v>
      </c>
      <c r="T18" s="62" t="s">
        <v>2219</v>
      </c>
      <c r="U18" s="193">
        <v>46022</v>
      </c>
    </row>
    <row r="19" spans="1:21" s="61" customFormat="1" ht="16">
      <c r="A19" s="64" t="s">
        <v>57</v>
      </c>
      <c r="B19" s="96" t="s">
        <v>843</v>
      </c>
      <c r="C19" s="93" t="s">
        <v>1626</v>
      </c>
      <c r="D19" s="129" t="s">
        <v>844</v>
      </c>
      <c r="E19" s="125">
        <v>35338409</v>
      </c>
      <c r="F19" s="186" t="s">
        <v>2764</v>
      </c>
      <c r="G19" s="93" t="s">
        <v>21</v>
      </c>
      <c r="H19" s="93" t="s">
        <v>800</v>
      </c>
      <c r="I19" s="93" t="s">
        <v>1613</v>
      </c>
      <c r="J19" s="93" t="s">
        <v>809</v>
      </c>
      <c r="K19" s="62" t="s">
        <v>1005</v>
      </c>
      <c r="L19" s="62" t="s">
        <v>1391</v>
      </c>
      <c r="M19" s="104" t="str">
        <f t="shared" si="0"/>
        <v>21/11/1994</v>
      </c>
      <c r="N19" s="50">
        <f t="shared" ca="1" si="1"/>
        <v>31</v>
      </c>
      <c r="O19" s="62" t="s">
        <v>988</v>
      </c>
      <c r="P19" s="50" t="s">
        <v>2763</v>
      </c>
      <c r="Q19" s="50" t="s">
        <v>1197</v>
      </c>
      <c r="R19" s="62" t="s">
        <v>1365</v>
      </c>
      <c r="S19" s="62"/>
      <c r="T19" s="62"/>
      <c r="U19" s="62"/>
    </row>
    <row r="20" spans="1:21" s="61" customFormat="1" ht="16">
      <c r="A20" s="64" t="s">
        <v>97</v>
      </c>
      <c r="B20" s="96" t="s">
        <v>1395</v>
      </c>
      <c r="C20" s="93" t="s">
        <v>1626</v>
      </c>
      <c r="D20" s="129" t="s">
        <v>887</v>
      </c>
      <c r="E20" s="125">
        <v>29751163</v>
      </c>
      <c r="F20" s="186" t="s">
        <v>2765</v>
      </c>
      <c r="G20" s="93" t="s">
        <v>21</v>
      </c>
      <c r="H20" s="93" t="s">
        <v>800</v>
      </c>
      <c r="I20" s="93" t="s">
        <v>1617</v>
      </c>
      <c r="J20" s="93" t="s">
        <v>886</v>
      </c>
      <c r="K20" s="62" t="s">
        <v>1005</v>
      </c>
      <c r="L20" s="62" t="s">
        <v>1392</v>
      </c>
      <c r="M20" s="104" t="str">
        <f t="shared" si="0"/>
        <v>12/08/1991</v>
      </c>
      <c r="N20" s="50">
        <f t="shared" ca="1" si="1"/>
        <v>34</v>
      </c>
      <c r="O20" s="62" t="s">
        <v>988</v>
      </c>
      <c r="P20" s="62" t="s">
        <v>1282</v>
      </c>
      <c r="Q20" s="62" t="s">
        <v>1197</v>
      </c>
      <c r="R20" s="62" t="s">
        <v>1365</v>
      </c>
      <c r="S20" s="62"/>
      <c r="T20" s="62"/>
      <c r="U20" s="62"/>
    </row>
    <row r="21" spans="1:21" ht="16">
      <c r="A21" s="184" t="s">
        <v>89</v>
      </c>
      <c r="B21" s="185" t="s">
        <v>1394</v>
      </c>
      <c r="C21" s="185" t="s">
        <v>1626</v>
      </c>
      <c r="D21" s="128" t="s">
        <v>880</v>
      </c>
      <c r="E21" s="128" t="s">
        <v>2795</v>
      </c>
      <c r="F21" s="196" t="s">
        <v>2796</v>
      </c>
      <c r="G21" s="185" t="s">
        <v>21</v>
      </c>
      <c r="H21" s="185" t="s">
        <v>800</v>
      </c>
      <c r="I21" s="185" t="s">
        <v>1613</v>
      </c>
      <c r="J21" s="127" t="s">
        <v>879</v>
      </c>
      <c r="K21" s="127" t="s">
        <v>1005</v>
      </c>
      <c r="L21" s="127" t="s">
        <v>1393</v>
      </c>
      <c r="M21" s="54" t="str">
        <f t="shared" si="0"/>
        <v>28/07/1994</v>
      </c>
      <c r="N21" s="127">
        <f t="shared" ca="1" si="1"/>
        <v>32</v>
      </c>
      <c r="O21" s="127" t="s">
        <v>988</v>
      </c>
      <c r="P21" s="127" t="s">
        <v>1282</v>
      </c>
      <c r="Q21" s="127" t="s">
        <v>989</v>
      </c>
      <c r="R21" s="127"/>
      <c r="S21" s="127"/>
      <c r="T21" s="73"/>
      <c r="U21" s="54"/>
    </row>
    <row r="22" spans="1:21" s="61" customFormat="1" ht="16">
      <c r="A22" s="64" t="s">
        <v>19</v>
      </c>
      <c r="B22" s="93" t="s">
        <v>2766</v>
      </c>
      <c r="C22" s="93" t="s">
        <v>1627</v>
      </c>
      <c r="D22" s="129" t="s">
        <v>810</v>
      </c>
      <c r="E22" s="125">
        <v>30395263</v>
      </c>
      <c r="F22" s="186" t="s">
        <v>2767</v>
      </c>
      <c r="G22" s="93" t="s">
        <v>124</v>
      </c>
      <c r="H22" s="93" t="s">
        <v>800</v>
      </c>
      <c r="I22" s="93" t="s">
        <v>1613</v>
      </c>
      <c r="J22" s="93" t="s">
        <v>809</v>
      </c>
      <c r="K22" s="62" t="s">
        <v>1396</v>
      </c>
      <c r="L22" s="62" t="s">
        <v>1565</v>
      </c>
      <c r="M22" s="104" t="str">
        <f t="shared" si="0"/>
        <v>01/07/1993</v>
      </c>
      <c r="N22" s="50">
        <f t="shared" ca="1" si="1"/>
        <v>33</v>
      </c>
      <c r="O22" s="62" t="s">
        <v>988</v>
      </c>
      <c r="P22" s="62" t="s">
        <v>2222</v>
      </c>
      <c r="Q22" s="50" t="s">
        <v>1284</v>
      </c>
      <c r="R22" s="62"/>
      <c r="S22" s="62" t="s">
        <v>2022</v>
      </c>
      <c r="T22" s="62"/>
      <c r="U22" s="62"/>
    </row>
    <row r="23" spans="1:21" s="61" customFormat="1" ht="16">
      <c r="A23" s="64" t="s">
        <v>31</v>
      </c>
      <c r="B23" s="93" t="s">
        <v>815</v>
      </c>
      <c r="C23" s="93" t="s">
        <v>1627</v>
      </c>
      <c r="D23" s="129" t="s">
        <v>817</v>
      </c>
      <c r="E23" s="125">
        <v>25088589</v>
      </c>
      <c r="F23" s="186" t="s">
        <v>2768</v>
      </c>
      <c r="G23" s="93" t="s">
        <v>83</v>
      </c>
      <c r="H23" s="93" t="s">
        <v>800</v>
      </c>
      <c r="I23" s="93" t="s">
        <v>1613</v>
      </c>
      <c r="J23" s="93" t="s">
        <v>809</v>
      </c>
      <c r="K23" s="62" t="s">
        <v>1005</v>
      </c>
      <c r="L23" s="62" t="s">
        <v>1397</v>
      </c>
      <c r="M23" s="104" t="str">
        <f t="shared" si="0"/>
        <v>25/10/1983</v>
      </c>
      <c r="N23" s="50">
        <f t="shared" ca="1" si="1"/>
        <v>42</v>
      </c>
      <c r="O23" s="62" t="s">
        <v>988</v>
      </c>
      <c r="P23" s="62" t="s">
        <v>1388</v>
      </c>
      <c r="Q23" s="62" t="s">
        <v>989</v>
      </c>
      <c r="R23" s="62" t="s">
        <v>2769</v>
      </c>
      <c r="S23" s="81" t="s">
        <v>2066</v>
      </c>
      <c r="T23" s="130">
        <v>511301</v>
      </c>
      <c r="U23" s="84">
        <v>46265</v>
      </c>
    </row>
    <row r="24" spans="1:21" s="61" customFormat="1" ht="16">
      <c r="A24" s="64" t="s">
        <v>133</v>
      </c>
      <c r="B24" s="93" t="s">
        <v>939</v>
      </c>
      <c r="C24" s="93" t="s">
        <v>1626</v>
      </c>
      <c r="D24" s="129" t="s">
        <v>2210</v>
      </c>
      <c r="E24" s="129">
        <v>34191470</v>
      </c>
      <c r="F24" s="192" t="s">
        <v>2770</v>
      </c>
      <c r="G24" s="93" t="s">
        <v>124</v>
      </c>
      <c r="H24" s="93" t="s">
        <v>800</v>
      </c>
      <c r="I24" s="93" t="s">
        <v>1616</v>
      </c>
      <c r="J24" s="93" t="s">
        <v>934</v>
      </c>
      <c r="K24" s="62" t="s">
        <v>1398</v>
      </c>
      <c r="L24" s="62" t="s">
        <v>1389</v>
      </c>
      <c r="M24" s="104" t="str">
        <f t="shared" si="0"/>
        <v>25/09/1997</v>
      </c>
      <c r="N24" s="50">
        <f t="shared" ca="1" si="1"/>
        <v>28</v>
      </c>
      <c r="O24" s="62" t="s">
        <v>988</v>
      </c>
      <c r="P24" s="62" t="s">
        <v>2222</v>
      </c>
      <c r="Q24" s="62" t="s">
        <v>1399</v>
      </c>
      <c r="R24" s="62"/>
      <c r="S24" s="83" t="s">
        <v>2022</v>
      </c>
      <c r="T24" s="83" t="s">
        <v>2213</v>
      </c>
      <c r="U24" s="84">
        <v>46053</v>
      </c>
    </row>
    <row r="25" spans="1:21" s="61" customFormat="1" ht="16">
      <c r="A25" s="64" t="s">
        <v>63</v>
      </c>
      <c r="B25" s="96" t="s">
        <v>850</v>
      </c>
      <c r="C25" s="93" t="s">
        <v>1626</v>
      </c>
      <c r="D25" s="129" t="s">
        <v>852</v>
      </c>
      <c r="E25" s="125">
        <v>13873960</v>
      </c>
      <c r="F25" s="186" t="s">
        <v>2771</v>
      </c>
      <c r="G25" s="93" t="s">
        <v>21</v>
      </c>
      <c r="H25" s="93" t="s">
        <v>800</v>
      </c>
      <c r="I25" s="93" t="s">
        <v>1617</v>
      </c>
      <c r="J25" s="93" t="s">
        <v>859</v>
      </c>
      <c r="K25" s="62" t="s">
        <v>1005</v>
      </c>
      <c r="L25" s="62" t="s">
        <v>1400</v>
      </c>
      <c r="M25" s="104" t="str">
        <f t="shared" si="0"/>
        <v>18/03/1977</v>
      </c>
      <c r="N25" s="50">
        <f t="shared" ca="1" si="1"/>
        <v>49</v>
      </c>
      <c r="O25" s="62" t="s">
        <v>988</v>
      </c>
      <c r="P25" s="50" t="s">
        <v>1078</v>
      </c>
      <c r="Q25" s="50" t="s">
        <v>2772</v>
      </c>
      <c r="R25" s="50" t="s">
        <v>1365</v>
      </c>
      <c r="S25" s="62"/>
      <c r="T25" s="62"/>
      <c r="U25" s="62"/>
    </row>
    <row r="26" spans="1:21" ht="16">
      <c r="A26" s="184" t="s">
        <v>50</v>
      </c>
      <c r="B26" s="185" t="s">
        <v>1401</v>
      </c>
      <c r="C26" s="185" t="s">
        <v>1626</v>
      </c>
      <c r="D26" s="145" t="s">
        <v>837</v>
      </c>
      <c r="E26" s="116">
        <v>33005732</v>
      </c>
      <c r="F26" s="144" t="s">
        <v>2797</v>
      </c>
      <c r="G26" s="185" t="s">
        <v>21</v>
      </c>
      <c r="H26" s="185" t="s">
        <v>800</v>
      </c>
      <c r="I26" s="185" t="s">
        <v>1613</v>
      </c>
      <c r="J26" s="127" t="s">
        <v>933</v>
      </c>
      <c r="K26" s="127" t="s">
        <v>1396</v>
      </c>
      <c r="L26" s="127" t="s">
        <v>1402</v>
      </c>
      <c r="M26" s="54" t="str">
        <f t="shared" si="0"/>
        <v>15/05/1996</v>
      </c>
      <c r="N26" s="127">
        <f t="shared" ca="1" si="1"/>
        <v>30</v>
      </c>
      <c r="O26" s="127" t="s">
        <v>988</v>
      </c>
      <c r="P26" s="127" t="s">
        <v>1239</v>
      </c>
      <c r="Q26" s="127" t="s">
        <v>1197</v>
      </c>
      <c r="R26" s="50" t="s">
        <v>1365</v>
      </c>
      <c r="S26" s="127"/>
      <c r="T26" s="73"/>
      <c r="U26" s="54"/>
    </row>
    <row r="27" spans="1:21" s="61" customFormat="1" ht="16">
      <c r="A27" s="64" t="s">
        <v>67</v>
      </c>
      <c r="B27" s="96" t="s">
        <v>854</v>
      </c>
      <c r="C27" s="93" t="s">
        <v>1626</v>
      </c>
      <c r="D27" s="129" t="s">
        <v>856</v>
      </c>
      <c r="E27" s="125">
        <v>32835526</v>
      </c>
      <c r="F27" s="186" t="s">
        <v>2773</v>
      </c>
      <c r="G27" s="93" t="s">
        <v>21</v>
      </c>
      <c r="H27" s="93" t="s">
        <v>800</v>
      </c>
      <c r="I27" s="93" t="s">
        <v>1616</v>
      </c>
      <c r="J27" s="93" t="s">
        <v>934</v>
      </c>
      <c r="K27" s="62" t="s">
        <v>1005</v>
      </c>
      <c r="L27" s="62" t="s">
        <v>1403</v>
      </c>
      <c r="M27" s="104" t="str">
        <f t="shared" si="0"/>
        <v>02/07/1996</v>
      </c>
      <c r="N27" s="50">
        <f t="shared" ca="1" si="1"/>
        <v>30</v>
      </c>
      <c r="O27" s="62" t="s">
        <v>988</v>
      </c>
      <c r="P27" s="62" t="s">
        <v>1038</v>
      </c>
      <c r="Q27" s="62" t="s">
        <v>1057</v>
      </c>
      <c r="R27" s="50" t="s">
        <v>2774</v>
      </c>
      <c r="S27" s="83"/>
      <c r="T27" s="81"/>
      <c r="U27" s="84"/>
    </row>
    <row r="28" spans="1:21" s="61" customFormat="1" ht="16">
      <c r="A28" s="64" t="s">
        <v>93</v>
      </c>
      <c r="B28" s="96" t="s">
        <v>882</v>
      </c>
      <c r="C28" s="93" t="s">
        <v>1626</v>
      </c>
      <c r="D28" s="129" t="s">
        <v>883</v>
      </c>
      <c r="E28" s="125">
        <v>36220843</v>
      </c>
      <c r="F28" s="186" t="s">
        <v>2787</v>
      </c>
      <c r="G28" s="93" t="s">
        <v>21</v>
      </c>
      <c r="H28" s="93" t="s">
        <v>800</v>
      </c>
      <c r="I28" s="93" t="s">
        <v>1614</v>
      </c>
      <c r="J28" s="93" t="s">
        <v>828</v>
      </c>
      <c r="K28" s="62" t="s">
        <v>1005</v>
      </c>
      <c r="L28" s="62" t="s">
        <v>1404</v>
      </c>
      <c r="M28" s="104" t="str">
        <f t="shared" si="0"/>
        <v>10/07/1998</v>
      </c>
      <c r="N28" s="50">
        <f t="shared" ca="1" si="1"/>
        <v>28</v>
      </c>
      <c r="O28" s="62" t="s">
        <v>988</v>
      </c>
      <c r="P28" s="50" t="s">
        <v>2763</v>
      </c>
      <c r="Q28" s="62"/>
      <c r="R28" s="50" t="s">
        <v>2774</v>
      </c>
      <c r="S28" s="81"/>
      <c r="T28" s="83"/>
      <c r="U28" s="84">
        <v>46022</v>
      </c>
    </row>
    <row r="29" spans="1:21" s="61" customFormat="1" ht="16">
      <c r="A29" s="64" t="s">
        <v>122</v>
      </c>
      <c r="B29" s="93" t="s">
        <v>941</v>
      </c>
      <c r="C29" s="93" t="s">
        <v>1626</v>
      </c>
      <c r="D29" s="129" t="s">
        <v>883</v>
      </c>
      <c r="E29" s="129">
        <v>27300674</v>
      </c>
      <c r="F29" s="192" t="s">
        <v>2775</v>
      </c>
      <c r="G29" s="93" t="s">
        <v>935</v>
      </c>
      <c r="H29" s="93" t="s">
        <v>800</v>
      </c>
      <c r="I29" s="93" t="s">
        <v>1617</v>
      </c>
      <c r="J29" s="93" t="s">
        <v>2776</v>
      </c>
      <c r="K29" s="62" t="s">
        <v>1383</v>
      </c>
      <c r="L29" s="62" t="s">
        <v>1405</v>
      </c>
      <c r="M29" s="104" t="str">
        <f t="shared" si="0"/>
        <v>03/10/1988</v>
      </c>
      <c r="N29" s="50">
        <f t="shared" ca="1" si="1"/>
        <v>37</v>
      </c>
      <c r="O29" s="62" t="s">
        <v>988</v>
      </c>
      <c r="P29" s="61" t="s">
        <v>1522</v>
      </c>
      <c r="Q29" s="62" t="s">
        <v>989</v>
      </c>
      <c r="R29" s="62" t="s">
        <v>2777</v>
      </c>
      <c r="S29" s="81" t="s">
        <v>2022</v>
      </c>
      <c r="T29" s="83" t="s">
        <v>2214</v>
      </c>
      <c r="U29" s="84">
        <v>46173</v>
      </c>
    </row>
    <row r="30" spans="1:21" ht="16">
      <c r="A30" s="184" t="s">
        <v>71</v>
      </c>
      <c r="B30" s="185" t="s">
        <v>1407</v>
      </c>
      <c r="C30" s="185" t="s">
        <v>1626</v>
      </c>
      <c r="D30" s="128" t="s">
        <v>860</v>
      </c>
      <c r="E30" s="128" t="s">
        <v>2798</v>
      </c>
      <c r="F30" s="196" t="s">
        <v>2799</v>
      </c>
      <c r="G30" s="185" t="s">
        <v>21</v>
      </c>
      <c r="H30" s="185" t="s">
        <v>800</v>
      </c>
      <c r="I30" s="185" t="s">
        <v>1617</v>
      </c>
      <c r="J30" s="127" t="s">
        <v>875</v>
      </c>
      <c r="K30" s="127" t="s">
        <v>1005</v>
      </c>
      <c r="L30" s="127" t="s">
        <v>1408</v>
      </c>
      <c r="M30" s="54" t="str">
        <f t="shared" si="0"/>
        <v>23/11/1988</v>
      </c>
      <c r="N30" s="127">
        <f t="shared" ca="1" si="1"/>
        <v>37</v>
      </c>
      <c r="O30" s="127" t="s">
        <v>1010</v>
      </c>
      <c r="P30" s="127" t="s">
        <v>1409</v>
      </c>
      <c r="Q30" s="127" t="s">
        <v>1410</v>
      </c>
      <c r="R30" s="127" t="s">
        <v>1411</v>
      </c>
      <c r="S30" s="127"/>
      <c r="T30" s="73"/>
      <c r="U30" s="54"/>
    </row>
    <row r="31" spans="1:21" s="61" customFormat="1" ht="16">
      <c r="A31" s="64" t="s">
        <v>74</v>
      </c>
      <c r="B31" s="96" t="s">
        <v>862</v>
      </c>
      <c r="C31" s="93" t="s">
        <v>1627</v>
      </c>
      <c r="D31" s="188" t="s">
        <v>864</v>
      </c>
      <c r="E31" s="189">
        <v>14701671</v>
      </c>
      <c r="F31" s="194" t="s">
        <v>2778</v>
      </c>
      <c r="G31" s="93" t="s">
        <v>21</v>
      </c>
      <c r="H31" s="93" t="s">
        <v>800</v>
      </c>
      <c r="I31" s="93" t="s">
        <v>1617</v>
      </c>
      <c r="J31" s="93" t="s">
        <v>863</v>
      </c>
      <c r="K31" s="62" t="s">
        <v>1005</v>
      </c>
      <c r="L31" s="62" t="s">
        <v>1412</v>
      </c>
      <c r="M31" s="104" t="str">
        <f t="shared" si="0"/>
        <v>12/04/1977</v>
      </c>
      <c r="N31" s="50">
        <f t="shared" ca="1" si="1"/>
        <v>49</v>
      </c>
      <c r="O31" s="62" t="s">
        <v>1188</v>
      </c>
      <c r="P31" s="62" t="s">
        <v>2779</v>
      </c>
      <c r="Q31" s="62" t="s">
        <v>2780</v>
      </c>
      <c r="R31" s="62" t="s">
        <v>1411</v>
      </c>
      <c r="S31" s="81"/>
      <c r="T31" s="83"/>
      <c r="U31" s="84"/>
    </row>
    <row r="32" spans="1:21" s="61" customFormat="1" ht="16">
      <c r="A32" s="64" t="s">
        <v>38</v>
      </c>
      <c r="B32" s="93" t="s">
        <v>823</v>
      </c>
      <c r="C32" s="93" t="s">
        <v>1626</v>
      </c>
      <c r="D32" s="129" t="s">
        <v>825</v>
      </c>
      <c r="E32" s="125">
        <v>33888325</v>
      </c>
      <c r="F32" s="186" t="s">
        <v>2781</v>
      </c>
      <c r="G32" s="93" t="s">
        <v>83</v>
      </c>
      <c r="H32" s="93" t="s">
        <v>800</v>
      </c>
      <c r="I32" s="93" t="s">
        <v>1616</v>
      </c>
      <c r="J32" s="93" t="s">
        <v>934</v>
      </c>
      <c r="K32" s="62" t="s">
        <v>1005</v>
      </c>
      <c r="L32" s="62" t="s">
        <v>1413</v>
      </c>
      <c r="M32" s="104" t="str">
        <f t="shared" si="0"/>
        <v>16/05/1997</v>
      </c>
      <c r="N32" s="50">
        <f t="shared" ca="1" si="1"/>
        <v>29</v>
      </c>
      <c r="O32" s="62" t="s">
        <v>988</v>
      </c>
      <c r="P32" s="62" t="s">
        <v>1247</v>
      </c>
      <c r="Q32" s="62" t="s">
        <v>1057</v>
      </c>
      <c r="R32" s="62"/>
      <c r="S32" s="113" t="s">
        <v>2038</v>
      </c>
      <c r="T32" s="83"/>
      <c r="U32" s="84"/>
    </row>
    <row r="33" spans="1:21" ht="16">
      <c r="A33" s="184" t="s">
        <v>85</v>
      </c>
      <c r="B33" s="185" t="s">
        <v>874</v>
      </c>
      <c r="C33" s="185" t="s">
        <v>1626</v>
      </c>
      <c r="D33" s="128" t="s">
        <v>876</v>
      </c>
      <c r="E33" s="128" t="s">
        <v>2800</v>
      </c>
      <c r="F33" s="196" t="s">
        <v>2801</v>
      </c>
      <c r="G33" s="185" t="s">
        <v>21</v>
      </c>
      <c r="H33" s="185" t="s">
        <v>800</v>
      </c>
      <c r="I33" s="185" t="s">
        <v>1617</v>
      </c>
      <c r="J33" s="127" t="s">
        <v>859</v>
      </c>
      <c r="K33" s="127" t="s">
        <v>1005</v>
      </c>
      <c r="L33" s="127" t="s">
        <v>1415</v>
      </c>
      <c r="M33" s="54" t="str">
        <f t="shared" si="0"/>
        <v>12/10/1976</v>
      </c>
      <c r="N33" s="127">
        <f t="shared" ca="1" si="1"/>
        <v>49</v>
      </c>
      <c r="O33" s="127" t="s">
        <v>988</v>
      </c>
      <c r="P33" s="127" t="s">
        <v>1002</v>
      </c>
      <c r="Q33" s="127" t="s">
        <v>1416</v>
      </c>
      <c r="R33" s="127"/>
      <c r="S33" s="127"/>
      <c r="T33" s="73"/>
      <c r="U33" s="54"/>
    </row>
    <row r="34" spans="1:21" s="61" customFormat="1" ht="16">
      <c r="A34" s="64" t="s">
        <v>42</v>
      </c>
      <c r="B34" s="93" t="s">
        <v>942</v>
      </c>
      <c r="C34" s="93" t="s">
        <v>1627</v>
      </c>
      <c r="D34" s="129" t="s">
        <v>829</v>
      </c>
      <c r="E34" s="125">
        <v>32667875</v>
      </c>
      <c r="F34" s="186" t="s">
        <v>2782</v>
      </c>
      <c r="G34" s="93" t="s">
        <v>83</v>
      </c>
      <c r="H34" s="93" t="s">
        <v>800</v>
      </c>
      <c r="I34" s="93" t="s">
        <v>1614</v>
      </c>
      <c r="J34" s="93" t="s">
        <v>828</v>
      </c>
      <c r="K34" s="62" t="s">
        <v>1005</v>
      </c>
      <c r="L34" s="62" t="s">
        <v>1165</v>
      </c>
      <c r="M34" s="104" t="str">
        <f t="shared" si="0"/>
        <v>20/01/1996</v>
      </c>
      <c r="N34" s="50">
        <f t="shared" ca="1" si="1"/>
        <v>30</v>
      </c>
      <c r="O34" s="62" t="s">
        <v>988</v>
      </c>
      <c r="P34" s="62" t="s">
        <v>1388</v>
      </c>
      <c r="Q34" s="62" t="s">
        <v>1592</v>
      </c>
      <c r="R34" s="62" t="s">
        <v>2783</v>
      </c>
      <c r="S34" s="81" t="s">
        <v>2038</v>
      </c>
      <c r="T34" s="81" t="s">
        <v>2475</v>
      </c>
      <c r="U34" s="84">
        <v>46350</v>
      </c>
    </row>
    <row r="35" spans="1:21" s="61" customFormat="1" ht="16">
      <c r="A35" s="64" t="s">
        <v>34</v>
      </c>
      <c r="B35" s="93" t="s">
        <v>819</v>
      </c>
      <c r="C35" s="93" t="s">
        <v>1626</v>
      </c>
      <c r="D35" s="129" t="s">
        <v>821</v>
      </c>
      <c r="E35" s="125">
        <v>29291063</v>
      </c>
      <c r="F35" s="186" t="s">
        <v>2784</v>
      </c>
      <c r="G35" s="93" t="s">
        <v>83</v>
      </c>
      <c r="H35" s="93" t="s">
        <v>800</v>
      </c>
      <c r="I35" s="93" t="s">
        <v>1617</v>
      </c>
      <c r="J35" s="93" t="s">
        <v>859</v>
      </c>
      <c r="K35" s="62" t="s">
        <v>1005</v>
      </c>
      <c r="L35" s="62" t="s">
        <v>1417</v>
      </c>
      <c r="M35" s="104" t="str">
        <f t="shared" si="0"/>
        <v>30/07/1990</v>
      </c>
      <c r="N35" s="50">
        <f t="shared" ca="1" si="1"/>
        <v>35</v>
      </c>
      <c r="O35" s="62" t="s">
        <v>988</v>
      </c>
      <c r="P35" s="62" t="s">
        <v>1388</v>
      </c>
      <c r="Q35" s="62" t="s">
        <v>2785</v>
      </c>
      <c r="R35" s="62" t="s">
        <v>2786</v>
      </c>
      <c r="S35" s="81" t="s">
        <v>2038</v>
      </c>
      <c r="T35" s="83"/>
      <c r="U35" s="191">
        <v>45828</v>
      </c>
    </row>
    <row r="36" spans="1:21" s="61" customFormat="1" ht="16">
      <c r="A36" s="64"/>
      <c r="B36" s="93" t="s">
        <v>1663</v>
      </c>
      <c r="C36" s="93" t="s">
        <v>1626</v>
      </c>
      <c r="D36" s="129" t="s">
        <v>503</v>
      </c>
      <c r="E36" s="129">
        <v>36298023</v>
      </c>
      <c r="F36" s="192" t="s">
        <v>2788</v>
      </c>
      <c r="G36" s="93" t="s">
        <v>83</v>
      </c>
      <c r="H36" s="93" t="s">
        <v>800</v>
      </c>
      <c r="I36" s="93" t="s">
        <v>1614</v>
      </c>
      <c r="J36" s="93" t="s">
        <v>932</v>
      </c>
      <c r="K36" s="62" t="s">
        <v>1619</v>
      </c>
      <c r="L36" s="62" t="s">
        <v>1618</v>
      </c>
      <c r="M36" s="104" t="str">
        <f t="shared" si="0"/>
        <v>30/11/1998</v>
      </c>
      <c r="N36" s="50">
        <f t="shared" ca="1" si="1"/>
        <v>27</v>
      </c>
      <c r="O36" s="62" t="s">
        <v>988</v>
      </c>
      <c r="P36" s="62" t="s">
        <v>1388</v>
      </c>
      <c r="Q36" s="62" t="s">
        <v>1131</v>
      </c>
      <c r="R36" s="62" t="s">
        <v>2783</v>
      </c>
      <c r="S36" s="81" t="s">
        <v>2038</v>
      </c>
      <c r="T36" s="81" t="s">
        <v>2216</v>
      </c>
      <c r="U36" s="84">
        <v>46123</v>
      </c>
    </row>
    <row r="37" spans="1:21" ht="15"/>
    <row r="38" spans="1:21" ht="15"/>
    <row r="39" spans="1:21" ht="15"/>
    <row r="40" spans="1:21" ht="15"/>
    <row r="41" spans="1:21" ht="15"/>
    <row r="42" spans="1:21" ht="15"/>
    <row r="43" spans="1:21" ht="15"/>
    <row r="44" spans="1:21" ht="15"/>
    <row r="45" spans="1:21" ht="15"/>
    <row r="46" spans="1:21" ht="15"/>
    <row r="47" spans="1:21" ht="15"/>
    <row r="48" spans="1:21" ht="15"/>
    <row r="49" ht="15"/>
    <row r="50" ht="15"/>
    <row r="51" ht="15"/>
    <row r="52" ht="15"/>
  </sheetData>
  <autoFilter ref="A1:J36" xr:uid="{00000000-0009-0000-0000-000004000000}">
    <sortState xmlns:xlrd2="http://schemas.microsoft.com/office/spreadsheetml/2017/richdata2" ref="A2:J36">
      <sortCondition ref="B1:B36"/>
    </sortState>
  </autoFilter>
  <phoneticPr fontId="19" type="noConversion"/>
  <dataValidations count="1">
    <dataValidation type="date" allowBlank="1" showInputMessage="1" showErrorMessage="1" error="Enter correct date format" promptTitle="Date" prompt="Enter date as (dd/mm/yyyy)" sqref="U2:U5 U31:U32 U34:U36 U7 U9 U27:U29 U23:U24" xr:uid="{516219A4-C84F-4345-A441-CCAD19461841}">
      <formula1>45292</formula1>
      <formula2>47848</formula2>
    </dataValidation>
  </dataValidations>
  <hyperlinks>
    <hyperlink ref="F2" r:id="rId1" xr:uid="{45D42940-CB15-443D-BF78-7392AC42FC80}"/>
    <hyperlink ref="F3" r:id="rId2" xr:uid="{ABCBA91D-C866-48BD-BFED-6CE93F38FE32}"/>
    <hyperlink ref="F4" r:id="rId3" xr:uid="{16D4267D-BF4D-4B97-AEAA-D6D263433B3D}"/>
    <hyperlink ref="F5" r:id="rId4" xr:uid="{664A1B67-1410-461C-ABAA-C35099D56189}"/>
    <hyperlink ref="F7" r:id="rId5" xr:uid="{C8211DFC-4DBB-4B88-8AF5-C2BB879B085F}"/>
    <hyperlink ref="F9" r:id="rId6" xr:uid="{063447C3-C00D-43B4-83D1-FBD735E81BAD}"/>
    <hyperlink ref="F10" r:id="rId7" xr:uid="{2A08DA0C-89BD-4249-86AA-CE1708959ADC}"/>
    <hyperlink ref="F12" r:id="rId8" xr:uid="{1F0433C8-4310-4D97-A1F8-BD6C67B422F7}"/>
    <hyperlink ref="F14" r:id="rId9" xr:uid="{E3FC99C2-C903-4420-8DBD-5EA7C6D853D4}"/>
    <hyperlink ref="F16" r:id="rId10" xr:uid="{B36CE77A-7838-466F-8044-6BD027CD873D}"/>
    <hyperlink ref="F17" r:id="rId11" xr:uid="{9BA3010F-796A-4D61-8ABF-52CC5E203F75}"/>
    <hyperlink ref="F18" r:id="rId12" xr:uid="{043B4A4C-ED12-454E-B06E-16E8667A57C9}"/>
    <hyperlink ref="F19" r:id="rId13" xr:uid="{76FD34EA-F229-4327-B57D-333477A7EEAD}"/>
    <hyperlink ref="F20" r:id="rId14" xr:uid="{D7403A61-8C0F-493D-922D-CBF1D7139D9A}"/>
    <hyperlink ref="F22" r:id="rId15" xr:uid="{D95C5EC1-D6BD-4598-8D24-A5C9613E5DFC}"/>
    <hyperlink ref="F23" r:id="rId16" xr:uid="{58652678-1E7A-43E1-B5C0-2824623A2697}"/>
    <hyperlink ref="F24" r:id="rId17" xr:uid="{9669BB35-C428-4043-B761-7095FB10F7F5}"/>
    <hyperlink ref="F25" r:id="rId18" xr:uid="{77A0E6A3-CC79-440F-A44D-AEBA400D9DF5}"/>
    <hyperlink ref="F27" r:id="rId19" xr:uid="{1CA9F0CB-B90C-4CD5-9EE5-DB30C6DA45DE}"/>
    <hyperlink ref="F29" r:id="rId20" xr:uid="{6D1707F2-B387-4969-8A4A-33CA0B83DC12}"/>
    <hyperlink ref="F31" r:id="rId21" xr:uid="{5603AFE2-8CE9-4D34-9403-8A7A28BA0B7B}"/>
    <hyperlink ref="F32" r:id="rId22" xr:uid="{2B6F15E6-9182-4EF7-9AE1-9B56FE1FD14E}"/>
    <hyperlink ref="F34" r:id="rId23" xr:uid="{488EC64D-8E51-48B0-8341-82D05F1CD35C}"/>
    <hyperlink ref="F35" r:id="rId24" xr:uid="{B6C578B5-EDE1-4B61-96B6-0E8C10B2C757}"/>
    <hyperlink ref="F28" r:id="rId25" xr:uid="{F8C59066-5AE9-4547-81EF-07DC4F7A59DC}"/>
    <hyperlink ref="F36" r:id="rId26" xr:uid="{21A7400C-11A7-45C4-BB6F-7F8928EACBB4}"/>
    <hyperlink ref="F13" r:id="rId27" xr:uid="{821CC8F2-560A-4B48-B5C9-8324CF586109}"/>
    <hyperlink ref="F8" r:id="rId28" xr:uid="{CA10CFC5-F661-4404-9C1A-376925223FB1}"/>
    <hyperlink ref="F11" r:id="rId29" xr:uid="{93B24D9A-8ED1-434F-9ACD-5D1E118DEE0A}"/>
    <hyperlink ref="F15" r:id="rId30" xr:uid="{17CAF838-4C76-43C2-941B-20B000262A12}"/>
    <hyperlink ref="F21" r:id="rId31" xr:uid="{44515633-C31A-49E9-8424-89B4D0F9C749}"/>
    <hyperlink ref="F26" r:id="rId32" xr:uid="{C66ED237-A166-4E2B-B5A0-4F1AB08A83D6}"/>
    <hyperlink ref="F30" r:id="rId33" xr:uid="{B2D958DE-3F15-43A9-91F1-A7662CEFF451}"/>
    <hyperlink ref="F33" r:id="rId34" xr:uid="{1F269D96-8214-4F30-A881-5EF157B313B4}"/>
  </hyperlinks>
  <pageMargins left="0.2" right="0.2" top="0.45" bottom="0.63" header="0.24" footer="0.3"/>
  <pageSetup scale="30" fitToHeight="0" orientation="landscape" r:id="rId3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2ADEE-E32A-4D6E-B7B2-A64E7A8EE218}">
  <sheetPr filterMode="1"/>
  <dimension ref="A1:J156"/>
  <sheetViews>
    <sheetView topLeftCell="A24" zoomScaleNormal="100" workbookViewId="0">
      <selection activeCell="B159" sqref="B159"/>
    </sheetView>
  </sheetViews>
  <sheetFormatPr defaultRowHeight="14.5"/>
  <cols>
    <col min="1" max="1" width="8.81640625" bestFit="1" customWidth="1"/>
    <col min="2" max="2" width="27.1796875" bestFit="1" customWidth="1"/>
    <col min="3" max="3" width="33.54296875" bestFit="1" customWidth="1"/>
    <col min="4" max="4" width="13.90625" bestFit="1" customWidth="1"/>
    <col min="5" max="5" width="15.81640625" bestFit="1" customWidth="1"/>
    <col min="6" max="8" width="14.36328125" customWidth="1"/>
    <col min="9" max="9" width="17.08984375" customWidth="1"/>
    <col min="10" max="10" width="15.54296875" bestFit="1" customWidth="1"/>
  </cols>
  <sheetData>
    <row r="1" spans="1:9">
      <c r="A1" s="75" t="s">
        <v>17</v>
      </c>
      <c r="B1" s="75" t="s">
        <v>1670</v>
      </c>
      <c r="C1" s="75" t="s">
        <v>1671</v>
      </c>
      <c r="D1" s="75" t="s">
        <v>6</v>
      </c>
      <c r="E1" s="75" t="s">
        <v>1593</v>
      </c>
      <c r="F1" s="75" t="s">
        <v>1672</v>
      </c>
      <c r="G1" s="76" t="s">
        <v>1908</v>
      </c>
      <c r="H1" s="75" t="s">
        <v>1909</v>
      </c>
      <c r="I1" s="75" t="s">
        <v>1910</v>
      </c>
    </row>
    <row r="2" spans="1:9">
      <c r="A2" s="76">
        <v>1</v>
      </c>
      <c r="B2" s="76" t="s">
        <v>1673</v>
      </c>
      <c r="C2" s="76" t="s">
        <v>948</v>
      </c>
      <c r="D2" s="76" t="s">
        <v>1594</v>
      </c>
      <c r="E2" s="76" t="s">
        <v>1597</v>
      </c>
      <c r="F2" s="76" t="s">
        <v>1674</v>
      </c>
      <c r="G2" s="77" t="s">
        <v>1920</v>
      </c>
      <c r="H2" s="76">
        <v>21901260</v>
      </c>
      <c r="I2" s="76">
        <v>9000</v>
      </c>
    </row>
    <row r="3" spans="1:9">
      <c r="A3" s="76">
        <v>2</v>
      </c>
      <c r="B3" s="76" t="s">
        <v>1675</v>
      </c>
      <c r="C3" s="76" t="s">
        <v>1676</v>
      </c>
      <c r="D3" s="76" t="s">
        <v>1594</v>
      </c>
      <c r="E3" s="76" t="s">
        <v>1595</v>
      </c>
      <c r="F3" s="76" t="s">
        <v>1674</v>
      </c>
      <c r="G3" s="77" t="s">
        <v>1927</v>
      </c>
      <c r="H3" s="76">
        <v>25937633</v>
      </c>
      <c r="I3" s="76">
        <v>9000</v>
      </c>
    </row>
    <row r="4" spans="1:9">
      <c r="A4" s="76">
        <v>3</v>
      </c>
      <c r="B4" s="76" t="s">
        <v>1677</v>
      </c>
      <c r="C4" s="76" t="s">
        <v>947</v>
      </c>
      <c r="D4" s="76" t="s">
        <v>1594</v>
      </c>
      <c r="E4" s="76" t="s">
        <v>1597</v>
      </c>
      <c r="F4" s="76" t="s">
        <v>1674</v>
      </c>
      <c r="G4" s="77" t="s">
        <v>1928</v>
      </c>
      <c r="H4" s="76">
        <v>24871839</v>
      </c>
      <c r="I4" s="76">
        <v>9000</v>
      </c>
    </row>
    <row r="5" spans="1:9">
      <c r="A5" s="76">
        <v>4</v>
      </c>
      <c r="B5" s="76" t="s">
        <v>1943</v>
      </c>
      <c r="C5" s="76" t="s">
        <v>99</v>
      </c>
      <c r="D5" s="76" t="s">
        <v>1594</v>
      </c>
      <c r="E5" s="76" t="s">
        <v>1596</v>
      </c>
      <c r="F5" s="76" t="s">
        <v>1674</v>
      </c>
      <c r="G5" s="77" t="s">
        <v>1929</v>
      </c>
      <c r="H5" s="76">
        <v>24293798</v>
      </c>
      <c r="I5" s="76">
        <v>9000</v>
      </c>
    </row>
    <row r="6" spans="1:9">
      <c r="A6" s="76">
        <v>5</v>
      </c>
      <c r="B6" s="76" t="s">
        <v>1678</v>
      </c>
      <c r="C6" s="76" t="s">
        <v>947</v>
      </c>
      <c r="D6" s="76" t="s">
        <v>1594</v>
      </c>
      <c r="E6" s="76" t="s">
        <v>1597</v>
      </c>
      <c r="F6" s="76" t="s">
        <v>1690</v>
      </c>
      <c r="G6" s="77" t="s">
        <v>1930</v>
      </c>
      <c r="H6" s="76">
        <v>24689820</v>
      </c>
      <c r="I6" s="76">
        <v>9000</v>
      </c>
    </row>
    <row r="7" spans="1:9">
      <c r="A7" s="76">
        <v>6</v>
      </c>
      <c r="B7" s="76" t="s">
        <v>1679</v>
      </c>
      <c r="C7" s="76" t="s">
        <v>1680</v>
      </c>
      <c r="D7" s="76" t="s">
        <v>1594</v>
      </c>
      <c r="E7" s="76" t="s">
        <v>1598</v>
      </c>
      <c r="F7" s="76" t="s">
        <v>1674</v>
      </c>
      <c r="G7" s="77" t="s">
        <v>1931</v>
      </c>
      <c r="H7" s="76">
        <v>22352484</v>
      </c>
      <c r="I7" s="76">
        <v>9000</v>
      </c>
    </row>
    <row r="8" spans="1:9">
      <c r="A8" s="76">
        <v>7</v>
      </c>
      <c r="B8" s="76" t="s">
        <v>1681</v>
      </c>
      <c r="C8" s="76" t="s">
        <v>943</v>
      </c>
      <c r="D8" s="76" t="s">
        <v>1594</v>
      </c>
      <c r="E8" s="76" t="s">
        <v>1598</v>
      </c>
      <c r="F8" s="76" t="s">
        <v>1674</v>
      </c>
      <c r="G8" s="77" t="s">
        <v>1932</v>
      </c>
      <c r="H8" s="76">
        <v>21815031</v>
      </c>
      <c r="I8" s="76">
        <v>9000</v>
      </c>
    </row>
    <row r="9" spans="1:9">
      <c r="A9" s="76">
        <v>8</v>
      </c>
      <c r="B9" s="76" t="s">
        <v>1682</v>
      </c>
      <c r="C9" s="76" t="s">
        <v>36</v>
      </c>
      <c r="D9" s="76" t="s">
        <v>1594</v>
      </c>
      <c r="E9" s="76" t="s">
        <v>1598</v>
      </c>
      <c r="F9" s="76" t="s">
        <v>1674</v>
      </c>
      <c r="G9" s="77" t="s">
        <v>1944</v>
      </c>
      <c r="H9" s="76">
        <v>28101682</v>
      </c>
      <c r="I9" s="76">
        <v>9000</v>
      </c>
    </row>
    <row r="10" spans="1:9">
      <c r="A10" s="76">
        <v>9</v>
      </c>
      <c r="B10" s="76" t="s">
        <v>1683</v>
      </c>
      <c r="C10" s="76" t="s">
        <v>1684</v>
      </c>
      <c r="D10" s="76" t="s">
        <v>1594</v>
      </c>
      <c r="E10" s="76" t="s">
        <v>1596</v>
      </c>
      <c r="F10" s="76" t="s">
        <v>1674</v>
      </c>
      <c r="G10" s="77" t="s">
        <v>1945</v>
      </c>
      <c r="H10" s="76">
        <v>20564819</v>
      </c>
      <c r="I10" s="76">
        <v>9000</v>
      </c>
    </row>
    <row r="11" spans="1:9">
      <c r="A11" s="76">
        <v>10</v>
      </c>
      <c r="B11" s="76" t="s">
        <v>1685</v>
      </c>
      <c r="C11" s="76" t="s">
        <v>1684</v>
      </c>
      <c r="D11" s="76" t="s">
        <v>1594</v>
      </c>
      <c r="E11" s="76" t="s">
        <v>1596</v>
      </c>
      <c r="F11" s="76" t="s">
        <v>1686</v>
      </c>
      <c r="G11" s="77" t="s">
        <v>1946</v>
      </c>
      <c r="H11" s="76">
        <v>34336782</v>
      </c>
      <c r="I11" s="76">
        <v>8000</v>
      </c>
    </row>
    <row r="12" spans="1:9">
      <c r="A12" s="76">
        <v>11</v>
      </c>
      <c r="B12" s="76" t="s">
        <v>1687</v>
      </c>
      <c r="C12" s="76" t="s">
        <v>1676</v>
      </c>
      <c r="D12" s="76" t="s">
        <v>1594</v>
      </c>
      <c r="E12" s="76" t="s">
        <v>1595</v>
      </c>
      <c r="F12" s="76" t="s">
        <v>1686</v>
      </c>
      <c r="G12" s="77" t="s">
        <v>1947</v>
      </c>
      <c r="H12" s="76">
        <v>37867627</v>
      </c>
      <c r="I12" s="76">
        <v>8000</v>
      </c>
    </row>
    <row r="13" spans="1:9">
      <c r="A13" s="76">
        <v>12</v>
      </c>
      <c r="B13" s="76" t="s">
        <v>1688</v>
      </c>
      <c r="C13" s="76" t="s">
        <v>1689</v>
      </c>
      <c r="D13" s="76" t="s">
        <v>1594</v>
      </c>
      <c r="E13" s="76" t="s">
        <v>1596</v>
      </c>
      <c r="F13" s="76" t="s">
        <v>1690</v>
      </c>
      <c r="G13" s="77" t="s">
        <v>1948</v>
      </c>
      <c r="H13" s="76">
        <v>5747719</v>
      </c>
      <c r="I13" s="76">
        <v>9000</v>
      </c>
    </row>
    <row r="14" spans="1:9">
      <c r="A14" s="76">
        <v>13</v>
      </c>
      <c r="B14" s="76" t="s">
        <v>1691</v>
      </c>
      <c r="C14" s="76" t="s">
        <v>1940</v>
      </c>
      <c r="D14" s="76" t="s">
        <v>1594</v>
      </c>
      <c r="E14" s="76" t="s">
        <v>1598</v>
      </c>
      <c r="F14" s="76" t="s">
        <v>1690</v>
      </c>
      <c r="G14" s="77" t="s">
        <v>1949</v>
      </c>
      <c r="H14" s="76">
        <v>24157157</v>
      </c>
      <c r="I14" s="76">
        <v>9000</v>
      </c>
    </row>
    <row r="15" spans="1:9">
      <c r="A15" s="76">
        <v>14</v>
      </c>
      <c r="B15" s="76" t="s">
        <v>1692</v>
      </c>
      <c r="C15" s="76" t="s">
        <v>947</v>
      </c>
      <c r="D15" s="76" t="s">
        <v>1594</v>
      </c>
      <c r="E15" s="76" t="s">
        <v>1597</v>
      </c>
      <c r="F15" s="76" t="s">
        <v>1690</v>
      </c>
      <c r="G15" s="77" t="s">
        <v>1950</v>
      </c>
      <c r="H15" s="76">
        <v>21684771</v>
      </c>
      <c r="I15" s="76">
        <v>9000</v>
      </c>
    </row>
    <row r="16" spans="1:9">
      <c r="A16" s="76">
        <v>15</v>
      </c>
      <c r="B16" s="76" t="s">
        <v>1693</v>
      </c>
      <c r="C16" s="76" t="s">
        <v>1694</v>
      </c>
      <c r="D16" s="76" t="s">
        <v>1594</v>
      </c>
      <c r="E16" s="76" t="s">
        <v>1595</v>
      </c>
      <c r="F16" s="76" t="s">
        <v>1690</v>
      </c>
      <c r="G16" s="77" t="s">
        <v>1951</v>
      </c>
      <c r="H16" s="76">
        <v>20598793</v>
      </c>
      <c r="I16" s="76">
        <v>9000</v>
      </c>
    </row>
    <row r="17" spans="1:9">
      <c r="A17" s="76">
        <v>16</v>
      </c>
      <c r="B17" s="76" t="s">
        <v>1695</v>
      </c>
      <c r="C17" s="76" t="s">
        <v>1696</v>
      </c>
      <c r="D17" s="76" t="s">
        <v>1594</v>
      </c>
      <c r="E17" s="76" t="s">
        <v>1596</v>
      </c>
      <c r="F17" s="76" t="s">
        <v>1690</v>
      </c>
      <c r="G17" s="77" t="s">
        <v>1952</v>
      </c>
      <c r="H17" s="76">
        <v>9821657</v>
      </c>
      <c r="I17" s="76">
        <v>9000</v>
      </c>
    </row>
    <row r="18" spans="1:9">
      <c r="A18" s="76">
        <v>17</v>
      </c>
      <c r="B18" s="76" t="s">
        <v>1697</v>
      </c>
      <c r="C18" s="76" t="s">
        <v>1698</v>
      </c>
      <c r="D18" s="76" t="s">
        <v>1594</v>
      </c>
      <c r="E18" s="76" t="s">
        <v>1598</v>
      </c>
      <c r="F18" s="76" t="s">
        <v>1690</v>
      </c>
      <c r="G18" s="77" t="s">
        <v>1953</v>
      </c>
      <c r="H18" s="76">
        <v>14411307</v>
      </c>
      <c r="I18" s="76">
        <v>9000</v>
      </c>
    </row>
    <row r="19" spans="1:9">
      <c r="A19" s="76">
        <v>18</v>
      </c>
      <c r="B19" s="76" t="s">
        <v>1699</v>
      </c>
      <c r="C19" s="76" t="s">
        <v>91</v>
      </c>
      <c r="D19" s="76" t="s">
        <v>1594</v>
      </c>
      <c r="E19" s="76" t="s">
        <v>1596</v>
      </c>
      <c r="F19" s="76" t="s">
        <v>1690</v>
      </c>
      <c r="G19" s="77" t="s">
        <v>1954</v>
      </c>
      <c r="H19" s="76">
        <v>21012152</v>
      </c>
      <c r="I19" s="76">
        <v>9000</v>
      </c>
    </row>
    <row r="20" spans="1:9">
      <c r="A20" s="76">
        <v>19</v>
      </c>
      <c r="B20" s="76" t="s">
        <v>1700</v>
      </c>
      <c r="C20" s="76" t="s">
        <v>1721</v>
      </c>
      <c r="D20" s="76" t="s">
        <v>1594</v>
      </c>
      <c r="E20" s="76" t="s">
        <v>1595</v>
      </c>
      <c r="F20" s="76" t="s">
        <v>1674</v>
      </c>
      <c r="G20" s="77" t="s">
        <v>1955</v>
      </c>
      <c r="H20" s="76">
        <v>11211947</v>
      </c>
      <c r="I20" s="76">
        <v>9000</v>
      </c>
    </row>
    <row r="21" spans="1:9">
      <c r="A21" s="76">
        <v>20</v>
      </c>
      <c r="B21" s="76" t="s">
        <v>1701</v>
      </c>
      <c r="C21" s="76" t="s">
        <v>1702</v>
      </c>
      <c r="D21" s="76" t="s">
        <v>1594</v>
      </c>
      <c r="E21" s="76" t="s">
        <v>1596</v>
      </c>
      <c r="F21" s="76" t="s">
        <v>1690</v>
      </c>
      <c r="G21" s="77" t="s">
        <v>1956</v>
      </c>
      <c r="H21" s="76">
        <v>30741863</v>
      </c>
      <c r="I21" s="76">
        <v>9000</v>
      </c>
    </row>
    <row r="22" spans="1:9">
      <c r="A22" s="76">
        <v>21</v>
      </c>
      <c r="B22" s="76" t="s">
        <v>1703</v>
      </c>
      <c r="C22" s="76" t="s">
        <v>1676</v>
      </c>
      <c r="D22" s="76" t="s">
        <v>1594</v>
      </c>
      <c r="E22" s="76" t="s">
        <v>1595</v>
      </c>
      <c r="F22" s="76" t="s">
        <v>1690</v>
      </c>
      <c r="G22" s="77" t="s">
        <v>1957</v>
      </c>
      <c r="H22" s="76">
        <v>20177802</v>
      </c>
      <c r="I22" s="76">
        <v>9000</v>
      </c>
    </row>
    <row r="23" spans="1:9">
      <c r="A23" s="76">
        <v>22</v>
      </c>
      <c r="B23" s="76" t="s">
        <v>1704</v>
      </c>
      <c r="C23" s="76" t="s">
        <v>1705</v>
      </c>
      <c r="D23" s="76" t="s">
        <v>1594</v>
      </c>
      <c r="E23" s="76" t="s">
        <v>1595</v>
      </c>
      <c r="F23" s="76" t="s">
        <v>1690</v>
      </c>
      <c r="G23" s="77" t="s">
        <v>1958</v>
      </c>
      <c r="H23" s="76">
        <v>12993886</v>
      </c>
      <c r="I23" s="76">
        <v>9000</v>
      </c>
    </row>
    <row r="24" spans="1:9">
      <c r="A24" s="76">
        <v>23</v>
      </c>
      <c r="B24" s="76" t="s">
        <v>1706</v>
      </c>
      <c r="C24" s="76" t="s">
        <v>1582</v>
      </c>
      <c r="D24" s="76" t="s">
        <v>1594</v>
      </c>
      <c r="E24" s="76" t="s">
        <v>1597</v>
      </c>
      <c r="F24" s="76" t="s">
        <v>1690</v>
      </c>
      <c r="G24" s="77" t="s">
        <v>1959</v>
      </c>
      <c r="H24" s="76">
        <v>9820763</v>
      </c>
      <c r="I24" s="76">
        <v>9000</v>
      </c>
    </row>
    <row r="25" spans="1:9">
      <c r="A25" s="76">
        <v>24</v>
      </c>
      <c r="B25" s="76" t="s">
        <v>1707</v>
      </c>
      <c r="C25" s="76" t="s">
        <v>1708</v>
      </c>
      <c r="D25" s="76" t="s">
        <v>1594</v>
      </c>
      <c r="E25" s="76" t="s">
        <v>1595</v>
      </c>
      <c r="F25" s="76" t="s">
        <v>1690</v>
      </c>
      <c r="G25" s="77" t="s">
        <v>1960</v>
      </c>
      <c r="H25" s="76">
        <v>10796113</v>
      </c>
      <c r="I25" s="76">
        <v>9000</v>
      </c>
    </row>
    <row r="26" spans="1:9">
      <c r="A26" s="76">
        <v>25</v>
      </c>
      <c r="B26" s="76" t="s">
        <v>1709</v>
      </c>
      <c r="C26" s="76" t="s">
        <v>1710</v>
      </c>
      <c r="D26" s="76" t="s">
        <v>1594</v>
      </c>
      <c r="E26" s="76" t="s">
        <v>1598</v>
      </c>
      <c r="F26" s="76" t="s">
        <v>1690</v>
      </c>
      <c r="G26" s="77" t="s">
        <v>1961</v>
      </c>
      <c r="H26" s="76">
        <v>9284503</v>
      </c>
      <c r="I26" s="76">
        <v>9000</v>
      </c>
    </row>
    <row r="27" spans="1:9">
      <c r="A27" s="76">
        <v>26</v>
      </c>
      <c r="B27" s="76" t="s">
        <v>1711</v>
      </c>
      <c r="C27" s="76" t="s">
        <v>36</v>
      </c>
      <c r="D27" s="76" t="s">
        <v>1594</v>
      </c>
      <c r="E27" s="76" t="s">
        <v>1598</v>
      </c>
      <c r="F27" s="76" t="s">
        <v>1690</v>
      </c>
      <c r="G27" s="77" t="s">
        <v>1962</v>
      </c>
      <c r="H27" s="76">
        <v>23194120</v>
      </c>
      <c r="I27" s="76">
        <v>9000</v>
      </c>
    </row>
    <row r="28" spans="1:9">
      <c r="A28" s="76">
        <v>27</v>
      </c>
      <c r="B28" s="76" t="s">
        <v>1712</v>
      </c>
      <c r="C28" s="76" t="s">
        <v>946</v>
      </c>
      <c r="D28" s="76" t="s">
        <v>1594</v>
      </c>
      <c r="E28" s="76" t="s">
        <v>1598</v>
      </c>
      <c r="F28" s="76" t="s">
        <v>1690</v>
      </c>
      <c r="G28" s="77" t="s">
        <v>1963</v>
      </c>
      <c r="H28" s="76">
        <v>14408939</v>
      </c>
      <c r="I28" s="76">
        <v>9000</v>
      </c>
    </row>
    <row r="29" spans="1:9">
      <c r="A29" s="76">
        <v>28</v>
      </c>
      <c r="B29" s="76" t="s">
        <v>1713</v>
      </c>
      <c r="C29" s="76" t="s">
        <v>1676</v>
      </c>
      <c r="D29" s="76" t="s">
        <v>1594</v>
      </c>
      <c r="E29" s="76" t="s">
        <v>1595</v>
      </c>
      <c r="F29" s="76" t="s">
        <v>1690</v>
      </c>
      <c r="G29" s="77" t="s">
        <v>1964</v>
      </c>
      <c r="H29" s="76">
        <v>26985852</v>
      </c>
      <c r="I29" s="76">
        <v>9000</v>
      </c>
    </row>
    <row r="30" spans="1:9">
      <c r="A30" s="76">
        <v>29</v>
      </c>
      <c r="B30" s="76" t="s">
        <v>1714</v>
      </c>
      <c r="C30" s="76" t="s">
        <v>1511</v>
      </c>
      <c r="D30" s="76" t="s">
        <v>1594</v>
      </c>
      <c r="E30" s="76" t="s">
        <v>1598</v>
      </c>
      <c r="F30" s="76" t="s">
        <v>1690</v>
      </c>
      <c r="G30" s="77" t="s">
        <v>1965</v>
      </c>
      <c r="H30" s="76">
        <v>11771230</v>
      </c>
      <c r="I30" s="76">
        <v>9000</v>
      </c>
    </row>
    <row r="31" spans="1:9">
      <c r="A31" s="76">
        <v>30</v>
      </c>
      <c r="B31" s="76" t="s">
        <v>1715</v>
      </c>
      <c r="C31" s="76" t="s">
        <v>947</v>
      </c>
      <c r="D31" s="76" t="s">
        <v>1594</v>
      </c>
      <c r="E31" s="76" t="s">
        <v>1597</v>
      </c>
      <c r="F31" s="76" t="s">
        <v>1690</v>
      </c>
      <c r="G31" s="77" t="s">
        <v>1966</v>
      </c>
      <c r="H31" s="76">
        <v>30129833</v>
      </c>
      <c r="I31" s="76">
        <v>9000</v>
      </c>
    </row>
    <row r="32" spans="1:9">
      <c r="A32" s="76">
        <v>31</v>
      </c>
      <c r="B32" s="76" t="s">
        <v>1716</v>
      </c>
      <c r="C32" s="76" t="s">
        <v>1676</v>
      </c>
      <c r="D32" s="76" t="s">
        <v>1594</v>
      </c>
      <c r="E32" s="76" t="s">
        <v>1595</v>
      </c>
      <c r="F32" s="76" t="s">
        <v>1690</v>
      </c>
      <c r="G32" s="77" t="s">
        <v>1967</v>
      </c>
      <c r="H32" s="76">
        <v>24542073</v>
      </c>
      <c r="I32" s="76">
        <v>9000</v>
      </c>
    </row>
    <row r="33" spans="1:9">
      <c r="A33" s="76">
        <v>32</v>
      </c>
      <c r="B33" s="76" t="s">
        <v>1717</v>
      </c>
      <c r="C33" s="76" t="s">
        <v>1718</v>
      </c>
      <c r="D33" s="76" t="s">
        <v>1594</v>
      </c>
      <c r="E33" s="76" t="s">
        <v>1596</v>
      </c>
      <c r="F33" s="76" t="s">
        <v>1690</v>
      </c>
      <c r="G33" s="77" t="s">
        <v>1968</v>
      </c>
      <c r="H33" s="76">
        <v>10629514</v>
      </c>
      <c r="I33" s="76">
        <v>9000</v>
      </c>
    </row>
    <row r="34" spans="1:9">
      <c r="A34" s="76">
        <v>33</v>
      </c>
      <c r="B34" s="76" t="s">
        <v>1719</v>
      </c>
      <c r="C34" s="76" t="s">
        <v>948</v>
      </c>
      <c r="D34" s="76" t="s">
        <v>1594</v>
      </c>
      <c r="E34" s="76" t="s">
        <v>1597</v>
      </c>
      <c r="F34" s="76" t="s">
        <v>1690</v>
      </c>
      <c r="G34" s="77" t="s">
        <v>1969</v>
      </c>
      <c r="H34" s="76">
        <v>10797989</v>
      </c>
      <c r="I34" s="76">
        <v>9000</v>
      </c>
    </row>
    <row r="35" spans="1:9">
      <c r="A35" s="76">
        <v>34</v>
      </c>
      <c r="B35" s="76" t="s">
        <v>1720</v>
      </c>
      <c r="C35" s="76" t="s">
        <v>1721</v>
      </c>
      <c r="D35" s="76" t="s">
        <v>1594</v>
      </c>
      <c r="E35" s="76" t="s">
        <v>1595</v>
      </c>
      <c r="F35" s="76" t="s">
        <v>1690</v>
      </c>
      <c r="G35" s="77" t="s">
        <v>1970</v>
      </c>
      <c r="H35" s="76">
        <v>36953595</v>
      </c>
      <c r="I35" s="76">
        <v>9000</v>
      </c>
    </row>
    <row r="36" spans="1:9">
      <c r="A36" s="76">
        <v>35</v>
      </c>
      <c r="B36" s="76" t="s">
        <v>1722</v>
      </c>
      <c r="C36" s="76" t="s">
        <v>1723</v>
      </c>
      <c r="D36" s="76" t="s">
        <v>1594</v>
      </c>
      <c r="E36" s="76" t="s">
        <v>1595</v>
      </c>
      <c r="F36" s="76" t="s">
        <v>1690</v>
      </c>
      <c r="G36" s="77" t="s">
        <v>1971</v>
      </c>
      <c r="H36" s="76">
        <v>32406678</v>
      </c>
      <c r="I36" s="76">
        <v>9000</v>
      </c>
    </row>
    <row r="37" spans="1:9">
      <c r="A37" s="76">
        <v>36</v>
      </c>
      <c r="B37" s="76" t="s">
        <v>1724</v>
      </c>
      <c r="C37" s="76" t="s">
        <v>1676</v>
      </c>
      <c r="D37" s="76" t="s">
        <v>1594</v>
      </c>
      <c r="E37" s="76" t="s">
        <v>1595</v>
      </c>
      <c r="F37" s="76" t="s">
        <v>1674</v>
      </c>
      <c r="G37" s="77" t="s">
        <v>1972</v>
      </c>
      <c r="H37" s="76">
        <v>29010852</v>
      </c>
      <c r="I37" s="76">
        <v>9000</v>
      </c>
    </row>
    <row r="38" spans="1:9" hidden="1">
      <c r="A38" s="76">
        <v>37</v>
      </c>
      <c r="B38" s="76" t="s">
        <v>1725</v>
      </c>
      <c r="C38" s="76" t="s">
        <v>1726</v>
      </c>
      <c r="D38" s="76" t="s">
        <v>1668</v>
      </c>
      <c r="E38" s="76" t="s">
        <v>1615</v>
      </c>
      <c r="F38" s="76" t="s">
        <v>1690</v>
      </c>
      <c r="G38" s="77" t="s">
        <v>1973</v>
      </c>
      <c r="H38" s="76">
        <v>8859432</v>
      </c>
      <c r="I38" s="76">
        <v>9000</v>
      </c>
    </row>
    <row r="39" spans="1:9" hidden="1">
      <c r="A39" s="76">
        <v>38</v>
      </c>
      <c r="B39" s="76" t="s">
        <v>1727</v>
      </c>
      <c r="C39" s="76" t="s">
        <v>1728</v>
      </c>
      <c r="D39" s="76" t="s">
        <v>466</v>
      </c>
      <c r="E39" s="76" t="s">
        <v>1608</v>
      </c>
      <c r="F39" s="76" t="s">
        <v>1729</v>
      </c>
      <c r="G39" s="77" t="s">
        <v>1974</v>
      </c>
      <c r="H39" s="76">
        <v>13361059</v>
      </c>
      <c r="I39" s="76">
        <v>10000</v>
      </c>
    </row>
    <row r="40" spans="1:9" hidden="1">
      <c r="A40" s="76">
        <v>39</v>
      </c>
      <c r="B40" s="76" t="s">
        <v>1730</v>
      </c>
      <c r="C40" s="76" t="s">
        <v>1731</v>
      </c>
      <c r="D40" s="76" t="s">
        <v>466</v>
      </c>
      <c r="E40" s="76" t="s">
        <v>1602</v>
      </c>
      <c r="F40" s="76" t="s">
        <v>1674</v>
      </c>
      <c r="G40" s="77" t="s">
        <v>1975</v>
      </c>
      <c r="H40" s="76">
        <v>38030779</v>
      </c>
      <c r="I40" s="76">
        <v>9000</v>
      </c>
    </row>
    <row r="41" spans="1:9" hidden="1">
      <c r="A41" s="76">
        <v>40</v>
      </c>
      <c r="B41" s="76" t="s">
        <v>1732</v>
      </c>
      <c r="C41" s="76" t="s">
        <v>1733</v>
      </c>
      <c r="D41" s="76" t="s">
        <v>466</v>
      </c>
      <c r="E41" s="76" t="s">
        <v>1607</v>
      </c>
      <c r="F41" s="76" t="s">
        <v>1690</v>
      </c>
      <c r="G41" s="77" t="s">
        <v>2224</v>
      </c>
      <c r="H41" s="76">
        <v>36056449</v>
      </c>
      <c r="I41" s="76">
        <v>9000</v>
      </c>
    </row>
    <row r="42" spans="1:9" hidden="1">
      <c r="A42" s="76">
        <v>41</v>
      </c>
      <c r="B42" s="76" t="s">
        <v>1734</v>
      </c>
      <c r="C42" s="76" t="s">
        <v>1735</v>
      </c>
      <c r="D42" s="76" t="s">
        <v>466</v>
      </c>
      <c r="E42" s="76" t="s">
        <v>1603</v>
      </c>
      <c r="F42" s="76" t="s">
        <v>1674</v>
      </c>
      <c r="G42" s="77" t="s">
        <v>2225</v>
      </c>
      <c r="H42" s="76">
        <v>25987312</v>
      </c>
      <c r="I42" s="76">
        <v>9000</v>
      </c>
    </row>
    <row r="43" spans="1:9" hidden="1">
      <c r="A43" s="76">
        <v>42</v>
      </c>
      <c r="B43" s="76" t="s">
        <v>1736</v>
      </c>
      <c r="C43" s="76" t="s">
        <v>1737</v>
      </c>
      <c r="D43" s="76" t="s">
        <v>466</v>
      </c>
      <c r="E43" s="76" t="s">
        <v>1601</v>
      </c>
      <c r="F43" s="76" t="s">
        <v>1674</v>
      </c>
      <c r="G43" s="77" t="s">
        <v>2226</v>
      </c>
      <c r="H43" s="76">
        <v>11696669</v>
      </c>
      <c r="I43" s="76">
        <v>9000</v>
      </c>
    </row>
    <row r="44" spans="1:9" hidden="1">
      <c r="A44" s="76">
        <v>43</v>
      </c>
      <c r="B44" s="76" t="s">
        <v>1738</v>
      </c>
      <c r="C44" s="76" t="s">
        <v>1739</v>
      </c>
      <c r="D44" s="76" t="s">
        <v>466</v>
      </c>
      <c r="E44" s="76" t="s">
        <v>1600</v>
      </c>
      <c r="F44" s="76" t="s">
        <v>1674</v>
      </c>
      <c r="G44" s="77" t="s">
        <v>2227</v>
      </c>
      <c r="H44" s="76">
        <v>22405233</v>
      </c>
      <c r="I44" s="76">
        <v>9000</v>
      </c>
    </row>
    <row r="45" spans="1:9" hidden="1">
      <c r="A45" s="76">
        <v>44</v>
      </c>
      <c r="B45" s="76" t="s">
        <v>1740</v>
      </c>
      <c r="C45" s="76" t="s">
        <v>1574</v>
      </c>
      <c r="D45" s="76" t="s">
        <v>466</v>
      </c>
      <c r="E45" s="76" t="s">
        <v>1603</v>
      </c>
      <c r="F45" s="76" t="s">
        <v>1674</v>
      </c>
      <c r="G45" s="77" t="s">
        <v>2228</v>
      </c>
      <c r="H45" s="76">
        <v>21481579</v>
      </c>
      <c r="I45" s="76">
        <v>9000</v>
      </c>
    </row>
    <row r="46" spans="1:9" hidden="1">
      <c r="A46" s="76">
        <v>45</v>
      </c>
      <c r="B46" s="76" t="s">
        <v>1741</v>
      </c>
      <c r="C46" s="76" t="s">
        <v>1531</v>
      </c>
      <c r="D46" s="76" t="s">
        <v>466</v>
      </c>
      <c r="E46" s="76" t="s">
        <v>1609</v>
      </c>
      <c r="F46" s="76" t="s">
        <v>1674</v>
      </c>
      <c r="G46" s="77" t="s">
        <v>2229</v>
      </c>
      <c r="H46" s="76">
        <v>37062950</v>
      </c>
      <c r="I46" s="76">
        <v>9000</v>
      </c>
    </row>
    <row r="47" spans="1:9" hidden="1">
      <c r="A47" s="76">
        <v>46</v>
      </c>
      <c r="B47" s="76" t="s">
        <v>1742</v>
      </c>
      <c r="C47" s="76" t="s">
        <v>473</v>
      </c>
      <c r="D47" s="76" t="s">
        <v>466</v>
      </c>
      <c r="E47" s="76" t="s">
        <v>1608</v>
      </c>
      <c r="F47" s="76" t="s">
        <v>1674</v>
      </c>
      <c r="G47" s="77" t="s">
        <v>2230</v>
      </c>
      <c r="H47" s="76">
        <v>21562653</v>
      </c>
      <c r="I47" s="76">
        <v>9000</v>
      </c>
    </row>
    <row r="48" spans="1:9" hidden="1">
      <c r="A48" s="76">
        <v>47</v>
      </c>
      <c r="B48" s="76" t="s">
        <v>1743</v>
      </c>
      <c r="C48" s="76" t="s">
        <v>1744</v>
      </c>
      <c r="D48" s="76" t="s">
        <v>466</v>
      </c>
      <c r="E48" s="76" t="s">
        <v>1612</v>
      </c>
      <c r="F48" s="76" t="s">
        <v>1674</v>
      </c>
      <c r="G48" s="77" t="s">
        <v>2231</v>
      </c>
      <c r="H48" s="76">
        <v>31624541</v>
      </c>
      <c r="I48" s="76">
        <v>9000</v>
      </c>
    </row>
    <row r="49" spans="1:9" hidden="1">
      <c r="A49" s="76">
        <v>48</v>
      </c>
      <c r="B49" s="76" t="s">
        <v>1745</v>
      </c>
      <c r="C49" s="76" t="s">
        <v>231</v>
      </c>
      <c r="D49" s="76" t="s">
        <v>466</v>
      </c>
      <c r="E49" s="76" t="s">
        <v>1600</v>
      </c>
      <c r="F49" s="76" t="s">
        <v>1674</v>
      </c>
      <c r="G49" s="77" t="s">
        <v>2232</v>
      </c>
      <c r="H49" s="76">
        <v>22269926</v>
      </c>
      <c r="I49" s="76">
        <v>9000</v>
      </c>
    </row>
    <row r="50" spans="1:9" hidden="1">
      <c r="A50" s="76">
        <v>49</v>
      </c>
      <c r="B50" s="76" t="s">
        <v>1746</v>
      </c>
      <c r="C50" s="76" t="s">
        <v>1747</v>
      </c>
      <c r="D50" s="76" t="s">
        <v>466</v>
      </c>
      <c r="E50" s="76" t="s">
        <v>1611</v>
      </c>
      <c r="F50" s="76" t="s">
        <v>1674</v>
      </c>
      <c r="G50" s="77" t="s">
        <v>2233</v>
      </c>
      <c r="H50" s="76">
        <v>33832864</v>
      </c>
      <c r="I50" s="76">
        <v>9000</v>
      </c>
    </row>
    <row r="51" spans="1:9" hidden="1">
      <c r="A51" s="76">
        <v>50</v>
      </c>
      <c r="B51" s="76" t="s">
        <v>1748</v>
      </c>
      <c r="C51" s="76" t="s">
        <v>1749</v>
      </c>
      <c r="D51" s="76" t="s">
        <v>466</v>
      </c>
      <c r="E51" s="76" t="s">
        <v>1604</v>
      </c>
      <c r="F51" s="76" t="s">
        <v>1674</v>
      </c>
      <c r="G51" s="77" t="s">
        <v>2234</v>
      </c>
      <c r="H51" s="76">
        <v>26899287</v>
      </c>
      <c r="I51" s="76">
        <v>9000</v>
      </c>
    </row>
    <row r="52" spans="1:9" hidden="1">
      <c r="A52" s="76">
        <v>51</v>
      </c>
      <c r="B52" s="76" t="s">
        <v>1750</v>
      </c>
      <c r="C52" s="76" t="s">
        <v>1751</v>
      </c>
      <c r="D52" s="76" t="s">
        <v>466</v>
      </c>
      <c r="E52" s="76" t="s">
        <v>1607</v>
      </c>
      <c r="F52" s="76" t="s">
        <v>1690</v>
      </c>
      <c r="G52" s="77" t="s">
        <v>2235</v>
      </c>
      <c r="H52" s="76">
        <v>16017320</v>
      </c>
      <c r="I52" s="76">
        <v>9000</v>
      </c>
    </row>
    <row r="53" spans="1:9" hidden="1">
      <c r="A53" s="76">
        <v>52</v>
      </c>
      <c r="B53" s="76" t="s">
        <v>1752</v>
      </c>
      <c r="C53" s="76" t="s">
        <v>913</v>
      </c>
      <c r="D53" s="76" t="s">
        <v>466</v>
      </c>
      <c r="E53" s="76" t="s">
        <v>1600</v>
      </c>
      <c r="F53" s="76" t="s">
        <v>1690</v>
      </c>
      <c r="G53" s="77" t="s">
        <v>2236</v>
      </c>
      <c r="H53" s="76">
        <v>12885466</v>
      </c>
      <c r="I53" s="76">
        <v>9000</v>
      </c>
    </row>
    <row r="54" spans="1:9" hidden="1">
      <c r="A54" s="76">
        <v>53</v>
      </c>
      <c r="B54" s="76" t="s">
        <v>1754</v>
      </c>
      <c r="C54" s="76" t="s">
        <v>1755</v>
      </c>
      <c r="D54" s="76" t="s">
        <v>466</v>
      </c>
      <c r="E54" s="76" t="s">
        <v>1605</v>
      </c>
      <c r="F54" s="76" t="s">
        <v>1690</v>
      </c>
      <c r="G54" s="77" t="s">
        <v>2237</v>
      </c>
      <c r="H54" s="76">
        <v>27865595</v>
      </c>
      <c r="I54" s="76">
        <v>9000</v>
      </c>
    </row>
    <row r="55" spans="1:9" hidden="1">
      <c r="A55" s="76">
        <v>54</v>
      </c>
      <c r="B55" s="76" t="s">
        <v>1756</v>
      </c>
      <c r="C55" s="76" t="s">
        <v>1749</v>
      </c>
      <c r="D55" s="76" t="s">
        <v>466</v>
      </c>
      <c r="E55" s="76" t="s">
        <v>1604</v>
      </c>
      <c r="F55" s="76" t="s">
        <v>1690</v>
      </c>
      <c r="G55" s="77" t="s">
        <v>2238</v>
      </c>
      <c r="H55" s="76">
        <v>10899326</v>
      </c>
      <c r="I55" s="76">
        <v>9000</v>
      </c>
    </row>
    <row r="56" spans="1:9" hidden="1">
      <c r="A56" s="76">
        <v>55</v>
      </c>
      <c r="B56" s="76" t="s">
        <v>1757</v>
      </c>
      <c r="C56" s="76" t="s">
        <v>1758</v>
      </c>
      <c r="D56" s="76" t="s">
        <v>466</v>
      </c>
      <c r="E56" s="76" t="s">
        <v>1604</v>
      </c>
      <c r="F56" s="76" t="s">
        <v>1690</v>
      </c>
      <c r="G56" s="77" t="s">
        <v>2239</v>
      </c>
      <c r="H56" s="76">
        <v>11258795</v>
      </c>
      <c r="I56" s="76">
        <v>9000</v>
      </c>
    </row>
    <row r="57" spans="1:9" hidden="1">
      <c r="A57" s="76">
        <v>56</v>
      </c>
      <c r="B57" s="76" t="s">
        <v>1759</v>
      </c>
      <c r="C57" s="76" t="s">
        <v>1574</v>
      </c>
      <c r="D57" s="76" t="s">
        <v>466</v>
      </c>
      <c r="E57" s="76" t="s">
        <v>1603</v>
      </c>
      <c r="F57" s="76" t="s">
        <v>1690</v>
      </c>
      <c r="G57" s="77" t="s">
        <v>2240</v>
      </c>
      <c r="H57" s="76">
        <v>21717537</v>
      </c>
      <c r="I57" s="76">
        <v>9000</v>
      </c>
    </row>
    <row r="58" spans="1:9" hidden="1">
      <c r="A58" s="76">
        <v>57</v>
      </c>
      <c r="B58" s="76" t="s">
        <v>1760</v>
      </c>
      <c r="C58" s="76" t="s">
        <v>1739</v>
      </c>
      <c r="D58" s="76" t="s">
        <v>466</v>
      </c>
      <c r="E58" s="76" t="s">
        <v>1600</v>
      </c>
      <c r="F58" s="76" t="s">
        <v>1690</v>
      </c>
      <c r="G58" s="77" t="s">
        <v>2241</v>
      </c>
      <c r="H58" s="76">
        <v>11257518</v>
      </c>
      <c r="I58" s="76">
        <v>9000</v>
      </c>
    </row>
    <row r="59" spans="1:9" hidden="1">
      <c r="A59" s="76">
        <v>58</v>
      </c>
      <c r="B59" s="76" t="s">
        <v>1761</v>
      </c>
      <c r="C59" s="76" t="s">
        <v>1749</v>
      </c>
      <c r="D59" s="76" t="s">
        <v>466</v>
      </c>
      <c r="E59" s="76" t="s">
        <v>1604</v>
      </c>
      <c r="F59" s="76" t="s">
        <v>1797</v>
      </c>
      <c r="G59" s="77" t="s">
        <v>2242</v>
      </c>
      <c r="H59" s="76">
        <v>38178967</v>
      </c>
      <c r="I59" s="76">
        <v>9000</v>
      </c>
    </row>
    <row r="60" spans="1:9" hidden="1">
      <c r="A60" s="76">
        <v>59</v>
      </c>
      <c r="B60" s="76" t="s">
        <v>1762</v>
      </c>
      <c r="C60" s="76" t="s">
        <v>1763</v>
      </c>
      <c r="D60" s="76" t="s">
        <v>466</v>
      </c>
      <c r="E60" s="76" t="s">
        <v>1611</v>
      </c>
      <c r="F60" s="76" t="s">
        <v>1690</v>
      </c>
      <c r="G60" s="77" t="s">
        <v>2243</v>
      </c>
      <c r="H60" s="76">
        <v>14447987</v>
      </c>
      <c r="I60" s="76">
        <v>9000</v>
      </c>
    </row>
    <row r="61" spans="1:9" hidden="1">
      <c r="A61" s="76">
        <v>60</v>
      </c>
      <c r="B61" s="76" t="s">
        <v>1764</v>
      </c>
      <c r="C61" s="76" t="s">
        <v>1731</v>
      </c>
      <c r="D61" s="76" t="s">
        <v>466</v>
      </c>
      <c r="E61" s="76" t="s">
        <v>1602</v>
      </c>
      <c r="F61" s="76" t="s">
        <v>1690</v>
      </c>
      <c r="G61" s="77" t="s">
        <v>2244</v>
      </c>
      <c r="H61" s="76">
        <v>14446212</v>
      </c>
      <c r="I61" s="76">
        <v>9000</v>
      </c>
    </row>
    <row r="62" spans="1:9" hidden="1">
      <c r="A62" s="76">
        <v>61</v>
      </c>
      <c r="B62" s="76" t="s">
        <v>1765</v>
      </c>
      <c r="C62" s="76" t="s">
        <v>1749</v>
      </c>
      <c r="D62" s="76" t="s">
        <v>466</v>
      </c>
      <c r="E62" s="76" t="s">
        <v>1604</v>
      </c>
      <c r="F62" s="76" t="s">
        <v>1690</v>
      </c>
      <c r="G62" s="77" t="s">
        <v>2245</v>
      </c>
      <c r="H62" s="76">
        <v>16027636</v>
      </c>
      <c r="I62" s="76">
        <v>9000</v>
      </c>
    </row>
    <row r="63" spans="1:9" hidden="1">
      <c r="A63" s="76">
        <v>62</v>
      </c>
      <c r="B63" s="76" t="s">
        <v>1766</v>
      </c>
      <c r="C63" s="76" t="s">
        <v>1767</v>
      </c>
      <c r="D63" s="76" t="s">
        <v>466</v>
      </c>
      <c r="E63" s="76" t="s">
        <v>1601</v>
      </c>
      <c r="F63" s="76" t="s">
        <v>1690</v>
      </c>
      <c r="G63" s="77" t="s">
        <v>2246</v>
      </c>
      <c r="H63" s="76">
        <v>12734793</v>
      </c>
      <c r="I63" s="76">
        <v>9000</v>
      </c>
    </row>
    <row r="64" spans="1:9" hidden="1">
      <c r="A64" s="76">
        <v>63</v>
      </c>
      <c r="B64" s="76" t="s">
        <v>1768</v>
      </c>
      <c r="C64" s="76" t="s">
        <v>1735</v>
      </c>
      <c r="D64" s="76" t="s">
        <v>466</v>
      </c>
      <c r="E64" s="76" t="s">
        <v>1603</v>
      </c>
      <c r="F64" s="76" t="s">
        <v>1690</v>
      </c>
      <c r="G64" s="77" t="s">
        <v>2247</v>
      </c>
      <c r="H64" s="76">
        <v>21344646</v>
      </c>
      <c r="I64" s="76">
        <v>9000</v>
      </c>
    </row>
    <row r="65" spans="1:9" hidden="1">
      <c r="A65" s="76">
        <v>64</v>
      </c>
      <c r="B65" s="76" t="s">
        <v>1769</v>
      </c>
      <c r="C65" s="76" t="s">
        <v>1770</v>
      </c>
      <c r="D65" s="76" t="s">
        <v>466</v>
      </c>
      <c r="E65" s="76" t="s">
        <v>1602</v>
      </c>
      <c r="F65" s="76" t="s">
        <v>1690</v>
      </c>
      <c r="G65" s="77" t="s">
        <v>2248</v>
      </c>
      <c r="H65" s="76">
        <v>26999908</v>
      </c>
      <c r="I65" s="76">
        <v>9000</v>
      </c>
    </row>
    <row r="66" spans="1:9" hidden="1">
      <c r="A66" s="76">
        <v>65</v>
      </c>
      <c r="B66" s="76" t="s">
        <v>1771</v>
      </c>
      <c r="C66" s="76" t="s">
        <v>1575</v>
      </c>
      <c r="D66" s="76" t="s">
        <v>466</v>
      </c>
      <c r="E66" s="76" t="s">
        <v>1607</v>
      </c>
      <c r="F66" s="76" t="s">
        <v>1690</v>
      </c>
      <c r="G66" s="77" t="s">
        <v>2249</v>
      </c>
      <c r="H66" s="76">
        <v>2394339</v>
      </c>
      <c r="I66" s="76">
        <v>9000</v>
      </c>
    </row>
    <row r="67" spans="1:9" hidden="1">
      <c r="A67" s="76">
        <v>66</v>
      </c>
      <c r="B67" s="76" t="s">
        <v>1772</v>
      </c>
      <c r="C67" s="76" t="s">
        <v>1773</v>
      </c>
      <c r="D67" s="76" t="s">
        <v>466</v>
      </c>
      <c r="E67" s="76" t="s">
        <v>1600</v>
      </c>
      <c r="F67" s="76" t="s">
        <v>1690</v>
      </c>
      <c r="G67" s="77" t="s">
        <v>2250</v>
      </c>
      <c r="H67" s="76">
        <v>7719528</v>
      </c>
      <c r="I67" s="76">
        <v>9000</v>
      </c>
    </row>
    <row r="68" spans="1:9" hidden="1">
      <c r="A68" s="76">
        <v>67</v>
      </c>
      <c r="B68" s="76" t="s">
        <v>1774</v>
      </c>
      <c r="C68" s="76" t="s">
        <v>1744</v>
      </c>
      <c r="D68" s="76" t="s">
        <v>466</v>
      </c>
      <c r="E68" s="76" t="s">
        <v>1612</v>
      </c>
      <c r="F68" s="76" t="s">
        <v>1690</v>
      </c>
      <c r="G68" s="77" t="s">
        <v>2251</v>
      </c>
      <c r="H68" s="76">
        <v>12621746</v>
      </c>
      <c r="I68" s="76">
        <v>9000</v>
      </c>
    </row>
    <row r="69" spans="1:9" s="255" customFormat="1" hidden="1">
      <c r="A69" s="253">
        <v>68</v>
      </c>
      <c r="B69" s="253" t="s">
        <v>1775</v>
      </c>
      <c r="C69" s="253" t="s">
        <v>1744</v>
      </c>
      <c r="D69" s="253" t="s">
        <v>466</v>
      </c>
      <c r="E69" s="253" t="s">
        <v>1612</v>
      </c>
      <c r="F69" s="253" t="s">
        <v>1690</v>
      </c>
      <c r="G69" s="254" t="s">
        <v>2252</v>
      </c>
      <c r="H69" s="253">
        <v>28146855</v>
      </c>
      <c r="I69" s="253">
        <v>9000</v>
      </c>
    </row>
    <row r="70" spans="1:9" hidden="1">
      <c r="A70" s="76">
        <v>69</v>
      </c>
      <c r="B70" s="76" t="s">
        <v>1776</v>
      </c>
      <c r="C70" s="76" t="s">
        <v>1777</v>
      </c>
      <c r="D70" s="76" t="s">
        <v>466</v>
      </c>
      <c r="E70" s="76" t="s">
        <v>1607</v>
      </c>
      <c r="F70" s="76" t="s">
        <v>1690</v>
      </c>
      <c r="G70" s="77" t="s">
        <v>2253</v>
      </c>
      <c r="H70" s="76">
        <v>21965198</v>
      </c>
      <c r="I70" s="76">
        <v>9000</v>
      </c>
    </row>
    <row r="71" spans="1:9" hidden="1">
      <c r="A71" s="76">
        <v>70</v>
      </c>
      <c r="B71" s="76" t="s">
        <v>1778</v>
      </c>
      <c r="C71" s="76" t="s">
        <v>1779</v>
      </c>
      <c r="D71" s="76" t="s">
        <v>466</v>
      </c>
      <c r="E71" s="76" t="s">
        <v>1608</v>
      </c>
      <c r="F71" s="76" t="s">
        <v>1690</v>
      </c>
      <c r="G71" s="77" t="s">
        <v>2254</v>
      </c>
      <c r="H71" s="76">
        <v>2378794</v>
      </c>
      <c r="I71" s="76">
        <v>9000</v>
      </c>
    </row>
    <row r="72" spans="1:9" hidden="1">
      <c r="A72" s="76">
        <v>71</v>
      </c>
      <c r="B72" s="76" t="s">
        <v>1780</v>
      </c>
      <c r="C72" s="76" t="s">
        <v>927</v>
      </c>
      <c r="D72" s="76" t="s">
        <v>466</v>
      </c>
      <c r="E72" s="76" t="s">
        <v>1601</v>
      </c>
      <c r="F72" s="76" t="s">
        <v>1690</v>
      </c>
      <c r="G72" s="77" t="s">
        <v>2255</v>
      </c>
      <c r="H72" s="76">
        <v>20341102</v>
      </c>
      <c r="I72" s="76">
        <v>9000</v>
      </c>
    </row>
    <row r="73" spans="1:9" hidden="1">
      <c r="A73" s="76">
        <v>72</v>
      </c>
      <c r="B73" s="76" t="s">
        <v>1781</v>
      </c>
      <c r="C73" s="76" t="s">
        <v>1735</v>
      </c>
      <c r="D73" s="76" t="s">
        <v>466</v>
      </c>
      <c r="E73" s="76" t="s">
        <v>1603</v>
      </c>
      <c r="F73" s="76" t="s">
        <v>1690</v>
      </c>
      <c r="G73" s="77" t="s">
        <v>2256</v>
      </c>
      <c r="H73" s="76">
        <v>21171199</v>
      </c>
      <c r="I73" s="76">
        <v>9000</v>
      </c>
    </row>
    <row r="74" spans="1:9" hidden="1">
      <c r="A74" s="76">
        <v>73</v>
      </c>
      <c r="B74" s="76" t="s">
        <v>1782</v>
      </c>
      <c r="C74" s="76" t="s">
        <v>1737</v>
      </c>
      <c r="D74" s="76" t="s">
        <v>466</v>
      </c>
      <c r="E74" s="76" t="s">
        <v>1601</v>
      </c>
      <c r="F74" s="76" t="s">
        <v>1690</v>
      </c>
      <c r="G74" s="77" t="s">
        <v>2257</v>
      </c>
      <c r="H74" s="76">
        <v>11490200</v>
      </c>
      <c r="I74" s="76">
        <v>9000</v>
      </c>
    </row>
    <row r="75" spans="1:9" hidden="1">
      <c r="A75" s="76">
        <v>74</v>
      </c>
      <c r="B75" s="76" t="s">
        <v>1783</v>
      </c>
      <c r="C75" s="76" t="s">
        <v>1784</v>
      </c>
      <c r="D75" s="76" t="s">
        <v>466</v>
      </c>
      <c r="E75" s="76" t="s">
        <v>1604</v>
      </c>
      <c r="F75" s="76" t="s">
        <v>1690</v>
      </c>
      <c r="G75" s="77" t="s">
        <v>2258</v>
      </c>
      <c r="H75" s="76">
        <v>29928385</v>
      </c>
      <c r="I75" s="76">
        <v>9000</v>
      </c>
    </row>
    <row r="76" spans="1:9" hidden="1">
      <c r="A76" s="76">
        <v>75</v>
      </c>
      <c r="B76" s="76" t="s">
        <v>1939</v>
      </c>
      <c r="C76" s="76" t="s">
        <v>231</v>
      </c>
      <c r="D76" s="76" t="s">
        <v>466</v>
      </c>
      <c r="E76" s="76" t="s">
        <v>1600</v>
      </c>
      <c r="F76" s="76" t="s">
        <v>1690</v>
      </c>
      <c r="G76" s="77" t="s">
        <v>2259</v>
      </c>
      <c r="H76" s="76">
        <v>24285474</v>
      </c>
      <c r="I76" s="76">
        <v>9000</v>
      </c>
    </row>
    <row r="77" spans="1:9" hidden="1">
      <c r="A77" s="76">
        <v>76</v>
      </c>
      <c r="B77" s="76" t="s">
        <v>1785</v>
      </c>
      <c r="C77" s="76" t="s">
        <v>1786</v>
      </c>
      <c r="D77" s="76" t="s">
        <v>466</v>
      </c>
      <c r="E77" s="76" t="s">
        <v>1609</v>
      </c>
      <c r="F77" s="76" t="s">
        <v>1690</v>
      </c>
      <c r="G77" s="77" t="s">
        <v>2260</v>
      </c>
      <c r="H77" s="76">
        <v>5094310</v>
      </c>
      <c r="I77" s="76">
        <v>9000</v>
      </c>
    </row>
    <row r="78" spans="1:9" hidden="1">
      <c r="A78" s="76">
        <v>77</v>
      </c>
      <c r="B78" s="76" t="s">
        <v>1787</v>
      </c>
      <c r="C78" s="76" t="s">
        <v>1755</v>
      </c>
      <c r="D78" s="76" t="s">
        <v>466</v>
      </c>
      <c r="E78" s="76" t="s">
        <v>1605</v>
      </c>
      <c r="F78" s="76" t="s">
        <v>1690</v>
      </c>
      <c r="G78" s="77" t="s">
        <v>2261</v>
      </c>
      <c r="H78" s="76">
        <v>31978711</v>
      </c>
      <c r="I78" s="76">
        <v>9000</v>
      </c>
    </row>
    <row r="79" spans="1:9" hidden="1">
      <c r="A79" s="76">
        <v>78</v>
      </c>
      <c r="B79" s="76" t="s">
        <v>1788</v>
      </c>
      <c r="C79" s="76" t="s">
        <v>1789</v>
      </c>
      <c r="D79" s="76" t="s">
        <v>466</v>
      </c>
      <c r="E79" s="76" t="s">
        <v>1604</v>
      </c>
      <c r="F79" s="76" t="s">
        <v>1690</v>
      </c>
      <c r="G79" s="77" t="s">
        <v>2262</v>
      </c>
      <c r="H79" s="76">
        <v>11056483</v>
      </c>
      <c r="I79" s="76">
        <v>9000</v>
      </c>
    </row>
    <row r="80" spans="1:9" hidden="1">
      <c r="A80" s="76">
        <v>79</v>
      </c>
      <c r="B80" s="76" t="s">
        <v>1790</v>
      </c>
      <c r="C80" s="76" t="s">
        <v>1791</v>
      </c>
      <c r="D80" s="76" t="s">
        <v>466</v>
      </c>
      <c r="E80" s="76" t="s">
        <v>1604</v>
      </c>
      <c r="F80" s="76" t="s">
        <v>1690</v>
      </c>
      <c r="G80" s="77" t="s">
        <v>2263</v>
      </c>
      <c r="H80" s="76">
        <v>11156814</v>
      </c>
      <c r="I80" s="76">
        <v>9000</v>
      </c>
    </row>
    <row r="81" spans="1:9" hidden="1">
      <c r="A81" s="76">
        <v>80</v>
      </c>
      <c r="B81" s="76" t="s">
        <v>1792</v>
      </c>
      <c r="C81" s="76" t="s">
        <v>1941</v>
      </c>
      <c r="D81" s="76" t="s">
        <v>466</v>
      </c>
      <c r="E81" s="76" t="s">
        <v>1601</v>
      </c>
      <c r="F81" s="76" t="s">
        <v>1690</v>
      </c>
      <c r="G81" s="77" t="s">
        <v>2264</v>
      </c>
      <c r="H81" s="76">
        <v>11542890</v>
      </c>
      <c r="I81" s="76">
        <v>9000</v>
      </c>
    </row>
    <row r="82" spans="1:9" hidden="1">
      <c r="A82" s="76">
        <v>81</v>
      </c>
      <c r="B82" s="76" t="s">
        <v>1793</v>
      </c>
      <c r="C82" s="76" t="s">
        <v>1576</v>
      </c>
      <c r="D82" s="76" t="s">
        <v>466</v>
      </c>
      <c r="E82" s="76" t="s">
        <v>1604</v>
      </c>
      <c r="F82" s="76" t="s">
        <v>1690</v>
      </c>
      <c r="G82" s="77" t="s">
        <v>2265</v>
      </c>
      <c r="H82" s="76">
        <v>21588731</v>
      </c>
      <c r="I82" s="76">
        <v>9000</v>
      </c>
    </row>
    <row r="83" spans="1:9" hidden="1">
      <c r="A83" s="76">
        <v>82</v>
      </c>
      <c r="B83" s="76" t="s">
        <v>1794</v>
      </c>
      <c r="C83" s="76" t="s">
        <v>186</v>
      </c>
      <c r="D83" s="76" t="s">
        <v>466</v>
      </c>
      <c r="E83" s="76" t="s">
        <v>1609</v>
      </c>
      <c r="F83" s="76" t="s">
        <v>1690</v>
      </c>
      <c r="G83" s="77" t="s">
        <v>2266</v>
      </c>
      <c r="H83" s="76">
        <v>30906180</v>
      </c>
      <c r="I83" s="76">
        <v>9000</v>
      </c>
    </row>
    <row r="84" spans="1:9" hidden="1">
      <c r="A84" s="76">
        <v>83</v>
      </c>
      <c r="B84" s="76" t="s">
        <v>1795</v>
      </c>
      <c r="C84" s="76" t="s">
        <v>1751</v>
      </c>
      <c r="D84" s="76" t="s">
        <v>466</v>
      </c>
      <c r="E84" s="76" t="s">
        <v>1607</v>
      </c>
      <c r="F84" s="76" t="s">
        <v>1674</v>
      </c>
      <c r="G84" s="77" t="s">
        <v>2267</v>
      </c>
      <c r="H84" s="76">
        <v>23407287</v>
      </c>
      <c r="I84" s="76">
        <v>10000</v>
      </c>
    </row>
    <row r="85" spans="1:9" hidden="1">
      <c r="A85" s="76">
        <v>84</v>
      </c>
      <c r="B85" s="76" t="s">
        <v>1796</v>
      </c>
      <c r="C85" s="76" t="s">
        <v>1942</v>
      </c>
      <c r="D85" s="76" t="s">
        <v>466</v>
      </c>
      <c r="E85" s="76" t="s">
        <v>1604</v>
      </c>
      <c r="F85" s="76" t="s">
        <v>1690</v>
      </c>
      <c r="G85" s="77" t="s">
        <v>2268</v>
      </c>
      <c r="H85" s="76">
        <v>39091054</v>
      </c>
      <c r="I85" s="76">
        <v>9000</v>
      </c>
    </row>
    <row r="86" spans="1:9" hidden="1">
      <c r="A86" s="76">
        <v>85</v>
      </c>
      <c r="B86" s="76" t="s">
        <v>1798</v>
      </c>
      <c r="C86" s="76" t="s">
        <v>1747</v>
      </c>
      <c r="D86" s="76" t="s">
        <v>466</v>
      </c>
      <c r="E86" s="76" t="s">
        <v>1611</v>
      </c>
      <c r="F86" s="76" t="s">
        <v>1690</v>
      </c>
      <c r="G86" s="77" t="s">
        <v>2269</v>
      </c>
      <c r="H86" s="76">
        <v>23286556</v>
      </c>
      <c r="I86" s="76">
        <v>9000</v>
      </c>
    </row>
    <row r="87" spans="1:9" hidden="1">
      <c r="A87" s="76">
        <v>86</v>
      </c>
      <c r="B87" s="76" t="s">
        <v>1799</v>
      </c>
      <c r="C87" s="76" t="s">
        <v>1800</v>
      </c>
      <c r="D87" s="76" t="s">
        <v>466</v>
      </c>
      <c r="E87" s="76" t="s">
        <v>1600</v>
      </c>
      <c r="F87" s="76" t="s">
        <v>1690</v>
      </c>
      <c r="G87" s="77" t="s">
        <v>2270</v>
      </c>
      <c r="H87" s="76">
        <v>25778180</v>
      </c>
      <c r="I87" s="76">
        <v>9000</v>
      </c>
    </row>
    <row r="88" spans="1:9" hidden="1">
      <c r="A88" s="76">
        <v>87</v>
      </c>
      <c r="B88" s="76" t="s">
        <v>1801</v>
      </c>
      <c r="C88" s="76" t="s">
        <v>1802</v>
      </c>
      <c r="D88" s="76" t="s">
        <v>1669</v>
      </c>
      <c r="E88" s="76" t="s">
        <v>1921</v>
      </c>
      <c r="F88" s="76" t="s">
        <v>1674</v>
      </c>
      <c r="G88" s="77" t="s">
        <v>2271</v>
      </c>
      <c r="H88" s="76">
        <v>29393336</v>
      </c>
      <c r="I88" s="76">
        <v>9000</v>
      </c>
    </row>
    <row r="89" spans="1:9" hidden="1">
      <c r="A89" s="76">
        <v>88</v>
      </c>
      <c r="B89" s="76" t="s">
        <v>1803</v>
      </c>
      <c r="C89" s="76" t="s">
        <v>1802</v>
      </c>
      <c r="D89" s="76" t="s">
        <v>1669</v>
      </c>
      <c r="E89" s="76" t="s">
        <v>1921</v>
      </c>
      <c r="F89" s="76" t="s">
        <v>1690</v>
      </c>
      <c r="G89" s="77" t="s">
        <v>2272</v>
      </c>
      <c r="H89" s="76">
        <v>20349621</v>
      </c>
      <c r="I89" s="76">
        <v>9000</v>
      </c>
    </row>
    <row r="90" spans="1:9" s="255" customFormat="1" hidden="1">
      <c r="A90" s="253">
        <v>89</v>
      </c>
      <c r="B90" s="253" t="s">
        <v>1804</v>
      </c>
      <c r="C90" s="253" t="s">
        <v>1805</v>
      </c>
      <c r="D90" s="253" t="s">
        <v>1669</v>
      </c>
      <c r="E90" s="253" t="s">
        <v>1922</v>
      </c>
      <c r="F90" s="253" t="s">
        <v>1690</v>
      </c>
      <c r="G90" s="254" t="s">
        <v>2273</v>
      </c>
      <c r="H90" s="253">
        <v>24104694</v>
      </c>
      <c r="I90" s="253">
        <v>9000</v>
      </c>
    </row>
    <row r="91" spans="1:9" hidden="1">
      <c r="A91" s="76">
        <v>90</v>
      </c>
      <c r="B91" s="76" t="s">
        <v>1806</v>
      </c>
      <c r="C91" s="76" t="s">
        <v>1807</v>
      </c>
      <c r="D91" s="76" t="s">
        <v>1669</v>
      </c>
      <c r="E91" s="76" t="s">
        <v>1921</v>
      </c>
      <c r="F91" s="76" t="s">
        <v>1690</v>
      </c>
      <c r="G91" s="77" t="s">
        <v>2274</v>
      </c>
      <c r="H91" s="76">
        <v>9256924</v>
      </c>
      <c r="I91" s="76">
        <v>9000</v>
      </c>
    </row>
    <row r="92" spans="1:9" hidden="1">
      <c r="A92" s="76">
        <v>91</v>
      </c>
      <c r="B92" s="76" t="s">
        <v>1808</v>
      </c>
      <c r="C92" s="76" t="s">
        <v>1807</v>
      </c>
      <c r="D92" s="76" t="s">
        <v>1669</v>
      </c>
      <c r="E92" s="76" t="s">
        <v>1921</v>
      </c>
      <c r="F92" s="76" t="s">
        <v>1674</v>
      </c>
      <c r="G92" s="77" t="s">
        <v>2275</v>
      </c>
      <c r="H92" s="76">
        <v>21577433</v>
      </c>
      <c r="I92" s="76">
        <v>9000</v>
      </c>
    </row>
    <row r="93" spans="1:9" hidden="1">
      <c r="A93" s="76">
        <v>92</v>
      </c>
      <c r="B93" s="76" t="s">
        <v>1809</v>
      </c>
      <c r="C93" s="76" t="s">
        <v>1810</v>
      </c>
      <c r="D93" s="76" t="s">
        <v>1669</v>
      </c>
      <c r="E93" s="76" t="s">
        <v>1922</v>
      </c>
      <c r="F93" s="76" t="s">
        <v>1690</v>
      </c>
      <c r="G93" s="77" t="s">
        <v>2276</v>
      </c>
      <c r="H93" s="76">
        <v>31287914</v>
      </c>
      <c r="I93" s="76">
        <v>9000</v>
      </c>
    </row>
    <row r="94" spans="1:9" hidden="1">
      <c r="A94" s="76">
        <v>93</v>
      </c>
      <c r="B94" s="76" t="s">
        <v>1811</v>
      </c>
      <c r="C94" s="76" t="s">
        <v>1812</v>
      </c>
      <c r="D94" s="76" t="s">
        <v>1669</v>
      </c>
      <c r="E94" s="76" t="s">
        <v>1923</v>
      </c>
      <c r="F94" s="76" t="s">
        <v>1690</v>
      </c>
      <c r="G94" s="77" t="s">
        <v>2277</v>
      </c>
      <c r="H94" s="76">
        <v>26130230</v>
      </c>
      <c r="I94" s="76">
        <v>9000</v>
      </c>
    </row>
    <row r="95" spans="1:9" hidden="1">
      <c r="A95" s="76">
        <v>94</v>
      </c>
      <c r="B95" s="76" t="s">
        <v>1813</v>
      </c>
      <c r="C95" s="76" t="s">
        <v>1814</v>
      </c>
      <c r="D95" s="76" t="s">
        <v>1669</v>
      </c>
      <c r="E95" s="76" t="s">
        <v>1924</v>
      </c>
      <c r="F95" s="76" t="s">
        <v>1690</v>
      </c>
      <c r="G95" s="77" t="s">
        <v>2278</v>
      </c>
      <c r="H95" s="76">
        <v>24298745</v>
      </c>
      <c r="I95" s="76">
        <v>9000</v>
      </c>
    </row>
    <row r="96" spans="1:9" hidden="1">
      <c r="A96" s="76">
        <v>95</v>
      </c>
      <c r="B96" s="76" t="s">
        <v>1815</v>
      </c>
      <c r="C96" s="76" t="s">
        <v>1816</v>
      </c>
      <c r="D96" s="76" t="s">
        <v>1669</v>
      </c>
      <c r="E96" s="76" t="s">
        <v>1925</v>
      </c>
      <c r="F96" s="76" t="s">
        <v>1690</v>
      </c>
      <c r="G96" s="77" t="s">
        <v>2279</v>
      </c>
      <c r="H96" s="76">
        <v>22286315</v>
      </c>
      <c r="I96" s="76">
        <v>9000</v>
      </c>
    </row>
    <row r="97" spans="1:9" hidden="1">
      <c r="A97" s="76">
        <v>96</v>
      </c>
      <c r="B97" s="76" t="s">
        <v>1817</v>
      </c>
      <c r="C97" s="76" t="s">
        <v>1818</v>
      </c>
      <c r="D97" s="76" t="s">
        <v>1669</v>
      </c>
      <c r="E97" s="76" t="s">
        <v>1924</v>
      </c>
      <c r="F97" s="76" t="s">
        <v>1690</v>
      </c>
      <c r="G97" s="77" t="s">
        <v>2280</v>
      </c>
      <c r="H97" s="76">
        <v>23592853</v>
      </c>
      <c r="I97" s="76">
        <v>9000</v>
      </c>
    </row>
    <row r="98" spans="1:9" hidden="1">
      <c r="A98" s="76">
        <v>97</v>
      </c>
      <c r="B98" s="76" t="s">
        <v>1819</v>
      </c>
      <c r="C98" s="76" t="s">
        <v>1820</v>
      </c>
      <c r="D98" s="76" t="s">
        <v>1669</v>
      </c>
      <c r="E98" s="76" t="s">
        <v>1922</v>
      </c>
      <c r="F98" s="76" t="s">
        <v>1690</v>
      </c>
      <c r="G98" s="77" t="s">
        <v>2281</v>
      </c>
      <c r="H98" s="76">
        <v>14477212</v>
      </c>
      <c r="I98" s="76">
        <v>9000</v>
      </c>
    </row>
    <row r="99" spans="1:9" hidden="1">
      <c r="A99" s="76">
        <v>98</v>
      </c>
      <c r="B99" s="76" t="s">
        <v>1821</v>
      </c>
      <c r="C99" s="76" t="s">
        <v>1822</v>
      </c>
      <c r="D99" s="76" t="s">
        <v>1669</v>
      </c>
      <c r="E99" s="76" t="s">
        <v>1925</v>
      </c>
      <c r="F99" s="76" t="s">
        <v>1690</v>
      </c>
      <c r="G99" s="77" t="s">
        <v>2282</v>
      </c>
      <c r="H99" s="76">
        <v>13210608</v>
      </c>
      <c r="I99" s="76">
        <v>9000</v>
      </c>
    </row>
    <row r="100" spans="1:9" hidden="1">
      <c r="A100" s="76">
        <v>99</v>
      </c>
      <c r="B100" s="76" t="s">
        <v>1823</v>
      </c>
      <c r="C100" s="76" t="s">
        <v>1824</v>
      </c>
      <c r="D100" s="76" t="s">
        <v>1669</v>
      </c>
      <c r="E100" s="76" t="s">
        <v>1923</v>
      </c>
      <c r="F100" s="76" t="s">
        <v>1674</v>
      </c>
      <c r="G100" s="77" t="s">
        <v>2283</v>
      </c>
      <c r="H100" s="76">
        <v>32842057</v>
      </c>
      <c r="I100" s="76">
        <v>9000</v>
      </c>
    </row>
    <row r="101" spans="1:9" hidden="1">
      <c r="A101" s="76">
        <v>100</v>
      </c>
      <c r="B101" s="76" t="s">
        <v>1825</v>
      </c>
      <c r="C101" s="76" t="s">
        <v>1826</v>
      </c>
      <c r="D101" s="76" t="s">
        <v>1669</v>
      </c>
      <c r="E101" s="76" t="s">
        <v>1924</v>
      </c>
      <c r="F101" s="76" t="s">
        <v>1674</v>
      </c>
      <c r="G101" s="77" t="s">
        <v>2284</v>
      </c>
      <c r="H101" s="76">
        <v>22908939</v>
      </c>
      <c r="I101" s="76">
        <v>9000</v>
      </c>
    </row>
    <row r="102" spans="1:9" hidden="1">
      <c r="A102" s="76">
        <v>101</v>
      </c>
      <c r="B102" s="76" t="s">
        <v>1827</v>
      </c>
      <c r="C102" s="76" t="s">
        <v>1826</v>
      </c>
      <c r="D102" s="76" t="s">
        <v>1669</v>
      </c>
      <c r="E102" s="76" t="s">
        <v>1924</v>
      </c>
      <c r="F102" s="76" t="s">
        <v>1690</v>
      </c>
      <c r="G102" s="77" t="s">
        <v>2285</v>
      </c>
      <c r="H102" s="76">
        <v>9554082</v>
      </c>
      <c r="I102" s="76">
        <v>9000</v>
      </c>
    </row>
    <row r="103" spans="1:9" hidden="1">
      <c r="A103" s="76">
        <v>102</v>
      </c>
      <c r="B103" s="76" t="s">
        <v>1828</v>
      </c>
      <c r="C103" s="76" t="s">
        <v>1829</v>
      </c>
      <c r="D103" s="76" t="s">
        <v>1669</v>
      </c>
      <c r="E103" s="76" t="s">
        <v>1921</v>
      </c>
      <c r="F103" s="76" t="s">
        <v>1674</v>
      </c>
      <c r="G103" s="77" t="s">
        <v>2286</v>
      </c>
      <c r="H103" s="76">
        <v>20238752</v>
      </c>
      <c r="I103" s="76">
        <v>9000</v>
      </c>
    </row>
    <row r="104" spans="1:9" hidden="1">
      <c r="A104" s="76">
        <v>103</v>
      </c>
      <c r="B104" s="76" t="s">
        <v>1830</v>
      </c>
      <c r="C104" s="76" t="s">
        <v>1829</v>
      </c>
      <c r="D104" s="76" t="s">
        <v>1669</v>
      </c>
      <c r="E104" s="76" t="s">
        <v>1921</v>
      </c>
      <c r="F104" s="76" t="s">
        <v>1690</v>
      </c>
      <c r="G104" s="77" t="s">
        <v>2287</v>
      </c>
      <c r="H104" s="76">
        <v>9505785</v>
      </c>
      <c r="I104" s="76">
        <v>9000</v>
      </c>
    </row>
    <row r="105" spans="1:9" hidden="1">
      <c r="A105" s="76">
        <v>104</v>
      </c>
      <c r="B105" s="76" t="s">
        <v>1831</v>
      </c>
      <c r="C105" s="76" t="s">
        <v>680</v>
      </c>
      <c r="D105" s="76" t="s">
        <v>1669</v>
      </c>
      <c r="E105" s="76" t="s">
        <v>1921</v>
      </c>
      <c r="F105" s="76" t="s">
        <v>1690</v>
      </c>
      <c r="G105" s="77" t="s">
        <v>2288</v>
      </c>
      <c r="H105" s="76">
        <v>12408213</v>
      </c>
      <c r="I105" s="76">
        <v>9000</v>
      </c>
    </row>
    <row r="106" spans="1:9" hidden="1">
      <c r="A106" s="76">
        <v>105</v>
      </c>
      <c r="B106" s="76" t="s">
        <v>1832</v>
      </c>
      <c r="C106" s="76" t="s">
        <v>1833</v>
      </c>
      <c r="D106" s="76" t="s">
        <v>1669</v>
      </c>
      <c r="E106" s="76" t="s">
        <v>1925</v>
      </c>
      <c r="F106" s="76" t="s">
        <v>1674</v>
      </c>
      <c r="G106" s="77" t="s">
        <v>2289</v>
      </c>
      <c r="H106" s="76">
        <v>34275408</v>
      </c>
      <c r="I106" s="76">
        <v>9000</v>
      </c>
    </row>
    <row r="107" spans="1:9" hidden="1">
      <c r="A107" s="76">
        <v>106</v>
      </c>
      <c r="B107" s="76" t="s">
        <v>1834</v>
      </c>
      <c r="C107" s="76" t="s">
        <v>1833</v>
      </c>
      <c r="D107" s="76" t="s">
        <v>1669</v>
      </c>
      <c r="E107" s="76" t="s">
        <v>1925</v>
      </c>
      <c r="F107" s="76" t="s">
        <v>1690</v>
      </c>
      <c r="G107" s="77" t="s">
        <v>2290</v>
      </c>
      <c r="H107" s="76">
        <v>13277394</v>
      </c>
      <c r="I107" s="76">
        <v>9000</v>
      </c>
    </row>
    <row r="108" spans="1:9" hidden="1">
      <c r="A108" s="76">
        <v>107</v>
      </c>
      <c r="B108" s="76" t="s">
        <v>1835</v>
      </c>
      <c r="C108" s="76" t="s">
        <v>1836</v>
      </c>
      <c r="D108" s="76" t="s">
        <v>1669</v>
      </c>
      <c r="E108" s="76" t="s">
        <v>1923</v>
      </c>
      <c r="F108" s="76" t="s">
        <v>1690</v>
      </c>
      <c r="G108" s="77" t="s">
        <v>2291</v>
      </c>
      <c r="H108" s="76">
        <v>10880386</v>
      </c>
      <c r="I108" s="76">
        <v>9000</v>
      </c>
    </row>
    <row r="109" spans="1:9" hidden="1">
      <c r="A109" s="76">
        <v>108</v>
      </c>
      <c r="B109" s="76" t="s">
        <v>1837</v>
      </c>
      <c r="C109" s="76" t="s">
        <v>1838</v>
      </c>
      <c r="D109" s="76" t="s">
        <v>1669</v>
      </c>
      <c r="E109" s="76" t="s">
        <v>1924</v>
      </c>
      <c r="F109" s="76" t="s">
        <v>1690</v>
      </c>
      <c r="G109" s="77" t="s">
        <v>2292</v>
      </c>
      <c r="H109" s="76">
        <v>11826406</v>
      </c>
      <c r="I109" s="76">
        <v>9000</v>
      </c>
    </row>
    <row r="110" spans="1:9" hidden="1">
      <c r="A110" s="76">
        <v>109</v>
      </c>
      <c r="B110" s="76" t="s">
        <v>1839</v>
      </c>
      <c r="C110" s="76" t="s">
        <v>1840</v>
      </c>
      <c r="D110" s="76" t="s">
        <v>1669</v>
      </c>
      <c r="E110" s="76" t="s">
        <v>1922</v>
      </c>
      <c r="F110" s="76" t="s">
        <v>1690</v>
      </c>
      <c r="G110" s="77" t="s">
        <v>2293</v>
      </c>
      <c r="H110" s="76">
        <v>23148589</v>
      </c>
      <c r="I110" s="76">
        <v>9000</v>
      </c>
    </row>
    <row r="111" spans="1:9" hidden="1">
      <c r="A111" s="76">
        <v>110</v>
      </c>
      <c r="B111" s="76" t="s">
        <v>1841</v>
      </c>
      <c r="C111" s="76" t="s">
        <v>1842</v>
      </c>
      <c r="D111" s="76" t="s">
        <v>1669</v>
      </c>
      <c r="E111" s="76" t="s">
        <v>1924</v>
      </c>
      <c r="F111" s="76" t="s">
        <v>1690</v>
      </c>
      <c r="G111" s="77" t="s">
        <v>2294</v>
      </c>
      <c r="H111" s="76">
        <v>27642274</v>
      </c>
      <c r="I111" s="76">
        <v>9000</v>
      </c>
    </row>
    <row r="112" spans="1:9" hidden="1">
      <c r="A112" s="76">
        <v>111</v>
      </c>
      <c r="B112" s="76" t="s">
        <v>1843</v>
      </c>
      <c r="C112" s="76" t="s">
        <v>1844</v>
      </c>
      <c r="D112" s="76" t="s">
        <v>1669</v>
      </c>
      <c r="E112" s="76" t="s">
        <v>1921</v>
      </c>
      <c r="F112" s="76" t="s">
        <v>1674</v>
      </c>
      <c r="G112" s="77" t="s">
        <v>2295</v>
      </c>
      <c r="H112" s="76">
        <v>30485939</v>
      </c>
      <c r="I112" s="76">
        <v>9000</v>
      </c>
    </row>
    <row r="113" spans="1:9" hidden="1">
      <c r="A113" s="76">
        <v>112</v>
      </c>
      <c r="B113" s="76" t="s">
        <v>1845</v>
      </c>
      <c r="C113" s="76" t="s">
        <v>1844</v>
      </c>
      <c r="D113" s="76" t="s">
        <v>1669</v>
      </c>
      <c r="E113" s="76" t="s">
        <v>1921</v>
      </c>
      <c r="F113" s="76" t="s">
        <v>1690</v>
      </c>
      <c r="G113" s="77" t="s">
        <v>2296</v>
      </c>
      <c r="H113" s="76" t="s">
        <v>1911</v>
      </c>
      <c r="I113" s="76">
        <v>9000</v>
      </c>
    </row>
    <row r="114" spans="1:9" hidden="1">
      <c r="A114" s="76">
        <v>113</v>
      </c>
      <c r="B114" s="76" t="s">
        <v>1846</v>
      </c>
      <c r="C114" s="76" t="s">
        <v>587</v>
      </c>
      <c r="D114" s="76" t="s">
        <v>1669</v>
      </c>
      <c r="E114" s="76" t="s">
        <v>1922</v>
      </c>
      <c r="F114" s="76" t="s">
        <v>1690</v>
      </c>
      <c r="G114" s="77" t="s">
        <v>2297</v>
      </c>
      <c r="H114" s="76">
        <v>25528572</v>
      </c>
      <c r="I114" s="76">
        <v>9000</v>
      </c>
    </row>
    <row r="115" spans="1:9" hidden="1">
      <c r="A115" s="76">
        <v>114</v>
      </c>
      <c r="B115" s="76" t="s">
        <v>1847</v>
      </c>
      <c r="C115" s="76" t="s">
        <v>1848</v>
      </c>
      <c r="D115" s="76" t="s">
        <v>1669</v>
      </c>
      <c r="E115" s="76" t="s">
        <v>1923</v>
      </c>
      <c r="F115" s="76" t="s">
        <v>1690</v>
      </c>
      <c r="G115" s="77" t="s">
        <v>2298</v>
      </c>
      <c r="H115" s="76">
        <v>6619954</v>
      </c>
      <c r="I115" s="76">
        <v>9000</v>
      </c>
    </row>
    <row r="116" spans="1:9" hidden="1">
      <c r="A116" s="76">
        <v>115</v>
      </c>
      <c r="B116" s="76" t="s">
        <v>1849</v>
      </c>
      <c r="C116" s="76" t="s">
        <v>1850</v>
      </c>
      <c r="D116" s="76" t="s">
        <v>1669</v>
      </c>
      <c r="E116" s="76" t="s">
        <v>1925</v>
      </c>
      <c r="F116" s="76" t="s">
        <v>1690</v>
      </c>
      <c r="G116" s="77" t="s">
        <v>2299</v>
      </c>
      <c r="H116" s="76">
        <v>5514969</v>
      </c>
      <c r="I116" s="76">
        <v>9000</v>
      </c>
    </row>
    <row r="117" spans="1:9" hidden="1">
      <c r="A117" s="76">
        <v>116</v>
      </c>
      <c r="B117" s="76" t="s">
        <v>1851</v>
      </c>
      <c r="C117" s="76" t="s">
        <v>1852</v>
      </c>
      <c r="D117" s="76" t="s">
        <v>1669</v>
      </c>
      <c r="E117" s="76" t="s">
        <v>1922</v>
      </c>
      <c r="F117" s="76" t="s">
        <v>1690</v>
      </c>
      <c r="G117" s="77" t="s">
        <v>2300</v>
      </c>
      <c r="H117" s="76">
        <v>13674420</v>
      </c>
      <c r="I117" s="76">
        <v>9000</v>
      </c>
    </row>
    <row r="118" spans="1:9" hidden="1">
      <c r="A118" s="76">
        <v>117</v>
      </c>
      <c r="B118" s="76" t="s">
        <v>1853</v>
      </c>
      <c r="C118" s="76" t="s">
        <v>1854</v>
      </c>
      <c r="D118" s="76" t="s">
        <v>1669</v>
      </c>
      <c r="E118" s="76" t="s">
        <v>1925</v>
      </c>
      <c r="F118" s="76" t="s">
        <v>1690</v>
      </c>
      <c r="G118" s="77" t="s">
        <v>2301</v>
      </c>
      <c r="H118" s="76">
        <v>13395983</v>
      </c>
      <c r="I118" s="76">
        <v>9000</v>
      </c>
    </row>
    <row r="119" spans="1:9" hidden="1">
      <c r="A119" s="76">
        <v>118</v>
      </c>
      <c r="B119" s="76" t="s">
        <v>1855</v>
      </c>
      <c r="C119" s="76" t="s">
        <v>1856</v>
      </c>
      <c r="D119" s="76" t="s">
        <v>1669</v>
      </c>
      <c r="E119" s="76" t="s">
        <v>1924</v>
      </c>
      <c r="F119" s="76" t="s">
        <v>1690</v>
      </c>
      <c r="G119" s="77" t="s">
        <v>2302</v>
      </c>
      <c r="H119" s="76">
        <v>26499215</v>
      </c>
      <c r="I119" s="76">
        <v>9000</v>
      </c>
    </row>
    <row r="120" spans="1:9" hidden="1">
      <c r="A120" s="76">
        <v>119</v>
      </c>
      <c r="B120" s="76" t="s">
        <v>1857</v>
      </c>
      <c r="C120" s="76" t="s">
        <v>1858</v>
      </c>
      <c r="D120" s="76" t="s">
        <v>1669</v>
      </c>
      <c r="E120" s="76" t="s">
        <v>1925</v>
      </c>
      <c r="F120" s="76" t="s">
        <v>1690</v>
      </c>
      <c r="G120" s="77" t="s">
        <v>2303</v>
      </c>
      <c r="H120" s="76">
        <v>29693906</v>
      </c>
      <c r="I120" s="76">
        <v>9000</v>
      </c>
    </row>
    <row r="121" spans="1:9" hidden="1">
      <c r="A121" s="76">
        <v>120</v>
      </c>
      <c r="B121" s="76" t="s">
        <v>1859</v>
      </c>
      <c r="C121" s="76" t="s">
        <v>1814</v>
      </c>
      <c r="D121" s="76" t="s">
        <v>1669</v>
      </c>
      <c r="E121" s="76" t="s">
        <v>1924</v>
      </c>
      <c r="F121" s="76" t="s">
        <v>1690</v>
      </c>
      <c r="G121" s="77" t="s">
        <v>2304</v>
      </c>
      <c r="H121" s="76">
        <v>29325310</v>
      </c>
      <c r="I121" s="76">
        <v>9000</v>
      </c>
    </row>
    <row r="122" spans="1:9" hidden="1">
      <c r="A122" s="76">
        <v>121</v>
      </c>
      <c r="B122" s="76" t="s">
        <v>1860</v>
      </c>
      <c r="C122" s="76" t="s">
        <v>1861</v>
      </c>
      <c r="D122" s="76" t="s">
        <v>1669</v>
      </c>
      <c r="E122" s="76" t="s">
        <v>1923</v>
      </c>
      <c r="F122" s="76" t="s">
        <v>1674</v>
      </c>
      <c r="G122" s="77" t="s">
        <v>2305</v>
      </c>
      <c r="H122" s="76">
        <v>37469917</v>
      </c>
      <c r="I122" s="76">
        <v>9000</v>
      </c>
    </row>
    <row r="123" spans="1:9" hidden="1">
      <c r="A123" s="76">
        <v>122</v>
      </c>
      <c r="B123" s="76" t="s">
        <v>1862</v>
      </c>
      <c r="C123" s="76" t="s">
        <v>1861</v>
      </c>
      <c r="D123" s="76" t="s">
        <v>1669</v>
      </c>
      <c r="E123" s="76" t="s">
        <v>1923</v>
      </c>
      <c r="F123" s="76" t="s">
        <v>1690</v>
      </c>
      <c r="G123" s="77" t="s">
        <v>2306</v>
      </c>
      <c r="H123" s="76">
        <v>5777917</v>
      </c>
      <c r="I123" s="76">
        <v>9000</v>
      </c>
    </row>
    <row r="124" spans="1:9" hidden="1">
      <c r="A124" s="76">
        <v>123</v>
      </c>
      <c r="B124" s="76" t="s">
        <v>1863</v>
      </c>
      <c r="C124" s="76" t="s">
        <v>1864</v>
      </c>
      <c r="D124" s="76" t="s">
        <v>1669</v>
      </c>
      <c r="E124" s="76" t="s">
        <v>1923</v>
      </c>
      <c r="F124" s="76" t="s">
        <v>1690</v>
      </c>
      <c r="G124" s="77" t="s">
        <v>2307</v>
      </c>
      <c r="H124" s="76">
        <v>10154803</v>
      </c>
      <c r="I124" s="76">
        <v>9000</v>
      </c>
    </row>
    <row r="125" spans="1:9" hidden="1">
      <c r="A125" s="76">
        <v>124</v>
      </c>
      <c r="B125" s="76" t="s">
        <v>1865</v>
      </c>
      <c r="C125" s="76" t="s">
        <v>933</v>
      </c>
      <c r="D125" s="76" t="s">
        <v>1668</v>
      </c>
      <c r="E125" s="76" t="s">
        <v>1613</v>
      </c>
      <c r="F125" s="76" t="s">
        <v>1690</v>
      </c>
      <c r="G125" s="77" t="s">
        <v>2308</v>
      </c>
      <c r="H125" s="76">
        <v>20597403</v>
      </c>
      <c r="I125" s="76">
        <v>9000</v>
      </c>
    </row>
    <row r="126" spans="1:9" hidden="1">
      <c r="A126" s="76">
        <v>125</v>
      </c>
      <c r="B126" s="76" t="s">
        <v>1866</v>
      </c>
      <c r="C126" s="76" t="s">
        <v>847</v>
      </c>
      <c r="D126" s="76" t="s">
        <v>1668</v>
      </c>
      <c r="E126" s="76" t="s">
        <v>1617</v>
      </c>
      <c r="F126" s="76" t="s">
        <v>1674</v>
      </c>
      <c r="G126" s="77" t="s">
        <v>2309</v>
      </c>
      <c r="H126" s="76">
        <v>29589415</v>
      </c>
      <c r="I126" s="76">
        <v>9000</v>
      </c>
    </row>
    <row r="127" spans="1:9" hidden="1">
      <c r="A127" s="76">
        <v>126</v>
      </c>
      <c r="B127" s="76" t="s">
        <v>1867</v>
      </c>
      <c r="C127" s="76" t="s">
        <v>890</v>
      </c>
      <c r="D127" s="76" t="s">
        <v>1668</v>
      </c>
      <c r="E127" s="76" t="s">
        <v>1617</v>
      </c>
      <c r="F127" s="76" t="s">
        <v>1690</v>
      </c>
      <c r="G127" s="77" t="s">
        <v>2310</v>
      </c>
      <c r="H127" s="76">
        <v>13619355</v>
      </c>
      <c r="I127" s="76">
        <v>9000</v>
      </c>
    </row>
    <row r="128" spans="1:9" hidden="1">
      <c r="A128" s="76">
        <v>127</v>
      </c>
      <c r="B128" s="76" t="s">
        <v>1868</v>
      </c>
      <c r="C128" s="76" t="s">
        <v>1869</v>
      </c>
      <c r="D128" s="76" t="s">
        <v>1668</v>
      </c>
      <c r="E128" s="76" t="s">
        <v>1614</v>
      </c>
      <c r="F128" s="76" t="s">
        <v>1674</v>
      </c>
      <c r="G128" s="77" t="s">
        <v>2311</v>
      </c>
      <c r="H128" s="76">
        <v>31576068</v>
      </c>
      <c r="I128" s="76">
        <v>9000</v>
      </c>
    </row>
    <row r="129" spans="1:9" hidden="1">
      <c r="A129" s="76">
        <v>128</v>
      </c>
      <c r="B129" s="76" t="s">
        <v>1870</v>
      </c>
      <c r="C129" s="76" t="s">
        <v>934</v>
      </c>
      <c r="D129" s="76" t="s">
        <v>1668</v>
      </c>
      <c r="E129" s="76" t="s">
        <v>1926</v>
      </c>
      <c r="F129" s="76" t="s">
        <v>1674</v>
      </c>
      <c r="G129" s="77" t="s">
        <v>2312</v>
      </c>
      <c r="H129" s="76">
        <v>22902264</v>
      </c>
      <c r="I129" s="76">
        <v>9000</v>
      </c>
    </row>
    <row r="130" spans="1:9" hidden="1">
      <c r="A130" s="76">
        <v>129</v>
      </c>
      <c r="B130" s="76" t="s">
        <v>1871</v>
      </c>
      <c r="C130" s="76" t="s">
        <v>879</v>
      </c>
      <c r="D130" s="76" t="s">
        <v>1668</v>
      </c>
      <c r="E130" s="76" t="s">
        <v>1613</v>
      </c>
      <c r="F130" s="76" t="s">
        <v>1690</v>
      </c>
      <c r="G130" s="77" t="s">
        <v>2313</v>
      </c>
      <c r="H130" s="76">
        <v>10486432</v>
      </c>
      <c r="I130" s="76">
        <v>9000</v>
      </c>
    </row>
    <row r="131" spans="1:9" hidden="1">
      <c r="A131" s="76">
        <v>130</v>
      </c>
      <c r="B131" s="76" t="s">
        <v>1872</v>
      </c>
      <c r="C131" s="76" t="s">
        <v>832</v>
      </c>
      <c r="D131" s="76" t="s">
        <v>1668</v>
      </c>
      <c r="E131" s="76" t="s">
        <v>1617</v>
      </c>
      <c r="F131" s="76" t="s">
        <v>1690</v>
      </c>
      <c r="G131" s="77" t="s">
        <v>2314</v>
      </c>
      <c r="H131" s="76">
        <v>20275770</v>
      </c>
      <c r="I131" s="76">
        <v>9000</v>
      </c>
    </row>
    <row r="132" spans="1:9" hidden="1">
      <c r="A132" s="76">
        <v>131</v>
      </c>
      <c r="B132" s="76" t="s">
        <v>1873</v>
      </c>
      <c r="C132" s="76" t="s">
        <v>832</v>
      </c>
      <c r="D132" s="76" t="s">
        <v>1668</v>
      </c>
      <c r="E132" s="76" t="s">
        <v>1617</v>
      </c>
      <c r="F132" s="76" t="s">
        <v>1686</v>
      </c>
      <c r="G132" s="77" t="s">
        <v>2315</v>
      </c>
      <c r="H132" s="76">
        <v>30280530</v>
      </c>
      <c r="I132" s="76">
        <v>9000</v>
      </c>
    </row>
    <row r="133" spans="1:9" hidden="1">
      <c r="A133" s="76">
        <v>132</v>
      </c>
      <c r="B133" s="76" t="s">
        <v>1874</v>
      </c>
      <c r="C133" s="76" t="s">
        <v>1875</v>
      </c>
      <c r="D133" s="76" t="s">
        <v>1668</v>
      </c>
      <c r="E133" s="76" t="s">
        <v>1613</v>
      </c>
      <c r="F133" s="76" t="s">
        <v>1674</v>
      </c>
      <c r="G133" s="77" t="s">
        <v>2316</v>
      </c>
      <c r="H133" s="76">
        <v>25285600</v>
      </c>
      <c r="I133" s="76">
        <v>9000</v>
      </c>
    </row>
    <row r="134" spans="1:9" hidden="1">
      <c r="A134" s="76">
        <v>133</v>
      </c>
      <c r="B134" s="76" t="s">
        <v>1876</v>
      </c>
      <c r="C134" s="76" t="s">
        <v>1875</v>
      </c>
      <c r="D134" s="76" t="s">
        <v>1668</v>
      </c>
      <c r="E134" s="76" t="s">
        <v>1613</v>
      </c>
      <c r="F134" s="76" t="s">
        <v>1690</v>
      </c>
      <c r="G134" s="77" t="s">
        <v>2317</v>
      </c>
      <c r="H134" s="76">
        <v>22420721</v>
      </c>
      <c r="I134" s="76">
        <v>9000</v>
      </c>
    </row>
    <row r="135" spans="1:9" hidden="1">
      <c r="A135" s="76">
        <v>134</v>
      </c>
      <c r="B135" s="76" t="s">
        <v>1877</v>
      </c>
      <c r="C135" s="76" t="s">
        <v>1878</v>
      </c>
      <c r="D135" s="76" t="s">
        <v>1668</v>
      </c>
      <c r="E135" s="76" t="s">
        <v>1617</v>
      </c>
      <c r="F135" s="76" t="s">
        <v>1674</v>
      </c>
      <c r="G135" s="77" t="s">
        <v>2318</v>
      </c>
      <c r="H135" s="76">
        <v>21889269</v>
      </c>
      <c r="I135" s="76">
        <v>9000</v>
      </c>
    </row>
    <row r="136" spans="1:9" hidden="1">
      <c r="A136" s="76">
        <v>135</v>
      </c>
      <c r="B136" s="76" t="s">
        <v>1879</v>
      </c>
      <c r="C136" s="76" t="s">
        <v>1880</v>
      </c>
      <c r="D136" s="76" t="s">
        <v>1668</v>
      </c>
      <c r="E136" s="76" t="s">
        <v>1615</v>
      </c>
      <c r="F136" s="76" t="s">
        <v>1674</v>
      </c>
      <c r="G136" s="77" t="s">
        <v>2319</v>
      </c>
      <c r="H136" s="76">
        <v>13250385</v>
      </c>
      <c r="I136" s="76">
        <v>9000</v>
      </c>
    </row>
    <row r="137" spans="1:9" hidden="1">
      <c r="A137" s="76">
        <v>136</v>
      </c>
      <c r="B137" s="76" t="s">
        <v>1881</v>
      </c>
      <c r="C137" s="76" t="s">
        <v>809</v>
      </c>
      <c r="D137" s="76" t="s">
        <v>1668</v>
      </c>
      <c r="E137" s="76" t="s">
        <v>1613</v>
      </c>
      <c r="F137" s="76" t="s">
        <v>1674</v>
      </c>
      <c r="G137" s="77" t="s">
        <v>2320</v>
      </c>
      <c r="H137" s="76">
        <v>20841788</v>
      </c>
      <c r="I137" s="76">
        <v>9000</v>
      </c>
    </row>
    <row r="138" spans="1:9" hidden="1">
      <c r="A138" s="76">
        <v>137</v>
      </c>
      <c r="B138" s="76" t="s">
        <v>1882</v>
      </c>
      <c r="C138" s="76" t="s">
        <v>809</v>
      </c>
      <c r="D138" s="76" t="s">
        <v>1668</v>
      </c>
      <c r="E138" s="76" t="s">
        <v>1613</v>
      </c>
      <c r="F138" s="76" t="s">
        <v>1690</v>
      </c>
      <c r="G138" s="77" t="s">
        <v>2321</v>
      </c>
      <c r="H138" s="76">
        <v>9047226</v>
      </c>
      <c r="I138" s="76">
        <v>9000</v>
      </c>
    </row>
    <row r="139" spans="1:9" hidden="1">
      <c r="A139" s="76">
        <v>138</v>
      </c>
      <c r="B139" s="76" t="s">
        <v>1883</v>
      </c>
      <c r="C139" s="76" t="s">
        <v>1884</v>
      </c>
      <c r="D139" s="76" t="s">
        <v>1668</v>
      </c>
      <c r="E139" s="76" t="s">
        <v>1614</v>
      </c>
      <c r="F139" s="76" t="s">
        <v>1690</v>
      </c>
      <c r="G139" s="77" t="s">
        <v>2322</v>
      </c>
      <c r="H139" s="76">
        <v>2454690</v>
      </c>
      <c r="I139" s="76">
        <v>9000</v>
      </c>
    </row>
    <row r="140" spans="1:9" hidden="1">
      <c r="A140" s="76">
        <v>139</v>
      </c>
      <c r="B140" s="76" t="s">
        <v>1885</v>
      </c>
      <c r="C140" s="76" t="s">
        <v>1884</v>
      </c>
      <c r="D140" s="76" t="s">
        <v>1668</v>
      </c>
      <c r="E140" s="76" t="s">
        <v>1614</v>
      </c>
      <c r="F140" s="76" t="s">
        <v>1674</v>
      </c>
      <c r="G140" s="77" t="s">
        <v>2323</v>
      </c>
      <c r="H140" s="76">
        <v>29359273</v>
      </c>
      <c r="I140" s="76">
        <v>9000</v>
      </c>
    </row>
    <row r="141" spans="1:9" hidden="1">
      <c r="A141" s="76">
        <v>140</v>
      </c>
      <c r="B141" s="76" t="s">
        <v>1886</v>
      </c>
      <c r="C141" s="76" t="s">
        <v>411</v>
      </c>
      <c r="D141" s="76" t="s">
        <v>466</v>
      </c>
      <c r="E141" s="76" t="s">
        <v>1604</v>
      </c>
      <c r="F141" s="76" t="s">
        <v>1690</v>
      </c>
      <c r="G141" s="77" t="s">
        <v>2324</v>
      </c>
      <c r="H141" s="76">
        <v>30363828</v>
      </c>
      <c r="I141" s="76">
        <v>10000</v>
      </c>
    </row>
    <row r="142" spans="1:9" hidden="1">
      <c r="A142" s="76">
        <v>141</v>
      </c>
      <c r="B142" s="76" t="s">
        <v>1887</v>
      </c>
      <c r="C142" s="76" t="s">
        <v>1786</v>
      </c>
      <c r="D142" s="76" t="s">
        <v>466</v>
      </c>
      <c r="E142" s="76" t="s">
        <v>1601</v>
      </c>
      <c r="F142" s="76" t="s">
        <v>1674</v>
      </c>
      <c r="G142" s="77" t="s">
        <v>2325</v>
      </c>
      <c r="H142" s="76">
        <v>31555102</v>
      </c>
      <c r="I142" s="76">
        <v>9000</v>
      </c>
    </row>
    <row r="143" spans="1:9" hidden="1">
      <c r="A143" s="76">
        <v>142</v>
      </c>
      <c r="B143" s="76" t="s">
        <v>1888</v>
      </c>
      <c r="C143" s="76" t="s">
        <v>1889</v>
      </c>
      <c r="D143" s="76" t="s">
        <v>1668</v>
      </c>
      <c r="E143" s="76" t="s">
        <v>1926</v>
      </c>
      <c r="F143" s="76" t="s">
        <v>1690</v>
      </c>
      <c r="G143" s="77" t="s">
        <v>1978</v>
      </c>
      <c r="H143" s="76">
        <v>28185309</v>
      </c>
      <c r="I143" s="76">
        <v>9000</v>
      </c>
    </row>
    <row r="144" spans="1:9" hidden="1">
      <c r="A144" s="76">
        <v>143</v>
      </c>
      <c r="B144" s="76" t="s">
        <v>1890</v>
      </c>
      <c r="C144" s="76" t="s">
        <v>1891</v>
      </c>
      <c r="D144" s="76" t="s">
        <v>1669</v>
      </c>
      <c r="E144" s="76" t="s">
        <v>1925</v>
      </c>
      <c r="F144" s="76" t="s">
        <v>1690</v>
      </c>
      <c r="G144" s="77" t="s">
        <v>1977</v>
      </c>
      <c r="H144" s="76">
        <v>23683949</v>
      </c>
      <c r="I144" s="76">
        <v>9000</v>
      </c>
    </row>
    <row r="145" spans="1:10" hidden="1">
      <c r="A145" s="76">
        <v>144</v>
      </c>
      <c r="B145" s="76" t="s">
        <v>1892</v>
      </c>
      <c r="C145" s="76" t="s">
        <v>1893</v>
      </c>
      <c r="D145" s="76" t="s">
        <v>1669</v>
      </c>
      <c r="E145" s="76" t="s">
        <v>1921</v>
      </c>
      <c r="F145" s="76" t="s">
        <v>1674</v>
      </c>
      <c r="G145" s="77" t="s">
        <v>1976</v>
      </c>
      <c r="H145" s="76">
        <v>35565494</v>
      </c>
      <c r="I145" s="76">
        <v>9000</v>
      </c>
    </row>
    <row r="146" spans="1:10" hidden="1">
      <c r="A146" s="76">
        <v>145</v>
      </c>
      <c r="B146" s="76" t="s">
        <v>1894</v>
      </c>
      <c r="C146" s="76" t="s">
        <v>1895</v>
      </c>
      <c r="D146" s="76" t="s">
        <v>466</v>
      </c>
      <c r="E146" s="76" t="s">
        <v>1604</v>
      </c>
      <c r="F146" s="76" t="s">
        <v>1690</v>
      </c>
      <c r="G146" s="77" t="s">
        <v>1912</v>
      </c>
      <c r="H146" s="76">
        <v>37656746</v>
      </c>
      <c r="I146" s="76">
        <v>9000</v>
      </c>
    </row>
    <row r="147" spans="1:10">
      <c r="A147" s="76">
        <v>146</v>
      </c>
      <c r="B147" s="76" t="s">
        <v>1896</v>
      </c>
      <c r="C147" s="76" t="s">
        <v>1897</v>
      </c>
      <c r="D147" s="76" t="s">
        <v>1594</v>
      </c>
      <c r="E147" s="76" t="s">
        <v>1598</v>
      </c>
      <c r="F147" s="76" t="s">
        <v>1690</v>
      </c>
      <c r="G147" s="77" t="s">
        <v>1913</v>
      </c>
      <c r="H147" s="76">
        <v>38183018</v>
      </c>
      <c r="I147" s="76">
        <v>9000</v>
      </c>
    </row>
    <row r="148" spans="1:10" hidden="1">
      <c r="A148" s="76">
        <v>147</v>
      </c>
      <c r="B148" s="76" t="s">
        <v>1898</v>
      </c>
      <c r="C148" s="76" t="s">
        <v>1531</v>
      </c>
      <c r="D148" s="76" t="s">
        <v>466</v>
      </c>
      <c r="E148" s="76" t="s">
        <v>1609</v>
      </c>
      <c r="F148" s="76" t="s">
        <v>1690</v>
      </c>
      <c r="G148" s="77" t="s">
        <v>1914</v>
      </c>
      <c r="H148" s="76">
        <v>7755828</v>
      </c>
      <c r="I148" s="76">
        <v>9000</v>
      </c>
    </row>
    <row r="149" spans="1:10" hidden="1">
      <c r="A149" s="76">
        <v>148</v>
      </c>
      <c r="B149" s="76" t="s">
        <v>1899</v>
      </c>
      <c r="C149" s="76" t="s">
        <v>1753</v>
      </c>
      <c r="D149" s="76" t="s">
        <v>466</v>
      </c>
      <c r="E149" s="76" t="s">
        <v>1600</v>
      </c>
      <c r="F149" s="76" t="s">
        <v>1690</v>
      </c>
      <c r="G149" s="77" t="s">
        <v>1915</v>
      </c>
      <c r="H149" s="76">
        <v>26963348</v>
      </c>
      <c r="I149" s="76">
        <v>9000</v>
      </c>
    </row>
    <row r="150" spans="1:10" hidden="1">
      <c r="A150" s="76">
        <v>149</v>
      </c>
      <c r="B150" s="76" t="s">
        <v>1900</v>
      </c>
      <c r="C150" s="76" t="s">
        <v>1901</v>
      </c>
      <c r="D150" s="76" t="s">
        <v>466</v>
      </c>
      <c r="E150" s="76" t="s">
        <v>1600</v>
      </c>
      <c r="F150" s="76" t="s">
        <v>1690</v>
      </c>
      <c r="G150" s="77" t="s">
        <v>1916</v>
      </c>
      <c r="H150" s="76">
        <v>20614875</v>
      </c>
      <c r="I150" s="76">
        <v>9000</v>
      </c>
    </row>
    <row r="151" spans="1:10">
      <c r="A151" s="76">
        <v>150</v>
      </c>
      <c r="B151" s="76" t="s">
        <v>1902</v>
      </c>
      <c r="C151" s="76" t="s">
        <v>1903</v>
      </c>
      <c r="D151" s="76" t="s">
        <v>1594</v>
      </c>
      <c r="E151" s="76" t="s">
        <v>1598</v>
      </c>
      <c r="F151" s="76" t="s">
        <v>1690</v>
      </c>
      <c r="G151" s="77" t="s">
        <v>1917</v>
      </c>
      <c r="H151" s="76">
        <v>38588784</v>
      </c>
      <c r="I151" s="76">
        <v>9000</v>
      </c>
    </row>
    <row r="152" spans="1:10">
      <c r="A152" s="76">
        <v>151</v>
      </c>
      <c r="B152" s="76" t="s">
        <v>1904</v>
      </c>
      <c r="C152" s="76" t="s">
        <v>1905</v>
      </c>
      <c r="D152" s="76" t="s">
        <v>1594</v>
      </c>
      <c r="E152" s="76" t="s">
        <v>1595</v>
      </c>
      <c r="F152" s="76" t="s">
        <v>1690</v>
      </c>
      <c r="G152" s="77" t="s">
        <v>1918</v>
      </c>
      <c r="H152" s="76">
        <v>23756101</v>
      </c>
      <c r="I152" s="76">
        <v>9000</v>
      </c>
    </row>
    <row r="153" spans="1:10" hidden="1">
      <c r="A153" s="76">
        <v>152</v>
      </c>
      <c r="B153" s="76" t="s">
        <v>1906</v>
      </c>
      <c r="C153" s="76" t="s">
        <v>1907</v>
      </c>
      <c r="D153" s="76" t="s">
        <v>1669</v>
      </c>
      <c r="E153" s="76" t="s">
        <v>1921</v>
      </c>
      <c r="F153" s="76" t="s">
        <v>1690</v>
      </c>
      <c r="G153" s="77" t="s">
        <v>1919</v>
      </c>
      <c r="H153" s="76">
        <v>28460654</v>
      </c>
      <c r="I153" s="78">
        <v>9000</v>
      </c>
    </row>
    <row r="154" spans="1:10" hidden="1">
      <c r="A154" s="76">
        <v>153</v>
      </c>
      <c r="B154" s="76" t="s">
        <v>2326</v>
      </c>
      <c r="C154" s="76" t="s">
        <v>1814</v>
      </c>
      <c r="D154" s="76" t="s">
        <v>1669</v>
      </c>
      <c r="E154" s="76" t="s">
        <v>1924</v>
      </c>
      <c r="F154" s="76" t="s">
        <v>1674</v>
      </c>
      <c r="G154" s="77" t="s">
        <v>1979</v>
      </c>
      <c r="H154" s="76">
        <v>37435882</v>
      </c>
      <c r="I154" s="78">
        <v>9000</v>
      </c>
      <c r="J154" s="136" t="s">
        <v>1981</v>
      </c>
    </row>
    <row r="155" spans="1:10" hidden="1">
      <c r="A155" s="76">
        <v>154</v>
      </c>
      <c r="B155" s="76" t="s">
        <v>3322</v>
      </c>
      <c r="C155" s="76" t="s">
        <v>1814</v>
      </c>
      <c r="D155" s="76" t="s">
        <v>1669</v>
      </c>
      <c r="E155" s="76" t="s">
        <v>1924</v>
      </c>
      <c r="F155" s="76" t="s">
        <v>1690</v>
      </c>
      <c r="G155" s="77" t="s">
        <v>1980</v>
      </c>
      <c r="H155" s="76">
        <v>35555632</v>
      </c>
      <c r="I155" s="78">
        <v>9000</v>
      </c>
      <c r="J155" s="136" t="s">
        <v>1981</v>
      </c>
    </row>
    <row r="156" spans="1:10" hidden="1">
      <c r="C156" s="137" t="s">
        <v>1749</v>
      </c>
    </row>
  </sheetData>
  <autoFilter ref="A1:I156" xr:uid="{75D2ADEE-E32A-4D6E-B7B2-A64E7A8EE218}">
    <filterColumn colId="3">
      <filters>
        <filter val="EMBU"/>
      </filters>
    </filterColumn>
    <sortState xmlns:xlrd2="http://schemas.microsoft.com/office/spreadsheetml/2017/richdata2" ref="A2:I153">
      <sortCondition ref="A1:A153"/>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4E7E-B99A-4871-8518-238D3EF5A533}">
  <dimension ref="A1"/>
  <sheetViews>
    <sheetView workbookViewId="0"/>
  </sheetViews>
  <sheetFormatPr defaultRowHeight="1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95"/>
  <sheetViews>
    <sheetView topLeftCell="A6" zoomScale="188" workbookViewId="0">
      <selection activeCell="A8" sqref="A8"/>
    </sheetView>
  </sheetViews>
  <sheetFormatPr defaultColWidth="9" defaultRowHeight="14.5"/>
  <cols>
    <col min="1" max="1" width="6.26953125" bestFit="1" customWidth="1"/>
    <col min="2" max="2" width="35.36328125" bestFit="1" customWidth="1"/>
    <col min="3" max="3" width="15.90625" bestFit="1" customWidth="1"/>
    <col min="5" max="5" width="3.1796875" bestFit="1" customWidth="1"/>
    <col min="6" max="6" width="27.81640625" bestFit="1" customWidth="1"/>
    <col min="9" max="9" width="10.453125" bestFit="1" customWidth="1"/>
    <col min="10" max="10" width="14.1796875" bestFit="1" customWidth="1"/>
  </cols>
  <sheetData>
    <row r="1" spans="1:11" ht="16.5">
      <c r="A1" s="228" t="s">
        <v>17</v>
      </c>
      <c r="B1" s="228" t="s">
        <v>1670</v>
      </c>
      <c r="C1" s="228" t="s">
        <v>6</v>
      </c>
      <c r="D1" s="228" t="s">
        <v>1625</v>
      </c>
      <c r="E1" s="256"/>
      <c r="F1" s="256"/>
      <c r="G1" s="256"/>
      <c r="H1" s="256"/>
      <c r="I1" s="256"/>
      <c r="J1" s="256"/>
      <c r="K1" s="256"/>
    </row>
    <row r="2" spans="1:11" ht="18.5">
      <c r="A2" s="228">
        <v>1</v>
      </c>
      <c r="B2" s="259" t="s">
        <v>11</v>
      </c>
      <c r="C2" s="228" t="s">
        <v>1594</v>
      </c>
      <c r="D2" s="228" t="s">
        <v>1626</v>
      </c>
      <c r="E2" s="226"/>
      <c r="F2" s="226"/>
      <c r="G2" s="226"/>
      <c r="H2" s="226"/>
      <c r="I2" s="226"/>
      <c r="J2" s="226"/>
      <c r="K2" s="226"/>
    </row>
    <row r="3" spans="1:11" ht="18.5">
      <c r="A3" s="228">
        <v>2</v>
      </c>
      <c r="B3" s="259" t="s">
        <v>20</v>
      </c>
      <c r="C3" s="228" t="s">
        <v>1594</v>
      </c>
      <c r="D3" s="228" t="s">
        <v>1626</v>
      </c>
      <c r="E3" s="226"/>
      <c r="F3" s="226"/>
      <c r="G3" s="226"/>
      <c r="H3" s="226"/>
      <c r="I3" s="226"/>
      <c r="J3" s="226"/>
      <c r="K3" s="226"/>
    </row>
    <row r="4" spans="1:11" ht="18.5">
      <c r="A4" s="228">
        <v>3</v>
      </c>
      <c r="B4" s="259" t="s">
        <v>27</v>
      </c>
      <c r="C4" s="228" t="s">
        <v>1594</v>
      </c>
      <c r="D4" s="228" t="s">
        <v>1626</v>
      </c>
      <c r="E4" s="226"/>
      <c r="F4" s="226"/>
      <c r="G4" s="226"/>
      <c r="H4" s="226"/>
      <c r="I4" s="226"/>
      <c r="J4" s="226"/>
      <c r="K4" s="226"/>
    </row>
    <row r="5" spans="1:11" ht="18.5">
      <c r="A5" s="228">
        <v>4</v>
      </c>
      <c r="B5" s="259" t="s">
        <v>32</v>
      </c>
      <c r="C5" s="228" t="s">
        <v>1594</v>
      </c>
      <c r="D5" s="228" t="s">
        <v>1627</v>
      </c>
      <c r="E5" s="226"/>
      <c r="F5" s="226"/>
      <c r="G5" s="226"/>
      <c r="H5" s="226"/>
      <c r="I5" s="226"/>
      <c r="J5" s="226"/>
      <c r="K5" s="226"/>
    </row>
    <row r="6" spans="1:11" ht="18.5">
      <c r="A6" s="228">
        <v>5</v>
      </c>
      <c r="B6" s="259" t="s">
        <v>39</v>
      </c>
      <c r="C6" s="228" t="s">
        <v>1594</v>
      </c>
      <c r="D6" s="228" t="s">
        <v>1626</v>
      </c>
      <c r="E6" s="226"/>
      <c r="F6" s="226"/>
      <c r="G6" s="226"/>
      <c r="H6" s="226"/>
      <c r="I6" s="226"/>
      <c r="J6" s="226"/>
      <c r="K6" s="226"/>
    </row>
    <row r="7" spans="1:11" ht="18.5">
      <c r="A7" s="228">
        <v>6</v>
      </c>
      <c r="B7" s="259" t="s">
        <v>43</v>
      </c>
      <c r="C7" s="228" t="s">
        <v>1594</v>
      </c>
      <c r="D7" s="228" t="s">
        <v>1626</v>
      </c>
      <c r="E7" s="226"/>
      <c r="F7" s="226"/>
      <c r="G7" s="226"/>
      <c r="H7" s="226"/>
      <c r="I7" s="226"/>
      <c r="J7" s="226"/>
      <c r="K7" s="226"/>
    </row>
    <row r="8" spans="1:11" ht="18.5">
      <c r="A8" s="228">
        <v>7</v>
      </c>
      <c r="B8" s="259" t="s">
        <v>51</v>
      </c>
      <c r="C8" s="228" t="s">
        <v>1594</v>
      </c>
      <c r="D8" s="228" t="s">
        <v>1626</v>
      </c>
      <c r="E8" s="226"/>
      <c r="F8" s="226"/>
      <c r="G8" s="226"/>
      <c r="H8" s="226"/>
      <c r="I8" s="226"/>
      <c r="J8" s="226"/>
      <c r="K8" s="226"/>
    </row>
    <row r="9" spans="1:11" ht="18.5">
      <c r="A9" s="228">
        <v>8</v>
      </c>
      <c r="B9" s="259" t="s">
        <v>55</v>
      </c>
      <c r="C9" s="228" t="s">
        <v>1594</v>
      </c>
      <c r="D9" s="228" t="s">
        <v>1626</v>
      </c>
      <c r="E9" s="226"/>
      <c r="F9" s="226"/>
      <c r="G9" s="226"/>
      <c r="H9" s="226"/>
      <c r="I9" s="226"/>
      <c r="J9" s="226"/>
      <c r="K9" s="226"/>
    </row>
    <row r="10" spans="1:11" ht="18.5">
      <c r="A10" s="228">
        <v>9</v>
      </c>
      <c r="B10" s="259" t="s">
        <v>58</v>
      </c>
      <c r="C10" s="228" t="s">
        <v>1594</v>
      </c>
      <c r="D10" s="228" t="s">
        <v>1626</v>
      </c>
      <c r="E10" s="226"/>
      <c r="F10" s="226"/>
      <c r="G10" s="226"/>
      <c r="H10" s="226"/>
      <c r="I10" s="226"/>
      <c r="J10" s="226"/>
      <c r="K10" s="226"/>
    </row>
    <row r="11" spans="1:11" ht="18.5">
      <c r="A11" s="228">
        <v>10</v>
      </c>
      <c r="B11" s="259" t="s">
        <v>68</v>
      </c>
      <c r="C11" s="228" t="s">
        <v>1594</v>
      </c>
      <c r="D11" s="228" t="s">
        <v>1626</v>
      </c>
      <c r="E11" s="226"/>
      <c r="F11" s="226"/>
      <c r="G11" s="226"/>
      <c r="H11" s="226"/>
      <c r="I11" s="226"/>
      <c r="J11" s="226"/>
      <c r="K11" s="226"/>
    </row>
    <row r="12" spans="1:11" ht="18.5">
      <c r="A12" s="228">
        <v>11</v>
      </c>
      <c r="B12" s="259" t="s">
        <v>75</v>
      </c>
      <c r="C12" s="228" t="s">
        <v>1594</v>
      </c>
      <c r="D12" s="228" t="s">
        <v>1626</v>
      </c>
      <c r="E12" s="226"/>
      <c r="F12" s="226"/>
      <c r="G12" s="226"/>
      <c r="H12" s="226"/>
      <c r="I12" s="226"/>
      <c r="J12" s="226"/>
      <c r="K12" s="226"/>
    </row>
    <row r="13" spans="1:11" ht="18.5">
      <c r="A13" s="228">
        <v>12</v>
      </c>
      <c r="B13" s="259" t="s">
        <v>82</v>
      </c>
      <c r="C13" s="228" t="s">
        <v>1594</v>
      </c>
      <c r="D13" s="228" t="s">
        <v>1627</v>
      </c>
      <c r="E13" s="226"/>
      <c r="F13" s="226"/>
      <c r="G13" s="226"/>
      <c r="H13" s="226"/>
      <c r="I13" s="226"/>
      <c r="J13" s="226"/>
      <c r="K13" s="226"/>
    </row>
    <row r="14" spans="1:11" ht="18.5">
      <c r="A14" s="228">
        <v>13</v>
      </c>
      <c r="B14" s="259" t="s">
        <v>86</v>
      </c>
      <c r="C14" s="228" t="s">
        <v>1594</v>
      </c>
      <c r="D14" s="228" t="s">
        <v>1626</v>
      </c>
      <c r="E14" s="226"/>
      <c r="F14" s="226"/>
      <c r="G14" s="226"/>
      <c r="H14" s="226"/>
      <c r="I14" s="226"/>
      <c r="J14" s="226"/>
      <c r="K14" s="226"/>
    </row>
    <row r="15" spans="1:11" ht="18.5">
      <c r="A15" s="228">
        <v>14</v>
      </c>
      <c r="B15" s="259" t="s">
        <v>102</v>
      </c>
      <c r="C15" s="228" t="s">
        <v>1594</v>
      </c>
      <c r="D15" s="228" t="s">
        <v>1626</v>
      </c>
      <c r="E15" s="226"/>
      <c r="F15" s="226"/>
      <c r="G15" s="226"/>
      <c r="H15" s="226"/>
      <c r="I15" s="226"/>
      <c r="J15" s="226"/>
      <c r="K15" s="226"/>
    </row>
    <row r="16" spans="1:11" ht="18.5">
      <c r="A16" s="228">
        <v>15</v>
      </c>
      <c r="B16" s="259" t="s">
        <v>108</v>
      </c>
      <c r="C16" s="228" t="s">
        <v>1594</v>
      </c>
      <c r="D16" s="228" t="s">
        <v>1626</v>
      </c>
      <c r="E16" s="226"/>
      <c r="F16" s="226"/>
      <c r="G16" s="226"/>
      <c r="H16" s="226"/>
      <c r="I16" s="226"/>
      <c r="J16" s="226"/>
      <c r="K16" s="226"/>
    </row>
    <row r="17" spans="1:11" ht="18.5">
      <c r="A17" s="228">
        <v>16</v>
      </c>
      <c r="B17" s="259" t="s">
        <v>112</v>
      </c>
      <c r="C17" s="228" t="s">
        <v>1594</v>
      </c>
      <c r="D17" s="228" t="s">
        <v>1626</v>
      </c>
      <c r="E17" s="226"/>
      <c r="F17" s="226"/>
      <c r="G17" s="226"/>
      <c r="H17" s="226"/>
      <c r="I17" s="226"/>
      <c r="J17" s="226"/>
      <c r="K17" s="226"/>
    </row>
    <row r="18" spans="1:11" ht="18.5">
      <c r="A18" s="228">
        <v>17</v>
      </c>
      <c r="B18" s="259" t="s">
        <v>3295</v>
      </c>
      <c r="C18" s="228" t="s">
        <v>1594</v>
      </c>
      <c r="D18" s="228" t="s">
        <v>1626</v>
      </c>
      <c r="E18" s="226"/>
      <c r="F18" s="226"/>
      <c r="G18" s="226"/>
      <c r="H18" s="226"/>
      <c r="I18" s="226"/>
      <c r="J18" s="226"/>
      <c r="K18" s="226"/>
    </row>
    <row r="19" spans="1:11" ht="18.5">
      <c r="A19" s="228">
        <v>18</v>
      </c>
      <c r="B19" s="259" t="s">
        <v>1492</v>
      </c>
      <c r="C19" s="228" t="s">
        <v>1594</v>
      </c>
      <c r="D19" s="228" t="s">
        <v>1626</v>
      </c>
      <c r="E19" s="226"/>
      <c r="F19" s="226"/>
      <c r="G19" s="226"/>
      <c r="H19" s="226"/>
      <c r="I19" s="226"/>
      <c r="J19" s="226"/>
      <c r="K19" s="226"/>
    </row>
    <row r="20" spans="1:11" ht="18.5">
      <c r="A20" s="228">
        <v>19</v>
      </c>
      <c r="B20" s="259" t="s">
        <v>2692</v>
      </c>
      <c r="C20" s="228" t="s">
        <v>1594</v>
      </c>
      <c r="D20" s="228" t="s">
        <v>1626</v>
      </c>
      <c r="E20" s="226"/>
      <c r="F20" s="226"/>
      <c r="G20" s="226"/>
      <c r="H20" s="226"/>
      <c r="I20" s="226"/>
      <c r="J20" s="226"/>
      <c r="K20" s="226"/>
    </row>
    <row r="21" spans="1:11" ht="18.5">
      <c r="A21" s="228">
        <v>20</v>
      </c>
      <c r="B21" s="259" t="s">
        <v>123</v>
      </c>
      <c r="C21" s="228" t="s">
        <v>1594</v>
      </c>
      <c r="D21" s="228" t="s">
        <v>1626</v>
      </c>
      <c r="E21" s="226"/>
      <c r="F21" s="226"/>
      <c r="G21" s="226"/>
      <c r="H21" s="226"/>
      <c r="I21" s="226"/>
      <c r="J21" s="226"/>
      <c r="K21" s="226"/>
    </row>
    <row r="22" spans="1:11" ht="18.5">
      <c r="A22" s="228">
        <v>21</v>
      </c>
      <c r="B22" s="259" t="s">
        <v>1628</v>
      </c>
      <c r="C22" s="228" t="s">
        <v>1594</v>
      </c>
      <c r="D22" s="228" t="s">
        <v>1627</v>
      </c>
      <c r="E22" s="226"/>
      <c r="F22" s="226"/>
      <c r="G22" s="226"/>
      <c r="H22" s="226"/>
      <c r="I22" s="226"/>
      <c r="J22" s="226"/>
      <c r="K22" s="226"/>
    </row>
    <row r="23" spans="1:11" ht="18.5">
      <c r="A23" s="228">
        <v>22</v>
      </c>
      <c r="B23" s="259" t="s">
        <v>134</v>
      </c>
      <c r="C23" s="228" t="s">
        <v>1594</v>
      </c>
      <c r="D23" s="228" t="s">
        <v>1626</v>
      </c>
      <c r="E23" s="226"/>
      <c r="F23" s="226"/>
      <c r="G23" s="226"/>
      <c r="H23" s="226"/>
      <c r="I23" s="226"/>
      <c r="J23" s="226"/>
      <c r="K23" s="226"/>
    </row>
    <row r="24" spans="1:11" ht="18.5">
      <c r="A24" s="228">
        <v>23</v>
      </c>
      <c r="B24" s="259" t="s">
        <v>953</v>
      </c>
      <c r="C24" s="228" t="s">
        <v>1594</v>
      </c>
      <c r="D24" s="228" t="s">
        <v>1626</v>
      </c>
      <c r="E24" s="226"/>
      <c r="F24" s="226"/>
      <c r="G24" s="226"/>
      <c r="H24" s="226"/>
      <c r="I24" s="226"/>
      <c r="J24" s="226"/>
      <c r="K24" s="226"/>
    </row>
    <row r="25" spans="1:11" ht="18.5">
      <c r="A25" s="228">
        <v>24</v>
      </c>
      <c r="B25" s="259" t="s">
        <v>1629</v>
      </c>
      <c r="C25" s="228" t="s">
        <v>466</v>
      </c>
      <c r="D25" s="228" t="s">
        <v>1626</v>
      </c>
      <c r="E25" s="226"/>
      <c r="F25" s="226"/>
      <c r="G25" s="226"/>
      <c r="H25" s="226"/>
      <c r="I25" s="226"/>
      <c r="J25" s="226"/>
      <c r="K25" s="226"/>
    </row>
    <row r="26" spans="1:11" ht="18.5">
      <c r="A26" s="228">
        <v>25</v>
      </c>
      <c r="B26" s="259" t="s">
        <v>170</v>
      </c>
      <c r="C26" s="228" t="s">
        <v>466</v>
      </c>
      <c r="D26" s="228" t="s">
        <v>1626</v>
      </c>
      <c r="E26" s="226"/>
      <c r="F26" s="226"/>
      <c r="G26" s="226"/>
      <c r="H26" s="226"/>
      <c r="I26" s="226"/>
      <c r="J26" s="226"/>
      <c r="K26" s="226"/>
    </row>
    <row r="27" spans="1:11" ht="18.5">
      <c r="A27" s="228">
        <v>26</v>
      </c>
      <c r="B27" s="259" t="s">
        <v>174</v>
      </c>
      <c r="C27" s="228" t="s">
        <v>466</v>
      </c>
      <c r="D27" s="228" t="s">
        <v>1627</v>
      </c>
      <c r="E27" s="226"/>
      <c r="F27" s="226"/>
      <c r="G27" s="226"/>
      <c r="H27" s="226"/>
      <c r="I27" s="226"/>
      <c r="J27" s="226"/>
      <c r="K27" s="226"/>
    </row>
    <row r="28" spans="1:11" ht="18.5">
      <c r="A28" s="228">
        <v>27</v>
      </c>
      <c r="B28" s="259" t="s">
        <v>1630</v>
      </c>
      <c r="C28" s="228" t="s">
        <v>466</v>
      </c>
      <c r="D28" s="228" t="s">
        <v>1626</v>
      </c>
      <c r="E28" s="226"/>
      <c r="F28" s="226"/>
      <c r="G28" s="226"/>
      <c r="H28" s="226"/>
      <c r="I28" s="226"/>
      <c r="J28" s="226"/>
      <c r="K28" s="226"/>
    </row>
    <row r="29" spans="1:11" ht="18.5">
      <c r="A29" s="228">
        <v>28</v>
      </c>
      <c r="B29" s="259" t="s">
        <v>185</v>
      </c>
      <c r="C29" s="228" t="s">
        <v>466</v>
      </c>
      <c r="D29" s="228" t="s">
        <v>1626</v>
      </c>
      <c r="E29" s="226"/>
      <c r="F29" s="226"/>
      <c r="G29" s="226"/>
      <c r="H29" s="226"/>
      <c r="I29" s="226"/>
      <c r="J29" s="226"/>
      <c r="K29" s="226"/>
    </row>
    <row r="30" spans="1:11" ht="18.5">
      <c r="A30" s="228">
        <v>29</v>
      </c>
      <c r="B30" s="259" t="s">
        <v>189</v>
      </c>
      <c r="C30" s="228" t="s">
        <v>466</v>
      </c>
      <c r="D30" s="228" t="s">
        <v>1626</v>
      </c>
      <c r="E30" s="226"/>
      <c r="F30" s="226"/>
      <c r="G30" s="226"/>
      <c r="H30" s="226"/>
      <c r="I30" s="226"/>
      <c r="J30" s="226"/>
      <c r="K30" s="226"/>
    </row>
    <row r="31" spans="1:11" ht="18.5">
      <c r="A31" s="228">
        <v>30</v>
      </c>
      <c r="B31" s="259" t="s">
        <v>192</v>
      </c>
      <c r="C31" s="228" t="s">
        <v>466</v>
      </c>
      <c r="D31" s="228" t="s">
        <v>1627</v>
      </c>
      <c r="E31" s="226"/>
      <c r="F31" s="226"/>
      <c r="G31" s="226"/>
      <c r="H31" s="226"/>
      <c r="I31" s="226"/>
      <c r="J31" s="226"/>
      <c r="K31" s="226"/>
    </row>
    <row r="32" spans="1:11" ht="18.5">
      <c r="A32" s="228">
        <v>31</v>
      </c>
      <c r="B32" s="259" t="s">
        <v>195</v>
      </c>
      <c r="C32" s="228" t="s">
        <v>466</v>
      </c>
      <c r="D32" s="228" t="s">
        <v>1626</v>
      </c>
      <c r="E32" s="226"/>
      <c r="F32" s="226"/>
      <c r="G32" s="226"/>
      <c r="H32" s="226"/>
      <c r="I32" s="226"/>
      <c r="J32" s="226"/>
      <c r="K32" s="226"/>
    </row>
    <row r="33" spans="1:11" ht="18.5">
      <c r="A33" s="228">
        <v>32</v>
      </c>
      <c r="B33" s="259" t="s">
        <v>1631</v>
      </c>
      <c r="C33" s="228" t="s">
        <v>466</v>
      </c>
      <c r="D33" s="228" t="s">
        <v>1626</v>
      </c>
      <c r="E33" s="226"/>
      <c r="F33" s="226"/>
      <c r="G33" s="226"/>
      <c r="H33" s="226"/>
      <c r="I33" s="226"/>
      <c r="J33" s="226"/>
      <c r="K33" s="226"/>
    </row>
    <row r="34" spans="1:11" ht="18.5">
      <c r="A34" s="228">
        <v>33</v>
      </c>
      <c r="B34" s="259" t="s">
        <v>205</v>
      </c>
      <c r="C34" s="228" t="s">
        <v>466</v>
      </c>
      <c r="D34" s="228" t="s">
        <v>1626</v>
      </c>
      <c r="E34" s="226"/>
      <c r="F34" s="226"/>
      <c r="G34" s="226"/>
      <c r="H34" s="226"/>
      <c r="I34" s="226"/>
      <c r="J34" s="226"/>
      <c r="K34" s="226"/>
    </row>
    <row r="35" spans="1:11" ht="18.5">
      <c r="A35" s="228">
        <v>34</v>
      </c>
      <c r="B35" s="259" t="s">
        <v>1632</v>
      </c>
      <c r="C35" s="228" t="s">
        <v>466</v>
      </c>
      <c r="D35" s="228" t="s">
        <v>1626</v>
      </c>
      <c r="E35" s="226"/>
      <c r="F35" s="226"/>
      <c r="G35" s="226"/>
      <c r="H35" s="226"/>
      <c r="I35" s="226"/>
      <c r="J35" s="226"/>
      <c r="K35" s="226"/>
    </row>
    <row r="36" spans="1:11" ht="18.5">
      <c r="A36" s="228">
        <v>35</v>
      </c>
      <c r="B36" s="259" t="s">
        <v>213</v>
      </c>
      <c r="C36" s="228" t="s">
        <v>466</v>
      </c>
      <c r="D36" s="228" t="s">
        <v>1626</v>
      </c>
      <c r="E36" s="226"/>
      <c r="F36" s="226"/>
      <c r="G36" s="226"/>
      <c r="H36" s="226"/>
      <c r="I36" s="226"/>
      <c r="J36" s="226"/>
      <c r="K36" s="226"/>
    </row>
    <row r="37" spans="1:11" ht="18.5">
      <c r="A37" s="228">
        <v>36</v>
      </c>
      <c r="B37" s="259" t="s">
        <v>1633</v>
      </c>
      <c r="C37" s="228" t="s">
        <v>466</v>
      </c>
      <c r="D37" s="228" t="s">
        <v>1626</v>
      </c>
      <c r="E37" s="226"/>
      <c r="F37" s="226"/>
      <c r="G37" s="226"/>
      <c r="H37" s="226"/>
      <c r="I37" s="226"/>
      <c r="J37" s="226"/>
      <c r="K37" s="226"/>
    </row>
    <row r="38" spans="1:11" ht="18.5">
      <c r="A38" s="228">
        <v>37</v>
      </c>
      <c r="B38" s="259" t="s">
        <v>238</v>
      </c>
      <c r="C38" s="228" t="s">
        <v>466</v>
      </c>
      <c r="D38" s="228" t="s">
        <v>1626</v>
      </c>
      <c r="E38" s="226"/>
      <c r="F38" s="226"/>
      <c r="G38" s="226"/>
      <c r="H38" s="226"/>
      <c r="I38" s="226"/>
      <c r="J38" s="226"/>
      <c r="K38" s="226"/>
    </row>
    <row r="39" spans="1:11" ht="18.5">
      <c r="A39" s="228">
        <v>38</v>
      </c>
      <c r="B39" s="259" t="s">
        <v>1634</v>
      </c>
      <c r="C39" s="228" t="s">
        <v>466</v>
      </c>
      <c r="D39" s="228" t="s">
        <v>1627</v>
      </c>
      <c r="E39" s="226"/>
      <c r="F39" s="226"/>
      <c r="G39" s="226"/>
      <c r="H39" s="226"/>
      <c r="I39" s="226"/>
      <c r="J39" s="226"/>
      <c r="K39" s="226"/>
    </row>
    <row r="40" spans="1:11" ht="18.5">
      <c r="A40" s="228">
        <v>39</v>
      </c>
      <c r="B40" s="259" t="s">
        <v>253</v>
      </c>
      <c r="C40" s="228" t="s">
        <v>466</v>
      </c>
      <c r="D40" s="228" t="s">
        <v>1626</v>
      </c>
      <c r="E40" s="226"/>
      <c r="F40" s="226"/>
      <c r="G40" s="226"/>
      <c r="H40" s="226"/>
      <c r="I40" s="226"/>
      <c r="J40" s="226"/>
      <c r="K40" s="226"/>
    </row>
    <row r="41" spans="1:11" ht="18.5">
      <c r="A41" s="228">
        <v>40</v>
      </c>
      <c r="B41" s="259" t="s">
        <v>257</v>
      </c>
      <c r="C41" s="228" t="s">
        <v>466</v>
      </c>
      <c r="D41" s="228" t="s">
        <v>1626</v>
      </c>
      <c r="E41" s="226"/>
      <c r="F41" s="226"/>
      <c r="G41" s="226"/>
      <c r="H41" s="226"/>
      <c r="I41" s="226"/>
      <c r="J41" s="226"/>
      <c r="K41" s="226"/>
    </row>
    <row r="42" spans="1:11" ht="18.5">
      <c r="A42" s="228">
        <v>41</v>
      </c>
      <c r="B42" s="259" t="s">
        <v>261</v>
      </c>
      <c r="C42" s="228" t="s">
        <v>466</v>
      </c>
      <c r="D42" s="228" t="s">
        <v>1626</v>
      </c>
      <c r="E42" s="226"/>
      <c r="F42" s="226"/>
      <c r="G42" s="226"/>
      <c r="H42" s="226"/>
      <c r="I42" s="226"/>
      <c r="J42" s="226"/>
      <c r="K42" s="226"/>
    </row>
    <row r="43" spans="1:11" ht="18.5">
      <c r="A43" s="228">
        <v>42</v>
      </c>
      <c r="B43" s="259" t="s">
        <v>265</v>
      </c>
      <c r="C43" s="228" t="s">
        <v>466</v>
      </c>
      <c r="D43" s="228" t="s">
        <v>1626</v>
      </c>
      <c r="E43" s="226"/>
      <c r="F43" s="226"/>
      <c r="G43" s="226"/>
      <c r="H43" s="226"/>
      <c r="I43" s="226"/>
      <c r="J43" s="226"/>
      <c r="K43" s="226"/>
    </row>
    <row r="44" spans="1:11" ht="18.5">
      <c r="A44" s="228">
        <v>43</v>
      </c>
      <c r="B44" s="259" t="s">
        <v>273</v>
      </c>
      <c r="C44" s="228" t="s">
        <v>466</v>
      </c>
      <c r="D44" s="228" t="s">
        <v>1626</v>
      </c>
      <c r="E44" s="226"/>
      <c r="F44" s="226"/>
      <c r="G44" s="226"/>
      <c r="H44" s="226"/>
      <c r="I44" s="226"/>
      <c r="J44" s="226"/>
      <c r="K44" s="226"/>
    </row>
    <row r="45" spans="1:11" ht="18.5">
      <c r="A45" s="228">
        <v>44</v>
      </c>
      <c r="B45" s="259" t="s">
        <v>277</v>
      </c>
      <c r="C45" s="228" t="s">
        <v>466</v>
      </c>
      <c r="D45" s="228" t="s">
        <v>1627</v>
      </c>
      <c r="E45" s="226"/>
      <c r="F45" s="226"/>
      <c r="G45" s="226"/>
      <c r="H45" s="226"/>
      <c r="I45" s="226"/>
      <c r="J45" s="226"/>
      <c r="K45" s="226"/>
    </row>
    <row r="46" spans="1:11" ht="18.5">
      <c r="A46" s="228">
        <v>45</v>
      </c>
      <c r="B46" s="259" t="s">
        <v>1635</v>
      </c>
      <c r="C46" s="228" t="s">
        <v>466</v>
      </c>
      <c r="D46" s="228" t="s">
        <v>1627</v>
      </c>
      <c r="E46" s="226"/>
      <c r="F46" s="226"/>
      <c r="G46" s="226"/>
      <c r="H46" s="226"/>
      <c r="I46" s="226"/>
      <c r="J46" s="226"/>
      <c r="K46" s="226"/>
    </row>
    <row r="47" spans="1:11" ht="18.5">
      <c r="A47" s="228">
        <v>46</v>
      </c>
      <c r="B47" s="259" t="s">
        <v>1636</v>
      </c>
      <c r="C47" s="228" t="s">
        <v>466</v>
      </c>
      <c r="D47" s="228" t="s">
        <v>1626</v>
      </c>
      <c r="E47" s="226"/>
      <c r="F47" s="226"/>
      <c r="G47" s="226"/>
      <c r="H47" s="226"/>
      <c r="I47" s="226"/>
      <c r="J47" s="226"/>
      <c r="K47" s="226"/>
    </row>
    <row r="48" spans="1:11" ht="18.5">
      <c r="A48" s="228">
        <v>47</v>
      </c>
      <c r="B48" s="259" t="s">
        <v>1637</v>
      </c>
      <c r="C48" s="228" t="s">
        <v>466</v>
      </c>
      <c r="D48" s="228" t="s">
        <v>1626</v>
      </c>
      <c r="E48" s="226"/>
      <c r="F48" s="226"/>
      <c r="G48" s="226"/>
      <c r="H48" s="226"/>
      <c r="I48" s="226"/>
      <c r="J48" s="226"/>
      <c r="K48" s="226"/>
    </row>
    <row r="49" spans="1:11" ht="18.5">
      <c r="A49" s="228">
        <v>48</v>
      </c>
      <c r="B49" s="259" t="s">
        <v>309</v>
      </c>
      <c r="C49" s="228" t="s">
        <v>466</v>
      </c>
      <c r="D49" s="228" t="s">
        <v>1626</v>
      </c>
      <c r="E49" s="226"/>
      <c r="F49" s="226"/>
      <c r="G49" s="226"/>
      <c r="H49" s="226"/>
      <c r="I49" s="226"/>
      <c r="J49" s="226"/>
      <c r="K49" s="226"/>
    </row>
    <row r="50" spans="1:11" ht="18.5">
      <c r="A50" s="228">
        <v>49</v>
      </c>
      <c r="B50" s="259" t="s">
        <v>313</v>
      </c>
      <c r="C50" s="228" t="s">
        <v>466</v>
      </c>
      <c r="D50" s="228" t="s">
        <v>1626</v>
      </c>
      <c r="E50" s="226"/>
      <c r="F50" s="226"/>
      <c r="G50" s="226"/>
      <c r="H50" s="226"/>
      <c r="I50" s="226"/>
      <c r="J50" s="226"/>
      <c r="K50" s="226"/>
    </row>
    <row r="51" spans="1:11" ht="18.5">
      <c r="A51" s="228">
        <v>50</v>
      </c>
      <c r="B51" s="259" t="s">
        <v>316</v>
      </c>
      <c r="C51" s="228" t="s">
        <v>466</v>
      </c>
      <c r="D51" s="228" t="s">
        <v>1627</v>
      </c>
      <c r="E51" s="226"/>
      <c r="F51" s="226"/>
      <c r="G51" s="226"/>
      <c r="H51" s="226"/>
      <c r="I51" s="226"/>
      <c r="J51" s="226"/>
      <c r="K51" s="226"/>
    </row>
    <row r="52" spans="1:11" ht="18.5">
      <c r="A52" s="228">
        <v>51</v>
      </c>
      <c r="B52" s="259" t="s">
        <v>320</v>
      </c>
      <c r="C52" s="228" t="s">
        <v>466</v>
      </c>
      <c r="D52" s="228" t="s">
        <v>1627</v>
      </c>
      <c r="E52" s="226"/>
      <c r="F52" s="226"/>
      <c r="G52" s="226"/>
      <c r="H52" s="226"/>
      <c r="I52" s="226"/>
      <c r="J52" s="226"/>
      <c r="K52" s="226"/>
    </row>
    <row r="53" spans="1:11" ht="18.5">
      <c r="A53" s="228">
        <v>52</v>
      </c>
      <c r="B53" s="259" t="s">
        <v>323</v>
      </c>
      <c r="C53" s="228" t="s">
        <v>466</v>
      </c>
      <c r="D53" s="228" t="s">
        <v>1627</v>
      </c>
      <c r="E53" s="226"/>
      <c r="F53" s="226"/>
      <c r="G53" s="226"/>
      <c r="H53" s="226"/>
      <c r="I53" s="226"/>
      <c r="J53" s="226"/>
      <c r="K53" s="226"/>
    </row>
    <row r="54" spans="1:11" ht="18.5">
      <c r="A54" s="228">
        <v>53</v>
      </c>
      <c r="B54" s="259" t="s">
        <v>331</v>
      </c>
      <c r="C54" s="228" t="s">
        <v>466</v>
      </c>
      <c r="D54" s="228" t="s">
        <v>1626</v>
      </c>
      <c r="E54" s="226"/>
      <c r="F54" s="226"/>
      <c r="G54" s="226"/>
      <c r="H54" s="226"/>
      <c r="I54" s="226"/>
      <c r="J54" s="226"/>
      <c r="K54" s="226"/>
    </row>
    <row r="55" spans="1:11" ht="18.5">
      <c r="A55" s="228">
        <v>54</v>
      </c>
      <c r="B55" s="259" t="s">
        <v>922</v>
      </c>
      <c r="C55" s="228" t="s">
        <v>466</v>
      </c>
      <c r="D55" s="228" t="s">
        <v>1627</v>
      </c>
      <c r="E55" s="226"/>
      <c r="F55" s="226"/>
      <c r="G55" s="226"/>
      <c r="H55" s="226"/>
      <c r="I55" s="226"/>
      <c r="J55" s="226"/>
      <c r="K55" s="226"/>
    </row>
    <row r="56" spans="1:11" ht="18.5">
      <c r="A56" s="228">
        <v>55</v>
      </c>
      <c r="B56" s="259" t="s">
        <v>1638</v>
      </c>
      <c r="C56" s="228" t="s">
        <v>466</v>
      </c>
      <c r="D56" s="228" t="s">
        <v>1627</v>
      </c>
      <c r="E56" s="226"/>
      <c r="F56" s="226"/>
      <c r="G56" s="226"/>
      <c r="H56" s="226"/>
      <c r="I56" s="226"/>
      <c r="J56" s="226"/>
      <c r="K56" s="226"/>
    </row>
    <row r="57" spans="1:11" ht="18.5">
      <c r="A57" s="228">
        <v>56</v>
      </c>
      <c r="B57" s="259" t="s">
        <v>347</v>
      </c>
      <c r="C57" s="228" t="s">
        <v>466</v>
      </c>
      <c r="D57" s="228" t="s">
        <v>1627</v>
      </c>
      <c r="E57" s="226"/>
      <c r="F57" s="226"/>
      <c r="G57" s="226"/>
      <c r="H57" s="226"/>
      <c r="I57" s="226"/>
      <c r="J57" s="226"/>
      <c r="K57" s="226"/>
    </row>
    <row r="58" spans="1:11" ht="18.5">
      <c r="A58" s="228">
        <v>57</v>
      </c>
      <c r="B58" s="259" t="s">
        <v>350</v>
      </c>
      <c r="C58" s="228" t="s">
        <v>466</v>
      </c>
      <c r="D58" s="228" t="s">
        <v>1627</v>
      </c>
      <c r="E58" s="226"/>
      <c r="F58" s="226"/>
      <c r="G58" s="226"/>
      <c r="H58" s="226"/>
      <c r="I58" s="226"/>
      <c r="J58" s="226"/>
      <c r="K58" s="226"/>
    </row>
    <row r="59" spans="1:11" ht="18.5">
      <c r="A59" s="228">
        <v>58</v>
      </c>
      <c r="B59" s="259" t="s">
        <v>353</v>
      </c>
      <c r="C59" s="228" t="s">
        <v>466</v>
      </c>
      <c r="D59" s="228" t="s">
        <v>1626</v>
      </c>
      <c r="E59" s="226"/>
      <c r="F59" s="226"/>
      <c r="G59" s="226"/>
      <c r="H59" s="226"/>
      <c r="I59" s="226"/>
      <c r="J59" s="226"/>
      <c r="K59" s="226"/>
    </row>
    <row r="60" spans="1:11" ht="18.5">
      <c r="A60" s="228">
        <v>59</v>
      </c>
      <c r="B60" s="259" t="s">
        <v>1639</v>
      </c>
      <c r="C60" s="228" t="s">
        <v>466</v>
      </c>
      <c r="D60" s="228" t="s">
        <v>1626</v>
      </c>
      <c r="E60" s="226"/>
      <c r="F60" s="226"/>
      <c r="G60" s="226"/>
      <c r="H60" s="226"/>
      <c r="I60" s="226"/>
      <c r="J60" s="226"/>
      <c r="K60" s="226"/>
    </row>
    <row r="61" spans="1:11" ht="18.5">
      <c r="A61" s="228">
        <v>60</v>
      </c>
      <c r="B61" s="259" t="s">
        <v>1640</v>
      </c>
      <c r="C61" s="228" t="s">
        <v>466</v>
      </c>
      <c r="D61" s="228" t="s">
        <v>1626</v>
      </c>
      <c r="E61" s="226"/>
      <c r="F61" s="226"/>
      <c r="G61" s="226"/>
      <c r="H61" s="226"/>
      <c r="I61" s="226"/>
      <c r="J61" s="226"/>
      <c r="K61" s="226"/>
    </row>
    <row r="62" spans="1:11" ht="18.5">
      <c r="A62" s="228">
        <v>61</v>
      </c>
      <c r="B62" s="259" t="s">
        <v>368</v>
      </c>
      <c r="C62" s="228" t="s">
        <v>466</v>
      </c>
      <c r="D62" s="228" t="s">
        <v>1627</v>
      </c>
      <c r="E62" s="226"/>
      <c r="F62" s="226"/>
      <c r="G62" s="226"/>
      <c r="H62" s="226"/>
      <c r="I62" s="226"/>
      <c r="J62" s="226"/>
      <c r="K62" s="226"/>
    </row>
    <row r="63" spans="1:11" ht="18.5">
      <c r="A63" s="228">
        <v>62</v>
      </c>
      <c r="B63" s="259" t="s">
        <v>1641</v>
      </c>
      <c r="C63" s="228" t="s">
        <v>466</v>
      </c>
      <c r="D63" s="228" t="s">
        <v>1626</v>
      </c>
      <c r="E63" s="226"/>
      <c r="F63" s="226"/>
      <c r="G63" s="226"/>
      <c r="H63" s="226"/>
      <c r="I63" s="226"/>
      <c r="J63" s="226"/>
      <c r="K63" s="226"/>
    </row>
    <row r="64" spans="1:11" ht="18.5">
      <c r="A64" s="228">
        <v>63</v>
      </c>
      <c r="B64" s="259" t="s">
        <v>376</v>
      </c>
      <c r="C64" s="228" t="s">
        <v>466</v>
      </c>
      <c r="D64" s="228" t="s">
        <v>1626</v>
      </c>
      <c r="E64" s="226"/>
      <c r="F64" s="226"/>
      <c r="G64" s="226"/>
      <c r="H64" s="226"/>
      <c r="I64" s="226"/>
      <c r="J64" s="226"/>
      <c r="K64" s="226"/>
    </row>
    <row r="65" spans="1:11" ht="18.5">
      <c r="A65" s="228">
        <v>64</v>
      </c>
      <c r="B65" s="259" t="s">
        <v>380</v>
      </c>
      <c r="C65" s="228" t="s">
        <v>466</v>
      </c>
      <c r="D65" s="228" t="s">
        <v>1626</v>
      </c>
      <c r="E65" s="226"/>
      <c r="F65" s="226"/>
      <c r="G65" s="226"/>
      <c r="H65" s="226"/>
      <c r="I65" s="226"/>
      <c r="J65" s="226"/>
      <c r="K65" s="226"/>
    </row>
    <row r="66" spans="1:11" ht="18.5">
      <c r="A66" s="228">
        <v>65</v>
      </c>
      <c r="B66" s="259" t="s">
        <v>384</v>
      </c>
      <c r="C66" s="228" t="s">
        <v>466</v>
      </c>
      <c r="D66" s="228" t="s">
        <v>1626</v>
      </c>
      <c r="E66" s="226"/>
      <c r="F66" s="226"/>
      <c r="G66" s="226"/>
      <c r="H66" s="226"/>
      <c r="I66" s="226"/>
      <c r="J66" s="226"/>
      <c r="K66" s="226"/>
    </row>
    <row r="67" spans="1:11" ht="18.5">
      <c r="A67" s="228">
        <v>66</v>
      </c>
      <c r="B67" s="259" t="s">
        <v>388</v>
      </c>
      <c r="C67" s="228" t="s">
        <v>466</v>
      </c>
      <c r="D67" s="228" t="s">
        <v>1626</v>
      </c>
      <c r="E67" s="226"/>
      <c r="F67" s="226"/>
      <c r="G67" s="226"/>
      <c r="H67" s="226"/>
      <c r="I67" s="226"/>
      <c r="J67" s="226"/>
      <c r="K67" s="226"/>
    </row>
    <row r="68" spans="1:11" ht="18.5">
      <c r="A68" s="228">
        <v>67</v>
      </c>
      <c r="B68" s="259" t="s">
        <v>916</v>
      </c>
      <c r="C68" s="228" t="s">
        <v>466</v>
      </c>
      <c r="D68" s="228" t="s">
        <v>1627</v>
      </c>
      <c r="E68" s="226"/>
      <c r="F68" s="226"/>
      <c r="G68" s="226"/>
      <c r="H68" s="226"/>
      <c r="I68" s="226"/>
      <c r="J68" s="226"/>
      <c r="K68" s="226"/>
    </row>
    <row r="69" spans="1:11" ht="18.5">
      <c r="A69" s="228">
        <v>68</v>
      </c>
      <c r="B69" s="259" t="s">
        <v>396</v>
      </c>
      <c r="C69" s="228" t="s">
        <v>466</v>
      </c>
      <c r="D69" s="228" t="s">
        <v>1626</v>
      </c>
      <c r="E69" s="226"/>
      <c r="F69" s="226"/>
      <c r="G69" s="226"/>
      <c r="H69" s="226"/>
      <c r="I69" s="226"/>
      <c r="J69" s="226"/>
      <c r="K69" s="226"/>
    </row>
    <row r="70" spans="1:11" ht="18.5">
      <c r="A70" s="228">
        <v>69</v>
      </c>
      <c r="B70" s="260" t="s">
        <v>1642</v>
      </c>
      <c r="C70" s="263" t="s">
        <v>466</v>
      </c>
      <c r="D70" s="263" t="s">
        <v>1626</v>
      </c>
      <c r="E70" s="226"/>
      <c r="F70" s="226"/>
      <c r="G70" s="226"/>
      <c r="H70" s="226"/>
      <c r="I70" s="226"/>
      <c r="J70" s="226"/>
      <c r="K70" s="226"/>
    </row>
    <row r="71" spans="1:11" ht="18.5">
      <c r="A71" s="228">
        <v>70</v>
      </c>
      <c r="B71" s="260" t="s">
        <v>926</v>
      </c>
      <c r="C71" s="263" t="s">
        <v>466</v>
      </c>
      <c r="D71" s="263" t="s">
        <v>1626</v>
      </c>
      <c r="E71" s="226"/>
      <c r="F71" s="226"/>
      <c r="G71" s="226"/>
      <c r="H71" s="226"/>
      <c r="I71" s="226"/>
      <c r="J71" s="226"/>
      <c r="K71" s="226"/>
    </row>
    <row r="72" spans="1:11" ht="18.5">
      <c r="A72" s="228">
        <v>71</v>
      </c>
      <c r="B72" s="259" t="s">
        <v>410</v>
      </c>
      <c r="C72" s="228" t="s">
        <v>466</v>
      </c>
      <c r="D72" s="228" t="s">
        <v>1626</v>
      </c>
      <c r="E72" s="226"/>
      <c r="F72" s="226"/>
      <c r="G72" s="226"/>
      <c r="H72" s="226"/>
      <c r="I72" s="226"/>
      <c r="J72" s="226"/>
      <c r="K72" s="226"/>
    </row>
    <row r="73" spans="1:11" ht="18.5">
      <c r="A73" s="228">
        <v>72</v>
      </c>
      <c r="B73" s="259" t="s">
        <v>931</v>
      </c>
      <c r="C73" s="228" t="s">
        <v>466</v>
      </c>
      <c r="D73" s="228" t="s">
        <v>1626</v>
      </c>
      <c r="E73" s="226"/>
      <c r="F73" s="226"/>
      <c r="G73" s="226"/>
      <c r="H73" s="226"/>
      <c r="I73" s="226"/>
      <c r="J73" s="226"/>
      <c r="K73" s="226"/>
    </row>
    <row r="74" spans="1:11" ht="18.5">
      <c r="A74" s="228">
        <v>73</v>
      </c>
      <c r="B74" s="259" t="s">
        <v>1643</v>
      </c>
      <c r="C74" s="228" t="s">
        <v>466</v>
      </c>
      <c r="D74" s="228" t="s">
        <v>1626</v>
      </c>
      <c r="E74" s="226"/>
      <c r="F74" s="226"/>
      <c r="G74" s="226"/>
      <c r="H74" s="226"/>
      <c r="I74" s="226"/>
      <c r="J74" s="226"/>
      <c r="K74" s="226"/>
    </row>
    <row r="75" spans="1:11" ht="18.5">
      <c r="A75" s="228">
        <v>74</v>
      </c>
      <c r="B75" s="259" t="s">
        <v>1644</v>
      </c>
      <c r="C75" s="228" t="s">
        <v>466</v>
      </c>
      <c r="D75" s="228" t="s">
        <v>1626</v>
      </c>
      <c r="E75" s="226"/>
      <c r="F75" s="226"/>
      <c r="G75" s="226"/>
      <c r="H75" s="226"/>
      <c r="I75" s="226"/>
      <c r="J75" s="226"/>
      <c r="K75" s="226"/>
    </row>
    <row r="76" spans="1:11" ht="18.5">
      <c r="A76" s="228">
        <v>75</v>
      </c>
      <c r="B76" s="259" t="s">
        <v>917</v>
      </c>
      <c r="C76" s="228" t="s">
        <v>466</v>
      </c>
      <c r="D76" s="228" t="s">
        <v>1626</v>
      </c>
      <c r="E76" s="226"/>
      <c r="F76" s="226"/>
      <c r="G76" s="226"/>
      <c r="H76" s="226"/>
      <c r="I76" s="226"/>
      <c r="J76" s="226"/>
      <c r="K76" s="226"/>
    </row>
    <row r="77" spans="1:11" ht="18.5">
      <c r="A77" s="228">
        <v>76</v>
      </c>
      <c r="B77" s="259" t="s">
        <v>929</v>
      </c>
      <c r="C77" s="228" t="s">
        <v>466</v>
      </c>
      <c r="D77" s="228" t="s">
        <v>1626</v>
      </c>
      <c r="E77" s="226"/>
      <c r="F77" s="226"/>
      <c r="G77" s="226"/>
      <c r="H77" s="226"/>
      <c r="I77" s="226"/>
      <c r="J77" s="226"/>
      <c r="K77" s="226"/>
    </row>
    <row r="78" spans="1:11" ht="18.5">
      <c r="A78" s="228">
        <v>77</v>
      </c>
      <c r="B78" s="259" t="s">
        <v>1645</v>
      </c>
      <c r="C78" s="228" t="s">
        <v>466</v>
      </c>
      <c r="D78" s="228" t="s">
        <v>1626</v>
      </c>
      <c r="E78" s="226"/>
      <c r="F78" s="226"/>
      <c r="G78" s="226"/>
      <c r="H78" s="226"/>
      <c r="I78" s="226"/>
      <c r="J78" s="226"/>
      <c r="K78" s="226"/>
    </row>
    <row r="79" spans="1:11" ht="18.5">
      <c r="A79" s="228">
        <v>78</v>
      </c>
      <c r="B79" s="259" t="s">
        <v>437</v>
      </c>
      <c r="C79" s="228" t="s">
        <v>466</v>
      </c>
      <c r="D79" s="228" t="s">
        <v>1626</v>
      </c>
      <c r="E79" s="226"/>
      <c r="F79" s="226"/>
      <c r="G79" s="226"/>
      <c r="H79" s="226"/>
      <c r="I79" s="226"/>
      <c r="J79" s="226"/>
      <c r="K79" s="226"/>
    </row>
    <row r="80" spans="1:11" ht="18.5">
      <c r="A80" s="228">
        <v>79</v>
      </c>
      <c r="B80" s="259" t="s">
        <v>440</v>
      </c>
      <c r="C80" s="228" t="s">
        <v>466</v>
      </c>
      <c r="D80" s="228" t="s">
        <v>1626</v>
      </c>
      <c r="E80" s="226"/>
      <c r="F80" s="226"/>
      <c r="G80" s="226"/>
      <c r="H80" s="226"/>
      <c r="I80" s="226"/>
      <c r="J80" s="226"/>
      <c r="K80" s="226"/>
    </row>
    <row r="81" spans="1:11" ht="18.5">
      <c r="A81" s="228">
        <v>80</v>
      </c>
      <c r="B81" s="259" t="s">
        <v>444</v>
      </c>
      <c r="C81" s="228" t="s">
        <v>466</v>
      </c>
      <c r="D81" s="228" t="s">
        <v>1626</v>
      </c>
      <c r="E81" s="226"/>
      <c r="F81" s="226"/>
      <c r="G81" s="226"/>
      <c r="H81" s="226"/>
      <c r="I81" s="226"/>
      <c r="J81" s="226"/>
      <c r="K81" s="226"/>
    </row>
    <row r="82" spans="1:11" ht="18.5">
      <c r="A82" s="228">
        <v>81</v>
      </c>
      <c r="B82" s="259" t="s">
        <v>924</v>
      </c>
      <c r="C82" s="228" t="s">
        <v>466</v>
      </c>
      <c r="D82" s="228" t="s">
        <v>1626</v>
      </c>
      <c r="E82" s="226"/>
      <c r="F82" s="226"/>
      <c r="G82" s="226"/>
      <c r="H82" s="226"/>
      <c r="I82" s="226"/>
      <c r="J82" s="226"/>
      <c r="K82" s="226"/>
    </row>
    <row r="83" spans="1:11" ht="18.5">
      <c r="A83" s="228">
        <v>82</v>
      </c>
      <c r="B83" s="260" t="s">
        <v>469</v>
      </c>
      <c r="C83" s="263" t="s">
        <v>466</v>
      </c>
      <c r="D83" s="263" t="s">
        <v>1627</v>
      </c>
      <c r="E83" s="226"/>
      <c r="F83" s="226"/>
      <c r="G83" s="226"/>
      <c r="H83" s="226"/>
      <c r="I83" s="226"/>
      <c r="J83" s="226"/>
      <c r="K83" s="226"/>
    </row>
    <row r="84" spans="1:11" ht="18.5">
      <c r="A84" s="228">
        <v>83</v>
      </c>
      <c r="B84" s="259" t="s">
        <v>804</v>
      </c>
      <c r="C84" s="228" t="s">
        <v>1668</v>
      </c>
      <c r="D84" s="228" t="s">
        <v>1626</v>
      </c>
      <c r="E84" s="226"/>
      <c r="F84" s="226"/>
      <c r="G84" s="226"/>
      <c r="H84" s="226"/>
      <c r="I84" s="226"/>
      <c r="J84" s="226"/>
      <c r="K84" s="226"/>
    </row>
    <row r="85" spans="1:11" ht="18.5">
      <c r="A85" s="228">
        <v>84</v>
      </c>
      <c r="B85" s="259" t="s">
        <v>808</v>
      </c>
      <c r="C85" s="228" t="s">
        <v>1668</v>
      </c>
      <c r="D85" s="228" t="s">
        <v>1627</v>
      </c>
      <c r="E85" s="226"/>
      <c r="F85" s="226"/>
      <c r="G85" s="226"/>
      <c r="H85" s="226"/>
      <c r="I85" s="226"/>
      <c r="J85" s="226"/>
      <c r="K85" s="226"/>
    </row>
    <row r="86" spans="1:11" ht="18.5">
      <c r="A86" s="228">
        <v>85</v>
      </c>
      <c r="B86" s="259" t="s">
        <v>815</v>
      </c>
      <c r="C86" s="228" t="s">
        <v>1668</v>
      </c>
      <c r="D86" s="228" t="s">
        <v>1627</v>
      </c>
      <c r="E86" s="226"/>
      <c r="F86" s="226"/>
      <c r="G86" s="226"/>
      <c r="H86" s="226"/>
      <c r="I86" s="226"/>
      <c r="J86" s="226"/>
      <c r="K86" s="226"/>
    </row>
    <row r="87" spans="1:11" ht="18.5">
      <c r="A87" s="228">
        <v>86</v>
      </c>
      <c r="B87" s="259" t="s">
        <v>819</v>
      </c>
      <c r="C87" s="228" t="s">
        <v>1668</v>
      </c>
      <c r="D87" s="228" t="s">
        <v>1626</v>
      </c>
      <c r="E87" s="226"/>
      <c r="F87" s="226"/>
      <c r="G87" s="226"/>
      <c r="H87" s="226"/>
      <c r="I87" s="226"/>
      <c r="J87" s="226"/>
      <c r="K87" s="226"/>
    </row>
    <row r="88" spans="1:11" ht="18.5">
      <c r="A88" s="228">
        <v>87</v>
      </c>
      <c r="B88" s="259" t="s">
        <v>823</v>
      </c>
      <c r="C88" s="228" t="s">
        <v>1668</v>
      </c>
      <c r="D88" s="228" t="s">
        <v>1626</v>
      </c>
      <c r="E88" s="226"/>
      <c r="F88" s="226"/>
      <c r="G88" s="226"/>
      <c r="H88" s="226"/>
      <c r="I88" s="226"/>
      <c r="J88" s="226"/>
      <c r="K88" s="226"/>
    </row>
    <row r="89" spans="1:11" ht="18.5">
      <c r="A89" s="228">
        <v>88</v>
      </c>
      <c r="B89" s="259" t="s">
        <v>1646</v>
      </c>
      <c r="C89" s="228" t="s">
        <v>1668</v>
      </c>
      <c r="D89" s="228" t="s">
        <v>1627</v>
      </c>
      <c r="E89" s="226"/>
      <c r="F89" s="226"/>
      <c r="G89" s="226"/>
      <c r="H89" s="226"/>
      <c r="I89" s="226"/>
      <c r="J89" s="226"/>
      <c r="K89" s="226"/>
    </row>
    <row r="90" spans="1:11" ht="18.5">
      <c r="A90" s="228">
        <v>89</v>
      </c>
      <c r="B90" s="259" t="s">
        <v>1647</v>
      </c>
      <c r="C90" s="228" t="s">
        <v>1668</v>
      </c>
      <c r="D90" s="228" t="s">
        <v>1626</v>
      </c>
      <c r="E90" s="226"/>
      <c r="F90" s="226"/>
      <c r="G90" s="226"/>
      <c r="H90" s="226"/>
      <c r="I90" s="226"/>
      <c r="J90" s="226"/>
      <c r="K90" s="226"/>
    </row>
    <row r="91" spans="1:11" ht="18.5">
      <c r="A91" s="228">
        <v>90</v>
      </c>
      <c r="B91" s="259" t="s">
        <v>843</v>
      </c>
      <c r="C91" s="228" t="s">
        <v>1668</v>
      </c>
      <c r="D91" s="228" t="s">
        <v>1626</v>
      </c>
      <c r="E91" s="226"/>
      <c r="F91" s="226"/>
      <c r="G91" s="226"/>
      <c r="H91" s="226"/>
      <c r="I91" s="226"/>
      <c r="J91" s="226"/>
      <c r="K91" s="226"/>
    </row>
    <row r="92" spans="1:11" ht="18.5">
      <c r="A92" s="228">
        <v>91</v>
      </c>
      <c r="B92" s="259" t="s">
        <v>850</v>
      </c>
      <c r="C92" s="228" t="s">
        <v>1668</v>
      </c>
      <c r="D92" s="228" t="s">
        <v>1626</v>
      </c>
      <c r="E92" s="226"/>
      <c r="F92" s="226"/>
      <c r="G92" s="226"/>
      <c r="H92" s="226"/>
      <c r="I92" s="226"/>
      <c r="J92" s="226"/>
      <c r="K92" s="226"/>
    </row>
    <row r="93" spans="1:11" ht="18.5">
      <c r="A93" s="228">
        <v>92</v>
      </c>
      <c r="B93" s="259" t="s">
        <v>854</v>
      </c>
      <c r="C93" s="228" t="s">
        <v>1668</v>
      </c>
      <c r="D93" s="228" t="s">
        <v>1626</v>
      </c>
      <c r="E93" s="226"/>
      <c r="F93" s="226"/>
      <c r="G93" s="226"/>
      <c r="H93" s="226"/>
      <c r="I93" s="226"/>
      <c r="J93" s="226"/>
      <c r="K93" s="226"/>
    </row>
    <row r="94" spans="1:11" ht="18.5">
      <c r="A94" s="228">
        <v>93</v>
      </c>
      <c r="B94" s="259" t="s">
        <v>862</v>
      </c>
      <c r="C94" s="228" t="s">
        <v>1668</v>
      </c>
      <c r="D94" s="228" t="s">
        <v>1627</v>
      </c>
      <c r="E94" s="226"/>
      <c r="F94" s="226"/>
      <c r="G94" s="226"/>
      <c r="H94" s="226"/>
      <c r="I94" s="226"/>
      <c r="J94" s="226"/>
      <c r="K94" s="226"/>
    </row>
    <row r="95" spans="1:11" ht="18.5">
      <c r="A95" s="228">
        <v>94</v>
      </c>
      <c r="B95" s="259" t="s">
        <v>866</v>
      </c>
      <c r="C95" s="228" t="s">
        <v>1668</v>
      </c>
      <c r="D95" s="228" t="s">
        <v>1626</v>
      </c>
      <c r="E95" s="226"/>
      <c r="F95" s="226"/>
      <c r="G95" s="226"/>
      <c r="H95" s="226"/>
      <c r="I95" s="226"/>
      <c r="J95" s="226"/>
      <c r="K95" s="226"/>
    </row>
    <row r="96" spans="1:11" ht="18.5">
      <c r="A96" s="228">
        <v>95</v>
      </c>
      <c r="B96" s="259" t="s">
        <v>1648</v>
      </c>
      <c r="C96" s="228" t="s">
        <v>1668</v>
      </c>
      <c r="D96" s="228" t="s">
        <v>1626</v>
      </c>
      <c r="E96" s="226"/>
      <c r="F96" s="226"/>
      <c r="G96" s="226"/>
      <c r="H96" s="226"/>
      <c r="I96" s="226"/>
      <c r="J96" s="226"/>
      <c r="K96" s="226"/>
    </row>
    <row r="97" spans="1:11" ht="18.5">
      <c r="A97" s="228">
        <v>96</v>
      </c>
      <c r="B97" s="259" t="s">
        <v>882</v>
      </c>
      <c r="C97" s="228" t="s">
        <v>1668</v>
      </c>
      <c r="D97" s="228" t="s">
        <v>1626</v>
      </c>
      <c r="E97" s="226"/>
      <c r="F97" s="226"/>
      <c r="G97" s="226"/>
      <c r="H97" s="226"/>
      <c r="I97" s="226"/>
      <c r="J97" s="226"/>
      <c r="K97" s="226"/>
    </row>
    <row r="98" spans="1:11" ht="18.5">
      <c r="A98" s="228">
        <v>97</v>
      </c>
      <c r="B98" s="259" t="s">
        <v>1649</v>
      </c>
      <c r="C98" s="228" t="s">
        <v>1668</v>
      </c>
      <c r="D98" s="228" t="s">
        <v>1626</v>
      </c>
      <c r="E98" s="226"/>
      <c r="F98" s="226"/>
      <c r="G98" s="226"/>
      <c r="H98" s="226"/>
      <c r="I98" s="226"/>
      <c r="J98" s="226"/>
      <c r="K98" s="226"/>
    </row>
    <row r="99" spans="1:11" ht="18.5">
      <c r="A99" s="228">
        <v>98</v>
      </c>
      <c r="B99" s="259" t="s">
        <v>1650</v>
      </c>
      <c r="C99" s="228" t="s">
        <v>1668</v>
      </c>
      <c r="D99" s="228" t="s">
        <v>1626</v>
      </c>
      <c r="E99" s="226"/>
      <c r="F99" s="226"/>
      <c r="G99" s="226"/>
      <c r="H99" s="226"/>
      <c r="I99" s="226"/>
      <c r="J99" s="226"/>
      <c r="K99" s="226"/>
    </row>
    <row r="100" spans="1:11" ht="18.5">
      <c r="A100" s="228">
        <v>99</v>
      </c>
      <c r="B100" s="259" t="s">
        <v>897</v>
      </c>
      <c r="C100" s="228" t="s">
        <v>1668</v>
      </c>
      <c r="D100" s="228" t="s">
        <v>1626</v>
      </c>
      <c r="E100" s="226"/>
      <c r="F100" s="226"/>
      <c r="G100" s="226"/>
      <c r="H100" s="226"/>
      <c r="I100" s="226"/>
      <c r="J100" s="226"/>
      <c r="K100" s="226"/>
    </row>
    <row r="101" spans="1:11" ht="18.5">
      <c r="A101" s="228">
        <v>100</v>
      </c>
      <c r="B101" s="259" t="s">
        <v>550</v>
      </c>
      <c r="C101" s="228" t="s">
        <v>1669</v>
      </c>
      <c r="D101" s="228" t="s">
        <v>1626</v>
      </c>
      <c r="E101" s="226"/>
      <c r="F101" s="226"/>
      <c r="G101" s="226"/>
      <c r="H101" s="226"/>
      <c r="I101" s="226"/>
      <c r="J101" s="226"/>
      <c r="K101" s="226"/>
    </row>
    <row r="102" spans="1:11" ht="18.5">
      <c r="A102" s="228">
        <v>101</v>
      </c>
      <c r="B102" s="259" t="s">
        <v>558</v>
      </c>
      <c r="C102" s="228" t="s">
        <v>1669</v>
      </c>
      <c r="D102" s="228" t="s">
        <v>1626</v>
      </c>
      <c r="E102" s="226"/>
      <c r="F102" s="226"/>
      <c r="G102" s="226"/>
      <c r="H102" s="226"/>
      <c r="I102" s="226"/>
      <c r="J102" s="226"/>
      <c r="K102" s="226"/>
    </row>
    <row r="103" spans="1:11" ht="18.5">
      <c r="A103" s="228">
        <v>102</v>
      </c>
      <c r="B103" s="259" t="s">
        <v>574</v>
      </c>
      <c r="C103" s="228" t="s">
        <v>1669</v>
      </c>
      <c r="D103" s="228" t="s">
        <v>1626</v>
      </c>
      <c r="E103" s="226"/>
      <c r="F103" s="226"/>
      <c r="G103" s="226"/>
      <c r="H103" s="226"/>
      <c r="I103" s="226"/>
      <c r="J103" s="226"/>
      <c r="K103" s="226"/>
    </row>
    <row r="104" spans="1:11" ht="18.5">
      <c r="A104" s="228">
        <v>103</v>
      </c>
      <c r="B104" s="259" t="s">
        <v>582</v>
      </c>
      <c r="C104" s="228" t="s">
        <v>1669</v>
      </c>
      <c r="D104" s="228" t="s">
        <v>1626</v>
      </c>
      <c r="E104" s="226"/>
      <c r="F104" s="226"/>
      <c r="G104" s="226"/>
      <c r="H104" s="226"/>
      <c r="I104" s="226"/>
      <c r="J104" s="226"/>
      <c r="K104" s="226"/>
    </row>
    <row r="105" spans="1:11" ht="18.5">
      <c r="A105" s="228">
        <v>104</v>
      </c>
      <c r="B105" s="259" t="s">
        <v>590</v>
      </c>
      <c r="C105" s="228" t="s">
        <v>1669</v>
      </c>
      <c r="D105" s="228" t="s">
        <v>1626</v>
      </c>
      <c r="E105" s="226"/>
      <c r="F105" s="226"/>
      <c r="G105" s="226"/>
      <c r="H105" s="226"/>
      <c r="I105" s="226"/>
      <c r="J105" s="226"/>
      <c r="K105" s="226"/>
    </row>
    <row r="106" spans="1:11" ht="18.5">
      <c r="A106" s="228">
        <v>105</v>
      </c>
      <c r="B106" s="259" t="s">
        <v>598</v>
      </c>
      <c r="C106" s="228" t="s">
        <v>1669</v>
      </c>
      <c r="D106" s="228" t="s">
        <v>1626</v>
      </c>
      <c r="E106" s="226"/>
      <c r="F106" s="226"/>
      <c r="G106" s="226"/>
      <c r="H106" s="226"/>
      <c r="I106" s="226"/>
      <c r="J106" s="226"/>
      <c r="K106" s="226"/>
    </row>
    <row r="107" spans="1:11" ht="18.5">
      <c r="A107" s="228">
        <v>106</v>
      </c>
      <c r="B107" s="259" t="s">
        <v>612</v>
      </c>
      <c r="C107" s="228" t="s">
        <v>1669</v>
      </c>
      <c r="D107" s="228" t="s">
        <v>1626</v>
      </c>
      <c r="E107" s="226"/>
      <c r="F107" s="226"/>
      <c r="G107" s="226"/>
      <c r="H107" s="226"/>
      <c r="I107" s="226"/>
      <c r="J107" s="226"/>
      <c r="K107" s="226"/>
    </row>
    <row r="108" spans="1:11" ht="18.5">
      <c r="A108" s="228">
        <v>107</v>
      </c>
      <c r="B108" s="259" t="s">
        <v>1150</v>
      </c>
      <c r="C108" s="228" t="s">
        <v>1669</v>
      </c>
      <c r="D108" s="228" t="s">
        <v>1626</v>
      </c>
      <c r="E108" s="226"/>
      <c r="F108" s="226"/>
      <c r="G108" s="226"/>
      <c r="H108" s="226"/>
      <c r="I108" s="226"/>
      <c r="J108" s="226"/>
      <c r="K108" s="226"/>
    </row>
    <row r="109" spans="1:11" ht="18.5">
      <c r="A109" s="228">
        <v>108</v>
      </c>
      <c r="B109" s="259" t="s">
        <v>1651</v>
      </c>
      <c r="C109" s="228" t="s">
        <v>1669</v>
      </c>
      <c r="D109" s="228" t="s">
        <v>1627</v>
      </c>
      <c r="E109" s="226"/>
      <c r="F109" s="226"/>
      <c r="G109" s="226"/>
      <c r="H109" s="226"/>
      <c r="I109" s="226"/>
      <c r="J109" s="226"/>
      <c r="K109" s="226"/>
    </row>
    <row r="110" spans="1:11" ht="18.5">
      <c r="A110" s="228">
        <v>109</v>
      </c>
      <c r="B110" s="259" t="s">
        <v>626</v>
      </c>
      <c r="C110" s="228" t="s">
        <v>1669</v>
      </c>
      <c r="D110" s="228" t="s">
        <v>1626</v>
      </c>
      <c r="E110" s="226"/>
      <c r="F110" s="226"/>
      <c r="G110" s="226"/>
      <c r="H110" s="226"/>
      <c r="I110" s="226"/>
      <c r="J110" s="226"/>
      <c r="K110" s="226"/>
    </row>
    <row r="111" spans="1:11" ht="18.5">
      <c r="A111" s="228">
        <v>110</v>
      </c>
      <c r="B111" s="259" t="s">
        <v>961</v>
      </c>
      <c r="C111" s="228" t="s">
        <v>1669</v>
      </c>
      <c r="D111" s="228" t="s">
        <v>1626</v>
      </c>
      <c r="E111" s="226"/>
      <c r="F111" s="226"/>
      <c r="G111" s="226"/>
      <c r="H111" s="226"/>
      <c r="I111" s="226"/>
      <c r="J111" s="226"/>
      <c r="K111" s="226"/>
    </row>
    <row r="112" spans="1:11" ht="18.5">
      <c r="A112" s="228">
        <v>111</v>
      </c>
      <c r="B112" s="259" t="s">
        <v>1652</v>
      </c>
      <c r="C112" s="228" t="s">
        <v>1669</v>
      </c>
      <c r="D112" s="228" t="s">
        <v>1627</v>
      </c>
      <c r="E112" s="226"/>
      <c r="F112" s="226"/>
      <c r="G112" s="226"/>
      <c r="H112" s="226"/>
      <c r="I112" s="226"/>
      <c r="J112" s="226"/>
      <c r="K112" s="226"/>
    </row>
    <row r="113" spans="1:11" ht="18.5">
      <c r="A113" s="228">
        <v>112</v>
      </c>
      <c r="B113" s="259" t="s">
        <v>148</v>
      </c>
      <c r="C113" s="228" t="s">
        <v>1594</v>
      </c>
      <c r="D113" s="228" t="s">
        <v>1627</v>
      </c>
      <c r="E113" s="226"/>
      <c r="F113" s="226"/>
      <c r="G113" s="226"/>
      <c r="H113" s="226"/>
      <c r="I113" s="226"/>
      <c r="J113" s="226"/>
      <c r="K113" s="226"/>
    </row>
    <row r="114" spans="1:11" ht="18.5">
      <c r="A114" s="228">
        <v>113</v>
      </c>
      <c r="B114" s="259" t="s">
        <v>472</v>
      </c>
      <c r="C114" s="228" t="s">
        <v>466</v>
      </c>
      <c r="D114" s="228" t="s">
        <v>1627</v>
      </c>
      <c r="E114" s="226"/>
      <c r="F114" s="226"/>
      <c r="G114" s="226"/>
      <c r="H114" s="226"/>
      <c r="I114" s="226"/>
      <c r="J114" s="226"/>
      <c r="K114" s="226"/>
    </row>
    <row r="115" spans="1:11" ht="18.5">
      <c r="A115" s="228">
        <v>114</v>
      </c>
      <c r="B115" s="261" t="s">
        <v>651</v>
      </c>
      <c r="C115" s="228" t="s">
        <v>1669</v>
      </c>
      <c r="D115" s="228" t="s">
        <v>1627</v>
      </c>
      <c r="E115" s="226"/>
      <c r="F115" s="226"/>
      <c r="G115" s="226"/>
      <c r="H115" s="226"/>
      <c r="I115" s="226"/>
      <c r="J115" s="226"/>
      <c r="K115" s="226"/>
    </row>
    <row r="116" spans="1:11" ht="18.5">
      <c r="A116" s="228">
        <v>115</v>
      </c>
      <c r="B116" s="261" t="s">
        <v>659</v>
      </c>
      <c r="C116" s="228" t="s">
        <v>1669</v>
      </c>
      <c r="D116" s="228" t="s">
        <v>1626</v>
      </c>
      <c r="E116" s="226"/>
      <c r="F116" s="226"/>
      <c r="G116" s="226"/>
      <c r="H116" s="226"/>
      <c r="I116" s="226"/>
      <c r="J116" s="226"/>
      <c r="K116" s="226"/>
    </row>
    <row r="117" spans="1:11" ht="18.5">
      <c r="A117" s="228">
        <v>116</v>
      </c>
      <c r="B117" s="261" t="s">
        <v>667</v>
      </c>
      <c r="C117" s="228" t="s">
        <v>1669</v>
      </c>
      <c r="D117" s="228" t="s">
        <v>1626</v>
      </c>
      <c r="E117" s="226"/>
      <c r="F117" s="226"/>
      <c r="G117" s="226"/>
      <c r="H117" s="226"/>
      <c r="I117" s="226"/>
      <c r="J117" s="226"/>
      <c r="K117" s="226"/>
    </row>
    <row r="118" spans="1:11" ht="18.5">
      <c r="A118" s="228">
        <v>117</v>
      </c>
      <c r="B118" s="261" t="s">
        <v>675</v>
      </c>
      <c r="C118" s="228" t="s">
        <v>1669</v>
      </c>
      <c r="D118" s="228" t="s">
        <v>1626</v>
      </c>
      <c r="E118" s="226"/>
      <c r="F118" s="226"/>
      <c r="G118" s="226"/>
      <c r="H118" s="226"/>
      <c r="I118" s="226"/>
      <c r="J118" s="226"/>
      <c r="K118" s="226"/>
    </row>
    <row r="119" spans="1:11" ht="18.5">
      <c r="A119" s="228">
        <v>118</v>
      </c>
      <c r="B119" s="261" t="s">
        <v>679</v>
      </c>
      <c r="C119" s="228" t="s">
        <v>1669</v>
      </c>
      <c r="D119" s="228" t="s">
        <v>1626</v>
      </c>
      <c r="E119" s="226"/>
      <c r="F119" s="226"/>
      <c r="G119" s="226"/>
      <c r="H119" s="226"/>
      <c r="I119" s="226"/>
      <c r="J119" s="226"/>
      <c r="K119" s="226"/>
    </row>
    <row r="120" spans="1:11" ht="18.5">
      <c r="A120" s="228">
        <v>119</v>
      </c>
      <c r="B120" s="261" t="s">
        <v>683</v>
      </c>
      <c r="C120" s="228" t="s">
        <v>1669</v>
      </c>
      <c r="D120" s="228" t="s">
        <v>1626</v>
      </c>
      <c r="E120" s="226"/>
      <c r="F120" s="226"/>
      <c r="G120" s="226"/>
      <c r="H120" s="226"/>
      <c r="I120" s="226"/>
      <c r="J120" s="226"/>
      <c r="K120" s="226"/>
    </row>
    <row r="121" spans="1:11" ht="18.5">
      <c r="A121" s="228">
        <v>120</v>
      </c>
      <c r="B121" s="261" t="s">
        <v>1653</v>
      </c>
      <c r="C121" s="228" t="s">
        <v>1669</v>
      </c>
      <c r="D121" s="228" t="s">
        <v>1626</v>
      </c>
      <c r="E121" s="226"/>
      <c r="F121" s="226"/>
      <c r="G121" s="226"/>
      <c r="H121" s="226"/>
      <c r="I121" s="226"/>
      <c r="J121" s="226"/>
      <c r="K121" s="226"/>
    </row>
    <row r="122" spans="1:11" ht="18.5">
      <c r="A122" s="228">
        <v>121</v>
      </c>
      <c r="B122" s="261" t="s">
        <v>692</v>
      </c>
      <c r="C122" s="228" t="s">
        <v>1669</v>
      </c>
      <c r="D122" s="228" t="s">
        <v>1626</v>
      </c>
      <c r="E122" s="226"/>
      <c r="F122" s="226"/>
      <c r="G122" s="226"/>
      <c r="H122" s="226"/>
      <c r="I122" s="226"/>
      <c r="J122" s="226"/>
      <c r="K122" s="226"/>
    </row>
    <row r="123" spans="1:11" ht="18.5">
      <c r="A123" s="228">
        <v>122</v>
      </c>
      <c r="B123" s="261" t="s">
        <v>3296</v>
      </c>
      <c r="C123" s="228" t="s">
        <v>1669</v>
      </c>
      <c r="D123" s="228" t="s">
        <v>1626</v>
      </c>
      <c r="E123" s="226"/>
      <c r="F123" s="226"/>
      <c r="G123" s="226"/>
      <c r="H123" s="226"/>
      <c r="I123" s="226"/>
      <c r="J123" s="226"/>
      <c r="K123" s="226"/>
    </row>
    <row r="124" spans="1:11" ht="18.5">
      <c r="A124" s="228">
        <v>123</v>
      </c>
      <c r="B124" s="261" t="s">
        <v>1938</v>
      </c>
      <c r="C124" s="228" t="s">
        <v>1669</v>
      </c>
      <c r="D124" s="228" t="s">
        <v>1626</v>
      </c>
      <c r="E124" s="226"/>
      <c r="F124" s="226"/>
      <c r="G124" s="226"/>
      <c r="H124" s="226"/>
      <c r="I124" s="226"/>
      <c r="J124" s="226"/>
      <c r="K124" s="226"/>
    </row>
    <row r="125" spans="1:11" ht="18.5">
      <c r="A125" s="228">
        <v>124</v>
      </c>
      <c r="B125" s="261" t="s">
        <v>713</v>
      </c>
      <c r="C125" s="228" t="s">
        <v>1669</v>
      </c>
      <c r="D125" s="228" t="s">
        <v>1626</v>
      </c>
      <c r="E125" s="226"/>
      <c r="F125" s="226"/>
      <c r="G125" s="226"/>
      <c r="H125" s="226"/>
      <c r="I125" s="226"/>
      <c r="J125" s="226"/>
      <c r="K125" s="226"/>
    </row>
    <row r="126" spans="1:11" ht="18.5">
      <c r="A126" s="228">
        <v>125</v>
      </c>
      <c r="B126" s="261" t="s">
        <v>717</v>
      </c>
      <c r="C126" s="228" t="s">
        <v>1669</v>
      </c>
      <c r="D126" s="228" t="s">
        <v>1626</v>
      </c>
      <c r="E126" s="226"/>
      <c r="F126" s="226"/>
      <c r="G126" s="226"/>
      <c r="H126" s="226"/>
      <c r="I126" s="226"/>
      <c r="J126" s="226"/>
      <c r="K126" s="226"/>
    </row>
    <row r="127" spans="1:11" ht="18.5">
      <c r="A127" s="228">
        <v>126</v>
      </c>
      <c r="B127" s="261" t="s">
        <v>1654</v>
      </c>
      <c r="C127" s="228" t="s">
        <v>1669</v>
      </c>
      <c r="D127" s="228" t="s">
        <v>1627</v>
      </c>
      <c r="E127" s="226"/>
      <c r="F127" s="226"/>
      <c r="G127" s="226"/>
      <c r="H127" s="226"/>
      <c r="I127" s="226"/>
      <c r="J127" s="226"/>
      <c r="K127" s="226"/>
    </row>
    <row r="128" spans="1:11" ht="18.5">
      <c r="A128" s="228">
        <v>127</v>
      </c>
      <c r="B128" s="261" t="s">
        <v>735</v>
      </c>
      <c r="C128" s="228" t="s">
        <v>1669</v>
      </c>
      <c r="D128" s="228" t="s">
        <v>1626</v>
      </c>
      <c r="E128" s="226"/>
      <c r="F128" s="226"/>
      <c r="G128" s="226"/>
      <c r="H128" s="226"/>
      <c r="I128" s="226"/>
      <c r="J128" s="226"/>
      <c r="K128" s="226"/>
    </row>
    <row r="129" spans="1:11" ht="18.5">
      <c r="A129" s="228">
        <v>128</v>
      </c>
      <c r="B129" s="261" t="s">
        <v>738</v>
      </c>
      <c r="C129" s="228" t="s">
        <v>1669</v>
      </c>
      <c r="D129" s="228" t="s">
        <v>1626</v>
      </c>
      <c r="E129" s="226"/>
      <c r="F129" s="226"/>
      <c r="G129" s="226"/>
      <c r="H129" s="226"/>
      <c r="I129" s="226"/>
      <c r="J129" s="226"/>
      <c r="K129" s="226"/>
    </row>
    <row r="130" spans="1:11" ht="18.5">
      <c r="A130" s="228">
        <v>129</v>
      </c>
      <c r="B130" s="261" t="s">
        <v>741</v>
      </c>
      <c r="C130" s="228" t="s">
        <v>1669</v>
      </c>
      <c r="D130" s="228" t="s">
        <v>1627</v>
      </c>
      <c r="E130" s="226"/>
      <c r="F130" s="226"/>
      <c r="G130" s="226"/>
      <c r="H130" s="226"/>
      <c r="I130" s="226"/>
      <c r="J130" s="226"/>
      <c r="K130" s="226"/>
    </row>
    <row r="131" spans="1:11" ht="18.5">
      <c r="A131" s="228">
        <v>130</v>
      </c>
      <c r="B131" s="261" t="s">
        <v>745</v>
      </c>
      <c r="C131" s="228" t="s">
        <v>1669</v>
      </c>
      <c r="D131" s="228" t="s">
        <v>1626</v>
      </c>
      <c r="E131" s="226"/>
      <c r="F131" s="226"/>
      <c r="G131" s="226"/>
      <c r="H131" s="226"/>
      <c r="I131" s="226"/>
      <c r="J131" s="226"/>
      <c r="K131" s="226"/>
    </row>
    <row r="132" spans="1:11" ht="18.5">
      <c r="A132" s="228">
        <v>131</v>
      </c>
      <c r="B132" s="261" t="s">
        <v>748</v>
      </c>
      <c r="C132" s="228" t="s">
        <v>1669</v>
      </c>
      <c r="D132" s="228" t="s">
        <v>1626</v>
      </c>
      <c r="E132" s="226"/>
      <c r="F132" s="226"/>
      <c r="G132" s="226"/>
      <c r="H132" s="226"/>
      <c r="I132" s="226"/>
      <c r="J132" s="226"/>
      <c r="K132" s="226"/>
    </row>
    <row r="133" spans="1:11" ht="18.5">
      <c r="A133" s="228">
        <v>132</v>
      </c>
      <c r="B133" s="261" t="s">
        <v>763</v>
      </c>
      <c r="C133" s="228" t="s">
        <v>1669</v>
      </c>
      <c r="D133" s="228" t="s">
        <v>1627</v>
      </c>
      <c r="E133" s="226"/>
      <c r="F133" s="226"/>
      <c r="G133" s="226"/>
      <c r="H133" s="226"/>
      <c r="I133" s="226"/>
      <c r="J133" s="226"/>
      <c r="K133" s="226"/>
    </row>
    <row r="134" spans="1:11" ht="18.5">
      <c r="A134" s="228">
        <v>133</v>
      </c>
      <c r="B134" s="259" t="s">
        <v>1655</v>
      </c>
      <c r="C134" s="228" t="s">
        <v>466</v>
      </c>
      <c r="D134" s="228" t="s">
        <v>1626</v>
      </c>
      <c r="E134" s="226"/>
      <c r="F134" s="226"/>
      <c r="G134" s="226"/>
      <c r="H134" s="226"/>
      <c r="I134" s="226"/>
      <c r="J134" s="226"/>
      <c r="K134" s="226"/>
    </row>
    <row r="135" spans="1:11" ht="18.5">
      <c r="A135" s="228">
        <v>134</v>
      </c>
      <c r="B135" s="259" t="s">
        <v>480</v>
      </c>
      <c r="C135" s="228" t="s">
        <v>466</v>
      </c>
      <c r="D135" s="228" t="s">
        <v>1627</v>
      </c>
      <c r="E135" s="226"/>
      <c r="F135" s="226"/>
      <c r="G135" s="226"/>
      <c r="H135" s="226"/>
      <c r="I135" s="226"/>
      <c r="J135" s="226"/>
      <c r="K135" s="226"/>
    </row>
    <row r="136" spans="1:11" ht="18.5">
      <c r="A136" s="228">
        <v>135</v>
      </c>
      <c r="B136" s="259" t="s">
        <v>1656</v>
      </c>
      <c r="C136" s="228" t="s">
        <v>466</v>
      </c>
      <c r="D136" s="228" t="s">
        <v>1626</v>
      </c>
      <c r="E136" s="226"/>
      <c r="F136" s="226"/>
      <c r="G136" s="226"/>
      <c r="H136" s="226"/>
      <c r="I136" s="226"/>
      <c r="J136" s="226"/>
      <c r="K136" s="226"/>
    </row>
    <row r="137" spans="1:11" ht="18.5">
      <c r="A137" s="228">
        <v>136</v>
      </c>
      <c r="B137" s="259" t="s">
        <v>487</v>
      </c>
      <c r="C137" s="228" t="s">
        <v>466</v>
      </c>
      <c r="D137" s="228" t="s">
        <v>1626</v>
      </c>
      <c r="E137" s="226"/>
      <c r="F137" s="226"/>
      <c r="G137" s="226"/>
      <c r="H137" s="226"/>
      <c r="I137" s="226"/>
      <c r="J137" s="226"/>
      <c r="K137" s="226"/>
    </row>
    <row r="138" spans="1:11" ht="18.5">
      <c r="A138" s="228">
        <v>137</v>
      </c>
      <c r="B138" s="259" t="s">
        <v>766</v>
      </c>
      <c r="C138" s="228" t="s">
        <v>1669</v>
      </c>
      <c r="D138" s="228" t="s">
        <v>1627</v>
      </c>
      <c r="E138" s="226"/>
      <c r="F138" s="226"/>
      <c r="G138" s="226"/>
      <c r="H138" s="226"/>
      <c r="I138" s="226"/>
      <c r="J138" s="226"/>
      <c r="K138" s="226"/>
    </row>
    <row r="139" spans="1:11" ht="18.5">
      <c r="A139" s="228">
        <v>138</v>
      </c>
      <c r="B139" s="259" t="s">
        <v>902</v>
      </c>
      <c r="C139" s="228" t="s">
        <v>1668</v>
      </c>
      <c r="D139" s="228" t="s">
        <v>1626</v>
      </c>
      <c r="E139" s="226"/>
      <c r="F139" s="226"/>
      <c r="G139" s="226"/>
      <c r="H139" s="226"/>
      <c r="I139" s="226"/>
      <c r="J139" s="226"/>
      <c r="K139" s="226"/>
    </row>
    <row r="140" spans="1:11" ht="16.5">
      <c r="A140" s="228">
        <v>139</v>
      </c>
      <c r="B140" s="262" t="s">
        <v>968</v>
      </c>
      <c r="C140" s="228" t="s">
        <v>1669</v>
      </c>
      <c r="D140" s="228" t="s">
        <v>1626</v>
      </c>
      <c r="E140" s="226"/>
      <c r="F140" s="226"/>
      <c r="G140" s="226"/>
      <c r="H140" s="226"/>
      <c r="I140" s="226"/>
      <c r="J140" s="226"/>
      <c r="K140" s="226"/>
    </row>
    <row r="141" spans="1:11" ht="18.5">
      <c r="A141" s="228">
        <v>140</v>
      </c>
      <c r="B141" s="259" t="s">
        <v>490</v>
      </c>
      <c r="C141" s="228" t="s">
        <v>466</v>
      </c>
      <c r="D141" s="228" t="s">
        <v>1627</v>
      </c>
      <c r="E141" s="226"/>
      <c r="F141" s="226"/>
      <c r="G141" s="226"/>
      <c r="H141" s="226"/>
      <c r="I141" s="226"/>
      <c r="J141" s="226"/>
      <c r="K141" s="226"/>
    </row>
    <row r="142" spans="1:11" ht="18.5">
      <c r="A142" s="228">
        <v>141</v>
      </c>
      <c r="B142" s="260" t="s">
        <v>492</v>
      </c>
      <c r="C142" s="228" t="s">
        <v>466</v>
      </c>
      <c r="D142" s="228" t="s">
        <v>1626</v>
      </c>
      <c r="E142" s="226"/>
      <c r="F142" s="226"/>
      <c r="G142" s="226"/>
      <c r="H142" s="226"/>
      <c r="I142" s="226"/>
      <c r="J142" s="226"/>
      <c r="K142" s="226"/>
    </row>
    <row r="143" spans="1:11" ht="18.5">
      <c r="A143" s="228">
        <v>142</v>
      </c>
      <c r="B143" s="259" t="s">
        <v>497</v>
      </c>
      <c r="C143" s="228" t="s">
        <v>466</v>
      </c>
      <c r="D143" s="228" t="s">
        <v>1626</v>
      </c>
      <c r="E143" s="226"/>
      <c r="F143" s="226"/>
      <c r="G143" s="226"/>
      <c r="H143" s="226"/>
      <c r="I143" s="226"/>
      <c r="J143" s="226"/>
      <c r="K143" s="226"/>
    </row>
    <row r="144" spans="1:11" ht="18.5">
      <c r="A144" s="228">
        <v>143</v>
      </c>
      <c r="B144" s="260" t="s">
        <v>918</v>
      </c>
      <c r="C144" s="228" t="s">
        <v>466</v>
      </c>
      <c r="D144" s="228" t="s">
        <v>1627</v>
      </c>
      <c r="E144" s="226"/>
      <c r="F144" s="226"/>
      <c r="G144" s="226"/>
      <c r="H144" s="226"/>
      <c r="I144" s="226"/>
      <c r="J144" s="226"/>
      <c r="K144" s="226"/>
    </row>
    <row r="145" spans="1:11" ht="18.5">
      <c r="A145" s="228">
        <v>144</v>
      </c>
      <c r="B145" s="259" t="s">
        <v>508</v>
      </c>
      <c r="C145" s="228" t="s">
        <v>466</v>
      </c>
      <c r="D145" s="228" t="s">
        <v>1626</v>
      </c>
      <c r="E145" s="226"/>
      <c r="F145" s="226"/>
      <c r="G145" s="226"/>
      <c r="H145" s="226"/>
      <c r="I145" s="226"/>
      <c r="J145" s="226"/>
      <c r="K145" s="226"/>
    </row>
    <row r="146" spans="1:11" ht="18.5">
      <c r="A146" s="228">
        <v>145</v>
      </c>
      <c r="B146" s="259" t="s">
        <v>511</v>
      </c>
      <c r="C146" s="228" t="s">
        <v>466</v>
      </c>
      <c r="D146" s="228" t="s">
        <v>1626</v>
      </c>
      <c r="E146" s="226"/>
      <c r="F146" s="226"/>
      <c r="G146" s="226"/>
      <c r="H146" s="226"/>
      <c r="I146" s="226"/>
      <c r="J146" s="226"/>
      <c r="K146" s="226"/>
    </row>
    <row r="147" spans="1:11" ht="18.5">
      <c r="A147" s="228">
        <v>146</v>
      </c>
      <c r="B147" s="261" t="s">
        <v>780</v>
      </c>
      <c r="C147" s="228" t="s">
        <v>1669</v>
      </c>
      <c r="D147" s="228" t="s">
        <v>1626</v>
      </c>
      <c r="E147" s="226"/>
      <c r="F147" s="226"/>
      <c r="G147" s="226"/>
      <c r="H147" s="226"/>
      <c r="I147" s="226"/>
      <c r="J147" s="226"/>
      <c r="K147" s="226"/>
    </row>
    <row r="148" spans="1:11" ht="18.5">
      <c r="A148" s="228">
        <v>147</v>
      </c>
      <c r="B148" s="261" t="s">
        <v>515</v>
      </c>
      <c r="C148" s="228" t="s">
        <v>466</v>
      </c>
      <c r="D148" s="228" t="s">
        <v>1626</v>
      </c>
      <c r="E148" s="226"/>
      <c r="F148" s="226"/>
      <c r="G148" s="226"/>
      <c r="H148" s="226"/>
      <c r="I148" s="226"/>
      <c r="J148" s="226"/>
      <c r="K148" s="226"/>
    </row>
    <row r="149" spans="1:11" ht="18.5">
      <c r="A149" s="228">
        <v>148</v>
      </c>
      <c r="B149" s="261" t="s">
        <v>519</v>
      </c>
      <c r="C149" s="228" t="s">
        <v>466</v>
      </c>
      <c r="D149" s="228" t="s">
        <v>1626</v>
      </c>
      <c r="E149" s="226"/>
      <c r="F149" s="226"/>
      <c r="G149" s="226"/>
      <c r="H149" s="226"/>
      <c r="I149" s="226"/>
      <c r="J149" s="226"/>
      <c r="K149" s="226"/>
    </row>
    <row r="150" spans="1:11" ht="18.5">
      <c r="A150" s="228">
        <v>149</v>
      </c>
      <c r="B150" s="261" t="s">
        <v>155</v>
      </c>
      <c r="C150" s="228" t="s">
        <v>1594</v>
      </c>
      <c r="D150" s="228" t="s">
        <v>1627</v>
      </c>
      <c r="E150" s="226"/>
      <c r="F150" s="226"/>
      <c r="G150" s="226"/>
      <c r="H150" s="226"/>
      <c r="I150" s="226"/>
      <c r="J150" s="226"/>
      <c r="K150" s="226"/>
    </row>
    <row r="151" spans="1:11" ht="18.5">
      <c r="A151" s="228">
        <v>150</v>
      </c>
      <c r="B151" s="261" t="s">
        <v>523</v>
      </c>
      <c r="C151" s="228" t="s">
        <v>466</v>
      </c>
      <c r="D151" s="228" t="s">
        <v>1626</v>
      </c>
      <c r="E151" s="226"/>
      <c r="F151" s="226"/>
      <c r="G151" s="226"/>
      <c r="H151" s="226"/>
      <c r="I151" s="226"/>
      <c r="J151" s="226"/>
      <c r="K151" s="226"/>
    </row>
    <row r="152" spans="1:11" ht="18.5">
      <c r="A152" s="228">
        <v>151</v>
      </c>
      <c r="B152" s="261" t="s">
        <v>906</v>
      </c>
      <c r="C152" s="228" t="s">
        <v>1668</v>
      </c>
      <c r="D152" s="228" t="s">
        <v>1627</v>
      </c>
      <c r="E152" s="226"/>
      <c r="F152" s="226"/>
      <c r="G152" s="226"/>
      <c r="H152" s="226"/>
      <c r="I152" s="226"/>
      <c r="J152" s="226"/>
      <c r="K152" s="226"/>
    </row>
    <row r="153" spans="1:11" ht="18.5">
      <c r="A153" s="228">
        <v>152</v>
      </c>
      <c r="B153" s="261" t="s">
        <v>977</v>
      </c>
      <c r="C153" s="228" t="s">
        <v>1594</v>
      </c>
      <c r="D153" s="228" t="s">
        <v>1627</v>
      </c>
      <c r="E153" s="226"/>
      <c r="F153" s="226"/>
      <c r="G153" s="226"/>
      <c r="H153" s="226"/>
      <c r="I153" s="226"/>
      <c r="J153" s="226"/>
      <c r="K153" s="226"/>
    </row>
    <row r="154" spans="1:11" ht="18.5">
      <c r="A154" s="228">
        <v>153</v>
      </c>
      <c r="B154" s="259" t="s">
        <v>792</v>
      </c>
      <c r="C154" s="228" t="s">
        <v>1669</v>
      </c>
      <c r="D154" s="228" t="s">
        <v>1627</v>
      </c>
      <c r="E154" s="226"/>
      <c r="F154" s="226"/>
      <c r="G154" s="226"/>
      <c r="H154" s="226"/>
      <c r="I154" s="226"/>
      <c r="J154" s="226"/>
      <c r="K154" s="226"/>
    </row>
    <row r="155" spans="1:11" ht="18.5">
      <c r="A155" s="228">
        <v>154</v>
      </c>
      <c r="B155" s="259" t="s">
        <v>910</v>
      </c>
      <c r="C155" s="228" t="s">
        <v>1668</v>
      </c>
      <c r="D155" s="228" t="s">
        <v>1626</v>
      </c>
      <c r="E155" s="226"/>
      <c r="F155" s="226"/>
      <c r="G155" s="226"/>
      <c r="H155" s="226"/>
      <c r="I155" s="226"/>
      <c r="J155" s="226"/>
      <c r="K155" s="226"/>
    </row>
    <row r="156" spans="1:11" ht="18.5">
      <c r="A156" s="228">
        <v>155</v>
      </c>
      <c r="B156" s="259" t="s">
        <v>796</v>
      </c>
      <c r="C156" s="228" t="s">
        <v>1669</v>
      </c>
      <c r="D156" s="228" t="s">
        <v>1627</v>
      </c>
      <c r="E156" s="226"/>
      <c r="F156" s="226"/>
      <c r="G156" s="226"/>
      <c r="H156" s="226"/>
      <c r="I156" s="226"/>
      <c r="J156" s="226"/>
      <c r="K156" s="226"/>
    </row>
    <row r="157" spans="1:11" ht="18.5">
      <c r="A157" s="228">
        <v>156</v>
      </c>
      <c r="B157" s="259" t="s">
        <v>531</v>
      </c>
      <c r="C157" s="228" t="s">
        <v>466</v>
      </c>
      <c r="D157" s="228" t="s">
        <v>1626</v>
      </c>
      <c r="E157" s="226"/>
      <c r="F157" s="226"/>
      <c r="G157" s="226"/>
      <c r="H157" s="226"/>
      <c r="I157" s="226"/>
      <c r="J157" s="226"/>
      <c r="K157" s="226"/>
    </row>
    <row r="158" spans="1:11" ht="18.5">
      <c r="A158" s="228">
        <v>157</v>
      </c>
      <c r="B158" s="259" t="s">
        <v>921</v>
      </c>
      <c r="C158" s="228" t="s">
        <v>466</v>
      </c>
      <c r="D158" s="228" t="s">
        <v>1626</v>
      </c>
      <c r="E158" s="226"/>
      <c r="F158" s="226"/>
      <c r="G158" s="226"/>
      <c r="H158" s="226"/>
      <c r="I158" s="226"/>
      <c r="J158" s="226"/>
      <c r="K158" s="226"/>
    </row>
    <row r="159" spans="1:11" ht="18.5">
      <c r="A159" s="228">
        <v>158</v>
      </c>
      <c r="B159" s="259" t="s">
        <v>970</v>
      </c>
      <c r="C159" s="228" t="s">
        <v>1669</v>
      </c>
      <c r="D159" s="228" t="s">
        <v>1626</v>
      </c>
      <c r="E159" s="226"/>
      <c r="F159" s="226"/>
      <c r="G159" s="226"/>
      <c r="H159" s="226"/>
      <c r="I159" s="226"/>
      <c r="J159" s="226"/>
      <c r="K159" s="226"/>
    </row>
    <row r="160" spans="1:11" ht="18.5">
      <c r="A160" s="228">
        <v>159</v>
      </c>
      <c r="B160" s="259" t="s">
        <v>1657</v>
      </c>
      <c r="C160" s="228" t="s">
        <v>1669</v>
      </c>
      <c r="D160" s="228" t="s">
        <v>1627</v>
      </c>
      <c r="E160" s="226"/>
      <c r="F160" s="226"/>
      <c r="G160" s="226"/>
      <c r="H160" s="226"/>
      <c r="I160" s="226"/>
      <c r="J160" s="226"/>
      <c r="K160" s="226"/>
    </row>
    <row r="161" spans="1:11" ht="18.5">
      <c r="A161" s="228">
        <v>160</v>
      </c>
      <c r="B161" s="259" t="s">
        <v>941</v>
      </c>
      <c r="C161" s="228" t="s">
        <v>1668</v>
      </c>
      <c r="D161" s="228" t="s">
        <v>1626</v>
      </c>
      <c r="E161" s="226"/>
      <c r="F161" s="226"/>
      <c r="G161" s="226"/>
      <c r="H161" s="226"/>
      <c r="I161" s="226"/>
      <c r="J161" s="226"/>
      <c r="K161" s="226"/>
    </row>
    <row r="162" spans="1:11" ht="18.5">
      <c r="A162" s="228">
        <v>161</v>
      </c>
      <c r="B162" s="259" t="s">
        <v>1658</v>
      </c>
      <c r="C162" s="228" t="s">
        <v>1668</v>
      </c>
      <c r="D162" s="228" t="s">
        <v>1626</v>
      </c>
      <c r="E162" s="226"/>
      <c r="F162" s="226"/>
      <c r="G162" s="226"/>
      <c r="H162" s="226"/>
      <c r="I162" s="226"/>
      <c r="J162" s="226"/>
      <c r="K162" s="226"/>
    </row>
    <row r="163" spans="1:11" ht="18.5">
      <c r="A163" s="228">
        <v>162</v>
      </c>
      <c r="B163" s="259" t="s">
        <v>1659</v>
      </c>
      <c r="C163" s="228" t="s">
        <v>1668</v>
      </c>
      <c r="D163" s="228" t="s">
        <v>1627</v>
      </c>
      <c r="E163" s="226"/>
      <c r="F163" s="226"/>
      <c r="G163" s="226"/>
      <c r="H163" s="226"/>
      <c r="I163" s="226"/>
      <c r="J163" s="226"/>
      <c r="K163" s="226"/>
    </row>
    <row r="164" spans="1:11" ht="18.5">
      <c r="A164" s="228">
        <v>163</v>
      </c>
      <c r="B164" s="259" t="s">
        <v>939</v>
      </c>
      <c r="C164" s="228" t="s">
        <v>1668</v>
      </c>
      <c r="D164" s="228" t="s">
        <v>1626</v>
      </c>
      <c r="E164" s="226"/>
      <c r="F164" s="226"/>
      <c r="G164" s="226"/>
      <c r="H164" s="226"/>
      <c r="I164" s="226"/>
      <c r="J164" s="226"/>
      <c r="K164" s="226"/>
    </row>
    <row r="165" spans="1:11" ht="18.5">
      <c r="A165" s="228">
        <v>164</v>
      </c>
      <c r="B165" s="259" t="s">
        <v>1352</v>
      </c>
      <c r="C165" s="228" t="s">
        <v>466</v>
      </c>
      <c r="D165" s="228" t="s">
        <v>1626</v>
      </c>
      <c r="E165" s="226"/>
      <c r="F165" s="226"/>
      <c r="G165" s="226"/>
      <c r="H165" s="226"/>
      <c r="I165" s="226"/>
      <c r="J165" s="226"/>
      <c r="K165" s="226"/>
    </row>
    <row r="166" spans="1:11" ht="18.5">
      <c r="A166" s="228">
        <v>165</v>
      </c>
      <c r="B166" s="259" t="s">
        <v>957</v>
      </c>
      <c r="C166" s="228" t="s">
        <v>1669</v>
      </c>
      <c r="D166" s="228" t="s">
        <v>1626</v>
      </c>
      <c r="E166" s="226"/>
      <c r="F166" s="226"/>
      <c r="G166" s="226"/>
      <c r="H166" s="226"/>
      <c r="I166" s="226"/>
      <c r="J166" s="226"/>
      <c r="K166" s="226"/>
    </row>
    <row r="167" spans="1:11" ht="18.5">
      <c r="A167" s="228">
        <v>166</v>
      </c>
      <c r="B167" s="259" t="s">
        <v>972</v>
      </c>
      <c r="C167" s="228" t="s">
        <v>1669</v>
      </c>
      <c r="D167" s="228" t="s">
        <v>1626</v>
      </c>
      <c r="E167" s="226"/>
      <c r="F167" s="226"/>
      <c r="G167" s="226"/>
      <c r="H167" s="226"/>
      <c r="I167" s="226"/>
      <c r="J167" s="226"/>
      <c r="K167" s="226"/>
    </row>
    <row r="168" spans="1:11" ht="18.5">
      <c r="A168" s="228">
        <v>167</v>
      </c>
      <c r="B168" s="259" t="s">
        <v>975</v>
      </c>
      <c r="C168" s="228" t="s">
        <v>1669</v>
      </c>
      <c r="D168" s="228" t="s">
        <v>1626</v>
      </c>
      <c r="E168" s="226"/>
      <c r="F168" s="226"/>
      <c r="G168" s="226"/>
      <c r="H168" s="226"/>
      <c r="I168" s="226"/>
      <c r="J168" s="226"/>
      <c r="K168" s="226"/>
    </row>
    <row r="169" spans="1:11" ht="18.5">
      <c r="A169" s="228">
        <v>168</v>
      </c>
      <c r="B169" s="259" t="s">
        <v>1660</v>
      </c>
      <c r="C169" s="228" t="s">
        <v>1594</v>
      </c>
      <c r="D169" s="228" t="s">
        <v>1626</v>
      </c>
      <c r="E169" s="226"/>
      <c r="F169" s="226"/>
      <c r="G169" s="226"/>
      <c r="H169" s="226"/>
      <c r="I169" s="226"/>
      <c r="J169" s="226"/>
      <c r="K169" s="226"/>
    </row>
    <row r="170" spans="1:11" ht="18.5">
      <c r="A170" s="228">
        <v>169</v>
      </c>
      <c r="B170" s="260" t="s">
        <v>980</v>
      </c>
      <c r="C170" s="228" t="s">
        <v>466</v>
      </c>
      <c r="D170" s="228" t="s">
        <v>1626</v>
      </c>
      <c r="E170" s="226"/>
      <c r="F170" s="226"/>
      <c r="G170" s="226"/>
      <c r="H170" s="226"/>
      <c r="I170" s="226"/>
      <c r="J170" s="226"/>
      <c r="K170" s="226"/>
    </row>
    <row r="171" spans="1:11" ht="18.5">
      <c r="A171" s="228">
        <v>170</v>
      </c>
      <c r="B171" s="260" t="s">
        <v>1661</v>
      </c>
      <c r="C171" s="228" t="s">
        <v>466</v>
      </c>
      <c r="D171" s="228" t="s">
        <v>1627</v>
      </c>
      <c r="E171" s="226"/>
      <c r="F171" s="226"/>
      <c r="G171" s="226"/>
      <c r="H171" s="226"/>
      <c r="I171" s="226"/>
      <c r="J171" s="226"/>
      <c r="K171" s="226"/>
    </row>
    <row r="172" spans="1:11" ht="18.5">
      <c r="A172" s="228">
        <v>171</v>
      </c>
      <c r="B172" s="259" t="s">
        <v>1662</v>
      </c>
      <c r="C172" s="228" t="s">
        <v>1594</v>
      </c>
      <c r="D172" s="228" t="s">
        <v>1627</v>
      </c>
      <c r="E172" s="226"/>
      <c r="F172" s="226"/>
      <c r="G172" s="226"/>
      <c r="H172" s="226"/>
      <c r="I172" s="226"/>
      <c r="J172" s="226"/>
      <c r="K172" s="226"/>
    </row>
    <row r="173" spans="1:11" ht="18.5">
      <c r="A173" s="228">
        <v>172</v>
      </c>
      <c r="B173" s="259" t="s">
        <v>981</v>
      </c>
      <c r="C173" s="228" t="s">
        <v>466</v>
      </c>
      <c r="D173" s="228" t="s">
        <v>1627</v>
      </c>
      <c r="E173" s="226"/>
      <c r="F173" s="226"/>
      <c r="G173" s="226"/>
      <c r="H173" s="226"/>
      <c r="I173" s="226"/>
      <c r="J173" s="226"/>
      <c r="K173" s="226"/>
    </row>
    <row r="174" spans="1:11" ht="18.5">
      <c r="A174" s="228">
        <v>173</v>
      </c>
      <c r="B174" s="259" t="s">
        <v>940</v>
      </c>
      <c r="C174" s="228" t="s">
        <v>1668</v>
      </c>
      <c r="D174" s="228" t="s">
        <v>1627</v>
      </c>
      <c r="E174" s="226"/>
      <c r="F174" s="226"/>
      <c r="G174" s="226"/>
      <c r="H174" s="226"/>
      <c r="I174" s="226"/>
      <c r="J174" s="226"/>
      <c r="K174" s="226"/>
    </row>
    <row r="175" spans="1:11" ht="18.5">
      <c r="A175" s="228">
        <v>174</v>
      </c>
      <c r="B175" s="259" t="s">
        <v>1663</v>
      </c>
      <c r="C175" s="228" t="s">
        <v>1668</v>
      </c>
      <c r="D175" s="228" t="s">
        <v>1626</v>
      </c>
      <c r="E175" s="226"/>
      <c r="F175" s="226"/>
      <c r="G175" s="226"/>
      <c r="H175" s="226"/>
      <c r="I175" s="226"/>
      <c r="J175" s="226"/>
      <c r="K175" s="226"/>
    </row>
    <row r="176" spans="1:11" ht="18.5">
      <c r="A176" s="228">
        <v>175</v>
      </c>
      <c r="B176" s="259" t="s">
        <v>1586</v>
      </c>
      <c r="C176" s="228" t="s">
        <v>1669</v>
      </c>
      <c r="D176" s="228" t="s">
        <v>1626</v>
      </c>
      <c r="E176" s="226"/>
      <c r="F176" s="226"/>
      <c r="G176" s="226"/>
      <c r="H176" s="226"/>
      <c r="I176" s="226"/>
      <c r="J176" s="226"/>
      <c r="K176" s="226"/>
    </row>
    <row r="177" spans="1:11" ht="18.5">
      <c r="A177" s="228">
        <v>176</v>
      </c>
      <c r="B177" s="259" t="s">
        <v>1664</v>
      </c>
      <c r="C177" s="228" t="s">
        <v>1669</v>
      </c>
      <c r="D177" s="228" t="s">
        <v>1627</v>
      </c>
      <c r="E177" s="226"/>
      <c r="F177" s="226"/>
      <c r="G177" s="226"/>
      <c r="H177" s="226"/>
      <c r="I177" s="226"/>
      <c r="J177" s="226"/>
      <c r="K177" s="226"/>
    </row>
    <row r="178" spans="1:11" ht="18.5">
      <c r="A178" s="228">
        <v>177</v>
      </c>
      <c r="B178" s="259" t="s">
        <v>1530</v>
      </c>
      <c r="C178" s="228" t="s">
        <v>466</v>
      </c>
      <c r="D178" s="228" t="s">
        <v>1626</v>
      </c>
      <c r="E178" s="226"/>
      <c r="F178" s="226"/>
      <c r="G178" s="226"/>
      <c r="H178" s="226"/>
      <c r="I178" s="226"/>
      <c r="J178" s="226"/>
      <c r="K178" s="226"/>
    </row>
    <row r="179" spans="1:11" ht="18.5">
      <c r="A179" s="228">
        <v>178</v>
      </c>
      <c r="B179" s="259" t="s">
        <v>1515</v>
      </c>
      <c r="C179" s="228" t="s">
        <v>466</v>
      </c>
      <c r="D179" s="228" t="s">
        <v>1626</v>
      </c>
      <c r="E179" s="226"/>
      <c r="F179" s="226"/>
      <c r="G179" s="226"/>
      <c r="H179" s="226"/>
      <c r="I179" s="226"/>
      <c r="J179" s="226"/>
      <c r="K179" s="226"/>
    </row>
    <row r="180" spans="1:11" ht="18.5">
      <c r="A180" s="228">
        <v>179</v>
      </c>
      <c r="B180" s="259" t="s">
        <v>1529</v>
      </c>
      <c r="C180" s="228" t="s">
        <v>466</v>
      </c>
      <c r="D180" s="228" t="s">
        <v>1627</v>
      </c>
      <c r="E180" s="226"/>
      <c r="F180" s="226"/>
      <c r="G180" s="226"/>
      <c r="H180" s="226"/>
      <c r="I180" s="226"/>
      <c r="J180" s="226"/>
      <c r="K180" s="226"/>
    </row>
    <row r="181" spans="1:11" ht="18.5">
      <c r="A181" s="228">
        <v>180</v>
      </c>
      <c r="B181" s="259" t="s">
        <v>1665</v>
      </c>
      <c r="C181" s="228" t="s">
        <v>466</v>
      </c>
      <c r="D181" s="228" t="s">
        <v>1627</v>
      </c>
      <c r="E181" s="226"/>
      <c r="F181" s="226"/>
      <c r="G181" s="226"/>
      <c r="H181" s="226"/>
      <c r="I181" s="226"/>
      <c r="J181" s="226"/>
      <c r="K181" s="226"/>
    </row>
    <row r="182" spans="1:11" ht="18.5">
      <c r="A182" s="228">
        <v>181</v>
      </c>
      <c r="B182" s="259" t="s">
        <v>1509</v>
      </c>
      <c r="C182" s="228" t="s">
        <v>1594</v>
      </c>
      <c r="D182" s="228" t="s">
        <v>1626</v>
      </c>
      <c r="E182" s="226"/>
      <c r="F182" s="226"/>
      <c r="G182" s="226"/>
      <c r="H182" s="226"/>
      <c r="I182" s="226"/>
      <c r="J182" s="226"/>
      <c r="K182" s="226"/>
    </row>
    <row r="183" spans="1:11" ht="18.5">
      <c r="A183" s="228">
        <v>182</v>
      </c>
      <c r="B183" s="259" t="s">
        <v>1510</v>
      </c>
      <c r="C183" s="228" t="s">
        <v>1594</v>
      </c>
      <c r="D183" s="228" t="s">
        <v>1627</v>
      </c>
      <c r="E183" s="226"/>
      <c r="F183" s="226"/>
      <c r="G183" s="226"/>
      <c r="H183" s="226"/>
      <c r="I183" s="226"/>
      <c r="J183" s="226"/>
      <c r="K183" s="226"/>
    </row>
    <row r="184" spans="1:11" ht="18.5">
      <c r="A184" s="228">
        <v>183</v>
      </c>
      <c r="B184" s="259" t="s">
        <v>1666</v>
      </c>
      <c r="C184" s="228" t="s">
        <v>1594</v>
      </c>
      <c r="D184" s="228" t="s">
        <v>1627</v>
      </c>
      <c r="E184" s="226"/>
      <c r="F184" s="226"/>
      <c r="G184" s="226"/>
      <c r="H184" s="226"/>
      <c r="I184" s="226"/>
      <c r="J184" s="226"/>
      <c r="K184" s="226"/>
    </row>
    <row r="185" spans="1:11" ht="18.5">
      <c r="A185" s="228">
        <v>184</v>
      </c>
      <c r="B185" s="259" t="s">
        <v>1512</v>
      </c>
      <c r="C185" s="228" t="s">
        <v>1594</v>
      </c>
      <c r="D185" s="228" t="s">
        <v>1626</v>
      </c>
      <c r="E185" s="226"/>
      <c r="F185" s="226"/>
      <c r="G185" s="226"/>
      <c r="H185" s="226"/>
      <c r="I185" s="226"/>
      <c r="J185" s="226"/>
      <c r="K185" s="226"/>
    </row>
    <row r="186" spans="1:11" ht="18.5">
      <c r="A186" s="264">
        <v>185</v>
      </c>
      <c r="B186" s="265" t="s">
        <v>1667</v>
      </c>
      <c r="C186" s="264" t="s">
        <v>1594</v>
      </c>
      <c r="D186" s="264" t="s">
        <v>1627</v>
      </c>
      <c r="E186" s="226"/>
      <c r="F186" s="226"/>
      <c r="G186" s="226"/>
      <c r="H186" s="226"/>
      <c r="I186" s="226"/>
      <c r="J186" s="226"/>
      <c r="K186" s="226"/>
    </row>
    <row r="187" spans="1:11" ht="18.5">
      <c r="A187" s="226"/>
      <c r="B187" s="266"/>
      <c r="C187" s="226"/>
      <c r="D187" s="226"/>
      <c r="E187" s="226"/>
      <c r="F187" s="226"/>
      <c r="G187" s="226"/>
      <c r="H187" s="226"/>
      <c r="I187" s="226"/>
      <c r="J187" s="226"/>
      <c r="K187" s="226"/>
    </row>
    <row r="188" spans="1:11" ht="18.5">
      <c r="A188" s="226"/>
      <c r="B188" s="266"/>
      <c r="C188" s="226"/>
      <c r="D188" s="226"/>
      <c r="E188" s="226"/>
      <c r="F188" s="226"/>
      <c r="G188" s="226"/>
      <c r="H188" s="226"/>
      <c r="I188" s="226"/>
      <c r="J188" s="226"/>
      <c r="K188" s="226"/>
    </row>
    <row r="189" spans="1:11" ht="18.5">
      <c r="A189" s="226"/>
      <c r="B189" s="266"/>
      <c r="C189" s="226"/>
      <c r="D189" s="226"/>
      <c r="E189" s="226"/>
      <c r="F189" s="226"/>
      <c r="G189" s="226"/>
      <c r="H189" s="226"/>
      <c r="I189" s="226"/>
      <c r="J189" s="226"/>
      <c r="K189" s="226"/>
    </row>
    <row r="190" spans="1:11" ht="18.5">
      <c r="A190" s="226"/>
      <c r="B190" s="266"/>
      <c r="C190" s="226"/>
      <c r="D190" s="226"/>
      <c r="E190" s="226"/>
      <c r="F190" s="226"/>
      <c r="G190" s="226"/>
      <c r="H190" s="226"/>
      <c r="I190" s="226"/>
      <c r="J190" s="226"/>
      <c r="K190" s="226"/>
    </row>
    <row r="191" spans="1:11" ht="18.5">
      <c r="A191" s="226"/>
      <c r="B191" s="266"/>
      <c r="C191" s="226"/>
      <c r="D191" s="226"/>
      <c r="E191" s="226"/>
      <c r="F191" s="226"/>
      <c r="G191" s="226"/>
      <c r="H191" s="226"/>
      <c r="I191" s="226"/>
      <c r="J191" s="226"/>
      <c r="K191" s="226"/>
    </row>
    <row r="192" spans="1:11" ht="18.5">
      <c r="A192" s="226"/>
      <c r="B192" s="266"/>
      <c r="C192" s="226"/>
      <c r="D192" s="226"/>
      <c r="E192" s="226"/>
      <c r="F192" s="226"/>
      <c r="G192" s="226"/>
      <c r="H192" s="226"/>
      <c r="I192" s="226"/>
      <c r="J192" s="226"/>
      <c r="K192" s="226"/>
    </row>
    <row r="193" spans="1:11" ht="18.5">
      <c r="A193" s="226"/>
      <c r="B193" s="266"/>
      <c r="C193" s="226"/>
      <c r="D193" s="226"/>
      <c r="E193" s="226"/>
      <c r="F193" s="226"/>
      <c r="G193" s="226"/>
      <c r="H193" s="226"/>
      <c r="I193" s="226"/>
      <c r="J193" s="226"/>
      <c r="K193" s="226"/>
    </row>
    <row r="194" spans="1:11" ht="18.5">
      <c r="A194" s="226"/>
      <c r="B194" s="266"/>
      <c r="C194" s="226"/>
      <c r="D194" s="226"/>
      <c r="E194" s="226"/>
      <c r="F194" s="226"/>
      <c r="G194" s="226"/>
      <c r="H194" s="226"/>
      <c r="I194" s="226"/>
      <c r="J194" s="226"/>
      <c r="K194" s="226"/>
    </row>
    <row r="195" spans="1:11" ht="18.5">
      <c r="A195" s="226"/>
      <c r="B195" s="266"/>
      <c r="C195" s="226"/>
      <c r="D195" s="226"/>
      <c r="E195" s="226"/>
      <c r="F195" s="226"/>
      <c r="G195" s="226"/>
      <c r="H195" s="226"/>
      <c r="I195" s="226"/>
      <c r="J195" s="226"/>
      <c r="K195" s="226"/>
    </row>
  </sheetData>
  <autoFilter ref="A1:D195" xr:uid="{00000000-0001-0000-0500-000000000000}"/>
  <conditionalFormatting sqref="B10">
    <cfRule type="duplicateValues" dxfId="13" priority="11"/>
  </conditionalFormatting>
  <conditionalFormatting sqref="B32">
    <cfRule type="duplicateValues" dxfId="12" priority="7"/>
  </conditionalFormatting>
  <conditionalFormatting sqref="B51">
    <cfRule type="duplicateValues" dxfId="11" priority="1"/>
  </conditionalFormatting>
  <conditionalFormatting sqref="B52:B53 B33:B50 B25:B31 B2:B23 B55:B139 B141:B195">
    <cfRule type="duplicateValues" dxfId="10" priority="9"/>
  </conditionalFormatting>
  <conditionalFormatting sqref="B54">
    <cfRule type="duplicateValues" dxfId="9" priority="8"/>
  </conditionalFormatting>
  <conditionalFormatting sqref="B105">
    <cfRule type="duplicateValues" dxfId="8" priority="6"/>
  </conditionalFormatting>
  <conditionalFormatting sqref="B113">
    <cfRule type="duplicateValues" dxfId="7" priority="5"/>
  </conditionalFormatting>
  <conditionalFormatting sqref="B142">
    <cfRule type="duplicateValues" dxfId="6" priority="2"/>
  </conditionalFormatting>
  <conditionalFormatting sqref="B143:B144 B2:B9 B156:B157 B33:B34 B36:B50 B52:B53 B55:B104 B147:B153 B114:B139 B25:B31 B141 B11:B23 B106:B112 B169:B195">
    <cfRule type="duplicateValues" dxfId="5" priority="10"/>
  </conditionalFormatting>
  <conditionalFormatting sqref="B145:B146">
    <cfRule type="duplicateValues" dxfId="4" priority="4"/>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CE677-AF24-4768-9F97-4BC45AECA0C4}">
  <dimension ref="A2:J21"/>
  <sheetViews>
    <sheetView topLeftCell="A8" workbookViewId="0">
      <selection activeCell="D25" sqref="D25"/>
    </sheetView>
  </sheetViews>
  <sheetFormatPr defaultRowHeight="14.5"/>
  <cols>
    <col min="1" max="1" width="3.7265625" bestFit="1" customWidth="1"/>
    <col min="2" max="2" width="36.1796875" bestFit="1" customWidth="1"/>
    <col min="3" max="3" width="14.7265625" customWidth="1"/>
    <col min="4" max="4" width="17.1796875" customWidth="1"/>
    <col min="5" max="5" width="17.54296875" customWidth="1"/>
    <col min="6" max="6" width="17.6328125" customWidth="1"/>
    <col min="7" max="7" width="17.90625" customWidth="1"/>
  </cols>
  <sheetData>
    <row r="2" spans="1:10" ht="16.5">
      <c r="A2" s="227" t="s">
        <v>3167</v>
      </c>
      <c r="B2" s="227" t="s">
        <v>3168</v>
      </c>
      <c r="C2" s="227" t="s">
        <v>13</v>
      </c>
      <c r="D2" s="227" t="s">
        <v>166</v>
      </c>
      <c r="E2" s="227" t="s">
        <v>3169</v>
      </c>
      <c r="F2" s="227" t="s">
        <v>800</v>
      </c>
      <c r="G2" s="227" t="s">
        <v>3170</v>
      </c>
      <c r="J2" s="267" t="s">
        <v>1625</v>
      </c>
    </row>
    <row r="3" spans="1:10" ht="16.5">
      <c r="A3" s="228">
        <v>1</v>
      </c>
      <c r="B3" s="228" t="s">
        <v>2996</v>
      </c>
      <c r="C3" s="228">
        <v>7</v>
      </c>
      <c r="D3" s="228">
        <v>13</v>
      </c>
      <c r="E3" s="228">
        <v>10</v>
      </c>
      <c r="F3" s="228">
        <v>4</v>
      </c>
      <c r="G3" s="228">
        <f>SUM(C3:F3)</f>
        <v>34</v>
      </c>
    </row>
    <row r="4" spans="1:10" ht="16.5">
      <c r="A4" s="228">
        <v>2</v>
      </c>
      <c r="B4" s="228" t="s">
        <v>3326</v>
      </c>
      <c r="C4" s="228">
        <v>3</v>
      </c>
      <c r="D4" s="228">
        <v>3</v>
      </c>
      <c r="E4" s="228">
        <v>4</v>
      </c>
      <c r="F4" s="228">
        <v>4</v>
      </c>
      <c r="G4" s="228">
        <f>SUM(C4:F4)</f>
        <v>14</v>
      </c>
    </row>
    <row r="5" spans="1:10" ht="16.5">
      <c r="A5" s="228">
        <v>3</v>
      </c>
      <c r="B5" s="228" t="s">
        <v>2998</v>
      </c>
      <c r="C5" s="228">
        <v>1</v>
      </c>
      <c r="D5" s="228">
        <v>6</v>
      </c>
      <c r="E5" s="228">
        <v>2</v>
      </c>
      <c r="F5" s="228">
        <v>1</v>
      </c>
      <c r="G5" s="228">
        <f t="shared" ref="G5:G15" si="0">SUM(C5:F5)</f>
        <v>10</v>
      </c>
    </row>
    <row r="6" spans="1:10" ht="16.5">
      <c r="A6" s="228">
        <v>4</v>
      </c>
      <c r="B6" s="228" t="s">
        <v>3294</v>
      </c>
      <c r="C6" s="228">
        <v>0</v>
      </c>
      <c r="D6" s="228">
        <v>1</v>
      </c>
      <c r="E6" s="228">
        <v>0</v>
      </c>
      <c r="F6" s="228">
        <v>0</v>
      </c>
      <c r="G6" s="228">
        <f t="shared" si="0"/>
        <v>1</v>
      </c>
    </row>
    <row r="7" spans="1:10" ht="16.5">
      <c r="A7" s="228">
        <v>5</v>
      </c>
      <c r="B7" s="228" t="s">
        <v>3171</v>
      </c>
      <c r="C7" s="228">
        <v>4</v>
      </c>
      <c r="D7" s="228">
        <v>11</v>
      </c>
      <c r="E7" s="228">
        <v>5</v>
      </c>
      <c r="F7" s="228">
        <v>5</v>
      </c>
      <c r="G7" s="228">
        <f t="shared" si="0"/>
        <v>25</v>
      </c>
    </row>
    <row r="8" spans="1:10" ht="16.5">
      <c r="A8" s="228">
        <v>6</v>
      </c>
      <c r="B8" s="228" t="s">
        <v>3293</v>
      </c>
      <c r="C8" s="228">
        <v>0</v>
      </c>
      <c r="D8" s="228">
        <v>0</v>
      </c>
      <c r="E8" s="228">
        <v>1</v>
      </c>
      <c r="F8" s="228">
        <v>0</v>
      </c>
      <c r="G8" s="228">
        <f t="shared" si="0"/>
        <v>1</v>
      </c>
    </row>
    <row r="9" spans="1:10" ht="16.5">
      <c r="A9" s="228">
        <v>7</v>
      </c>
      <c r="B9" s="228" t="s">
        <v>3000</v>
      </c>
      <c r="C9" s="228">
        <v>1</v>
      </c>
      <c r="D9" s="228">
        <v>3</v>
      </c>
      <c r="E9" s="228">
        <v>0</v>
      </c>
      <c r="F9" s="228">
        <v>1</v>
      </c>
      <c r="G9" s="228">
        <f t="shared" si="0"/>
        <v>5</v>
      </c>
    </row>
    <row r="10" spans="1:10" ht="16.5">
      <c r="A10" s="228">
        <v>8</v>
      </c>
      <c r="B10" s="228" t="s">
        <v>3005</v>
      </c>
      <c r="C10" s="228">
        <v>0</v>
      </c>
      <c r="D10" s="228">
        <v>2</v>
      </c>
      <c r="E10" s="228">
        <v>2</v>
      </c>
      <c r="F10" s="228">
        <v>0</v>
      </c>
      <c r="G10" s="228">
        <f t="shared" si="0"/>
        <v>4</v>
      </c>
    </row>
    <row r="11" spans="1:10" ht="16.5">
      <c r="A11" s="228">
        <v>9</v>
      </c>
      <c r="B11" s="228" t="s">
        <v>3297</v>
      </c>
      <c r="C11" s="228">
        <v>1</v>
      </c>
      <c r="D11" s="228">
        <v>1</v>
      </c>
      <c r="E11" s="228">
        <v>1</v>
      </c>
      <c r="F11" s="228">
        <v>1</v>
      </c>
      <c r="G11" s="228">
        <f t="shared" si="0"/>
        <v>4</v>
      </c>
    </row>
    <row r="12" spans="1:10" ht="16.5">
      <c r="A12" s="228">
        <v>10</v>
      </c>
      <c r="B12" s="228" t="s">
        <v>3172</v>
      </c>
      <c r="C12" s="228">
        <v>15</v>
      </c>
      <c r="D12" s="228">
        <v>35</v>
      </c>
      <c r="E12" s="228">
        <v>17</v>
      </c>
      <c r="F12" s="228">
        <v>10</v>
      </c>
      <c r="G12" s="228">
        <f t="shared" si="0"/>
        <v>77</v>
      </c>
    </row>
    <row r="13" spans="1:10" ht="16.5">
      <c r="A13" s="228">
        <v>11</v>
      </c>
      <c r="B13" s="228" t="s">
        <v>3001</v>
      </c>
      <c r="C13" s="228">
        <v>0</v>
      </c>
      <c r="D13" s="228">
        <v>1</v>
      </c>
      <c r="E13" s="228">
        <v>0</v>
      </c>
      <c r="F13" s="228">
        <v>0</v>
      </c>
      <c r="G13" s="228">
        <f t="shared" si="0"/>
        <v>1</v>
      </c>
    </row>
    <row r="14" spans="1:10" ht="16.5">
      <c r="A14" s="228">
        <v>12</v>
      </c>
      <c r="B14" s="228" t="s">
        <v>3173</v>
      </c>
      <c r="C14" s="228">
        <v>0</v>
      </c>
      <c r="D14" s="228">
        <v>1</v>
      </c>
      <c r="E14" s="228">
        <v>0</v>
      </c>
      <c r="F14" s="228">
        <v>0</v>
      </c>
      <c r="G14" s="228">
        <f t="shared" si="0"/>
        <v>1</v>
      </c>
    </row>
    <row r="15" spans="1:10" ht="16.5">
      <c r="A15" s="228">
        <v>13</v>
      </c>
      <c r="B15" s="228" t="s">
        <v>3174</v>
      </c>
      <c r="C15" s="228">
        <v>1</v>
      </c>
      <c r="D15" s="228">
        <v>1</v>
      </c>
      <c r="E15" s="228">
        <v>1</v>
      </c>
      <c r="F15" s="228">
        <v>0</v>
      </c>
      <c r="G15" s="228">
        <f t="shared" si="0"/>
        <v>3</v>
      </c>
    </row>
    <row r="16" spans="1:10" ht="16.5">
      <c r="A16" s="228"/>
      <c r="B16" s="245" t="s">
        <v>3270</v>
      </c>
      <c r="C16" s="245">
        <f>SUM(C3:C15)</f>
        <v>33</v>
      </c>
      <c r="D16" s="245">
        <f t="shared" ref="D16:G16" si="1">SUM(D3:D15)</f>
        <v>78</v>
      </c>
      <c r="E16" s="245">
        <f t="shared" si="1"/>
        <v>43</v>
      </c>
      <c r="F16" s="245">
        <f t="shared" si="1"/>
        <v>26</v>
      </c>
      <c r="G16" s="245">
        <f t="shared" si="1"/>
        <v>180</v>
      </c>
    </row>
    <row r="17" spans="1:7" ht="16.5">
      <c r="A17" s="228">
        <v>14</v>
      </c>
      <c r="B17" s="228" t="s">
        <v>3175</v>
      </c>
      <c r="C17" s="228">
        <v>10</v>
      </c>
      <c r="D17" s="228">
        <v>14</v>
      </c>
      <c r="E17" s="228">
        <v>10</v>
      </c>
      <c r="F17" s="228">
        <v>8</v>
      </c>
      <c r="G17" s="228">
        <v>42</v>
      </c>
    </row>
    <row r="18" spans="1:7" ht="16.5">
      <c r="A18" s="228">
        <v>15</v>
      </c>
      <c r="B18" s="228" t="s">
        <v>3176</v>
      </c>
      <c r="C18" s="228">
        <v>27</v>
      </c>
      <c r="D18" s="228">
        <v>40</v>
      </c>
      <c r="E18" s="228">
        <v>32</v>
      </c>
      <c r="F18" s="228">
        <v>9</v>
      </c>
      <c r="G18" s="228">
        <v>108</v>
      </c>
    </row>
    <row r="19" spans="1:7" ht="16.5">
      <c r="A19" s="228">
        <v>16</v>
      </c>
      <c r="B19" s="228" t="s">
        <v>3177</v>
      </c>
      <c r="C19" s="228">
        <v>2</v>
      </c>
      <c r="D19" s="228">
        <v>1</v>
      </c>
      <c r="E19" s="228">
        <v>0</v>
      </c>
      <c r="F19" s="228">
        <v>1</v>
      </c>
      <c r="G19" s="228">
        <v>4</v>
      </c>
    </row>
    <row r="20" spans="1:7" ht="16.5">
      <c r="A20" s="228"/>
      <c r="B20" s="245" t="s">
        <v>3271</v>
      </c>
      <c r="C20" s="245">
        <f>SUM(C17:C19)</f>
        <v>39</v>
      </c>
      <c r="D20" s="245">
        <f t="shared" ref="D20:G20" si="2">SUM(D17:D19)</f>
        <v>55</v>
      </c>
      <c r="E20" s="245">
        <f t="shared" si="2"/>
        <v>42</v>
      </c>
      <c r="F20" s="245">
        <f t="shared" si="2"/>
        <v>18</v>
      </c>
      <c r="G20" s="245">
        <f t="shared" si="2"/>
        <v>154</v>
      </c>
    </row>
    <row r="21" spans="1:7" ht="16.5">
      <c r="A21" s="228"/>
      <c r="B21" s="228" t="s">
        <v>3170</v>
      </c>
      <c r="C21" s="228">
        <f>C16+C20</f>
        <v>72</v>
      </c>
      <c r="D21" s="228">
        <f t="shared" ref="D21:G21" si="3">D16+D20</f>
        <v>133</v>
      </c>
      <c r="E21" s="228">
        <f t="shared" si="3"/>
        <v>85</v>
      </c>
      <c r="F21" s="228">
        <f t="shared" si="3"/>
        <v>44</v>
      </c>
      <c r="G21" s="228">
        <f t="shared" si="3"/>
        <v>334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AC54-1D70-4E6F-B0BC-DE0464BE939D}">
  <dimension ref="A2:J21"/>
  <sheetViews>
    <sheetView topLeftCell="A8" workbookViewId="0">
      <selection activeCell="H25" sqref="H25"/>
    </sheetView>
  </sheetViews>
  <sheetFormatPr defaultRowHeight="14.5"/>
  <cols>
    <col min="1" max="1" width="3.7265625" bestFit="1" customWidth="1"/>
    <col min="2" max="2" width="36.1796875" bestFit="1" customWidth="1"/>
    <col min="3" max="3" width="14.7265625" customWidth="1"/>
    <col min="4" max="4" width="17.1796875" customWidth="1"/>
    <col min="5" max="5" width="17.54296875" customWidth="1"/>
    <col min="6" max="6" width="17.6328125" customWidth="1"/>
    <col min="7" max="7" width="17.90625" customWidth="1"/>
  </cols>
  <sheetData>
    <row r="2" spans="1:10" ht="16.5">
      <c r="A2" s="227" t="s">
        <v>3167</v>
      </c>
      <c r="B2" s="227" t="s">
        <v>3168</v>
      </c>
      <c r="C2" s="227" t="s">
        <v>13</v>
      </c>
      <c r="D2" s="227" t="s">
        <v>166</v>
      </c>
      <c r="E2" s="227" t="s">
        <v>3169</v>
      </c>
      <c r="F2" s="227" t="s">
        <v>800</v>
      </c>
      <c r="G2" s="227" t="s">
        <v>3170</v>
      </c>
      <c r="J2" s="267" t="s">
        <v>1625</v>
      </c>
    </row>
    <row r="3" spans="1:10" ht="16.5">
      <c r="A3" s="228">
        <v>1</v>
      </c>
      <c r="B3" s="228" t="s">
        <v>2996</v>
      </c>
      <c r="C3" s="228">
        <v>7</v>
      </c>
      <c r="D3" s="228">
        <v>14</v>
      </c>
      <c r="E3" s="228">
        <v>10</v>
      </c>
      <c r="F3" s="228">
        <v>4</v>
      </c>
      <c r="G3" s="228">
        <f>SUM(C3:F3)</f>
        <v>35</v>
      </c>
    </row>
    <row r="4" spans="1:10" ht="16.5">
      <c r="A4" s="228">
        <v>2</v>
      </c>
      <c r="B4" s="228" t="s">
        <v>3299</v>
      </c>
      <c r="C4" s="228">
        <v>3</v>
      </c>
      <c r="D4" s="228">
        <v>3</v>
      </c>
      <c r="E4" s="228">
        <v>4</v>
      </c>
      <c r="F4" s="228">
        <v>4</v>
      </c>
      <c r="G4" s="228">
        <f>SUM(C4:F4)</f>
        <v>14</v>
      </c>
    </row>
    <row r="5" spans="1:10" ht="16.5">
      <c r="A5" s="228">
        <v>3</v>
      </c>
      <c r="B5" s="228" t="s">
        <v>2998</v>
      </c>
      <c r="C5" s="228">
        <v>1</v>
      </c>
      <c r="D5" s="228">
        <v>5</v>
      </c>
      <c r="E5" s="228">
        <v>2</v>
      </c>
      <c r="F5" s="228">
        <v>1</v>
      </c>
      <c r="G5" s="228">
        <f t="shared" ref="G5:G15" si="0">SUM(C5:F5)</f>
        <v>9</v>
      </c>
    </row>
    <row r="6" spans="1:10" ht="16.5">
      <c r="A6" s="228">
        <v>4</v>
      </c>
      <c r="B6" s="228" t="s">
        <v>3294</v>
      </c>
      <c r="C6" s="228">
        <v>0</v>
      </c>
      <c r="D6" s="228">
        <v>1</v>
      </c>
      <c r="E6" s="228">
        <v>0</v>
      </c>
      <c r="F6" s="228">
        <v>0</v>
      </c>
      <c r="G6" s="228">
        <f t="shared" si="0"/>
        <v>1</v>
      </c>
    </row>
    <row r="7" spans="1:10" ht="16.5">
      <c r="A7" s="228">
        <v>5</v>
      </c>
      <c r="B7" s="228" t="s">
        <v>3171</v>
      </c>
      <c r="C7" s="228">
        <v>4</v>
      </c>
      <c r="D7" s="228">
        <v>11</v>
      </c>
      <c r="E7" s="228">
        <v>5</v>
      </c>
      <c r="F7" s="228">
        <v>5</v>
      </c>
      <c r="G7" s="228">
        <f t="shared" si="0"/>
        <v>25</v>
      </c>
    </row>
    <row r="8" spans="1:10" ht="16.5">
      <c r="A8" s="228">
        <v>6</v>
      </c>
      <c r="B8" s="228" t="s">
        <v>3293</v>
      </c>
      <c r="C8" s="228">
        <v>0</v>
      </c>
      <c r="D8" s="228">
        <v>0</v>
      </c>
      <c r="E8" s="228">
        <v>1</v>
      </c>
      <c r="F8" s="228">
        <v>0</v>
      </c>
      <c r="G8" s="228">
        <f t="shared" si="0"/>
        <v>1</v>
      </c>
    </row>
    <row r="9" spans="1:10" ht="16.5">
      <c r="A9" s="228">
        <v>7</v>
      </c>
      <c r="B9" s="228" t="s">
        <v>3000</v>
      </c>
      <c r="C9" s="228">
        <v>1</v>
      </c>
      <c r="D9" s="228">
        <v>3</v>
      </c>
      <c r="E9" s="228">
        <v>0</v>
      </c>
      <c r="F9" s="228">
        <v>1</v>
      </c>
      <c r="G9" s="228">
        <f t="shared" si="0"/>
        <v>5</v>
      </c>
    </row>
    <row r="10" spans="1:10" ht="16.5">
      <c r="A10" s="228">
        <v>8</v>
      </c>
      <c r="B10" s="228" t="s">
        <v>3005</v>
      </c>
      <c r="C10" s="228">
        <v>0</v>
      </c>
      <c r="D10" s="228">
        <v>2</v>
      </c>
      <c r="E10" s="228">
        <v>2</v>
      </c>
      <c r="F10" s="228">
        <v>0</v>
      </c>
      <c r="G10" s="228">
        <f t="shared" si="0"/>
        <v>4</v>
      </c>
    </row>
    <row r="11" spans="1:10" ht="16.5">
      <c r="A11" s="228">
        <v>9</v>
      </c>
      <c r="B11" s="228" t="s">
        <v>3297</v>
      </c>
      <c r="C11" s="228">
        <v>1</v>
      </c>
      <c r="D11" s="228">
        <v>1</v>
      </c>
      <c r="E11" s="228">
        <v>1</v>
      </c>
      <c r="F11" s="228">
        <v>1</v>
      </c>
      <c r="G11" s="228">
        <f t="shared" si="0"/>
        <v>4</v>
      </c>
    </row>
    <row r="12" spans="1:10" ht="16.5">
      <c r="A12" s="228">
        <v>10</v>
      </c>
      <c r="B12" s="228" t="s">
        <v>3172</v>
      </c>
      <c r="C12" s="228">
        <v>15</v>
      </c>
      <c r="D12" s="228">
        <v>35</v>
      </c>
      <c r="E12" s="228">
        <v>17</v>
      </c>
      <c r="F12" s="228">
        <v>10</v>
      </c>
      <c r="G12" s="228">
        <f t="shared" si="0"/>
        <v>77</v>
      </c>
    </row>
    <row r="13" spans="1:10" ht="16.5">
      <c r="A13" s="228">
        <v>11</v>
      </c>
      <c r="B13" s="228" t="s">
        <v>3001</v>
      </c>
      <c r="C13" s="228">
        <v>0</v>
      </c>
      <c r="D13" s="228">
        <v>6</v>
      </c>
      <c r="E13" s="228">
        <v>0</v>
      </c>
      <c r="F13" s="228">
        <v>0</v>
      </c>
      <c r="G13" s="228">
        <f t="shared" si="0"/>
        <v>6</v>
      </c>
    </row>
    <row r="14" spans="1:10" ht="16.5">
      <c r="A14" s="228">
        <v>12</v>
      </c>
      <c r="B14" s="228" t="s">
        <v>3173</v>
      </c>
      <c r="C14" s="228">
        <v>0</v>
      </c>
      <c r="D14" s="228">
        <v>1</v>
      </c>
      <c r="E14" s="228">
        <v>0</v>
      </c>
      <c r="F14" s="228">
        <v>0</v>
      </c>
      <c r="G14" s="228">
        <f t="shared" si="0"/>
        <v>1</v>
      </c>
    </row>
    <row r="15" spans="1:10" ht="16.5">
      <c r="A15" s="228">
        <v>13</v>
      </c>
      <c r="B15" s="228" t="s">
        <v>3174</v>
      </c>
      <c r="C15" s="228">
        <v>1</v>
      </c>
      <c r="D15" s="228">
        <v>1</v>
      </c>
      <c r="E15" s="228">
        <v>1</v>
      </c>
      <c r="F15" s="228">
        <v>0</v>
      </c>
      <c r="G15" s="228">
        <f t="shared" si="0"/>
        <v>3</v>
      </c>
    </row>
    <row r="16" spans="1:10" ht="16.5">
      <c r="A16" s="228"/>
      <c r="B16" s="245" t="s">
        <v>3270</v>
      </c>
      <c r="C16" s="245">
        <f>SUM(C3:C15)</f>
        <v>33</v>
      </c>
      <c r="D16" s="245">
        <f t="shared" ref="D16:G16" si="1">SUM(D3:D15)</f>
        <v>83</v>
      </c>
      <c r="E16" s="245">
        <f t="shared" si="1"/>
        <v>43</v>
      </c>
      <c r="F16" s="245">
        <f t="shared" si="1"/>
        <v>26</v>
      </c>
      <c r="G16" s="245">
        <f t="shared" si="1"/>
        <v>185</v>
      </c>
    </row>
    <row r="17" spans="1:7" ht="16.5">
      <c r="A17" s="228">
        <v>14</v>
      </c>
      <c r="B17" s="228" t="s">
        <v>3175</v>
      </c>
      <c r="C17" s="228">
        <v>10</v>
      </c>
      <c r="D17" s="228">
        <v>14</v>
      </c>
      <c r="E17" s="228">
        <v>10</v>
      </c>
      <c r="F17" s="228">
        <v>8</v>
      </c>
      <c r="G17" s="228">
        <v>42</v>
      </c>
    </row>
    <row r="18" spans="1:7" ht="16.5">
      <c r="A18" s="228">
        <v>15</v>
      </c>
      <c r="B18" s="228" t="s">
        <v>3176</v>
      </c>
      <c r="C18" s="228">
        <v>27</v>
      </c>
      <c r="D18" s="228">
        <v>40</v>
      </c>
      <c r="E18" s="228">
        <v>32</v>
      </c>
      <c r="F18" s="228">
        <v>9</v>
      </c>
      <c r="G18" s="228">
        <v>108</v>
      </c>
    </row>
    <row r="19" spans="1:7" ht="16.5">
      <c r="A19" s="228">
        <v>16</v>
      </c>
      <c r="B19" s="228" t="s">
        <v>3177</v>
      </c>
      <c r="C19" s="228">
        <v>2</v>
      </c>
      <c r="D19" s="228">
        <v>1</v>
      </c>
      <c r="E19" s="228">
        <v>0</v>
      </c>
      <c r="F19" s="228">
        <v>1</v>
      </c>
      <c r="G19" s="228">
        <v>4</v>
      </c>
    </row>
    <row r="20" spans="1:7" ht="16.5">
      <c r="A20" s="228"/>
      <c r="B20" s="245" t="s">
        <v>3271</v>
      </c>
      <c r="C20" s="245">
        <f>SUM(C17:C19)</f>
        <v>39</v>
      </c>
      <c r="D20" s="245">
        <f t="shared" ref="D20:G20" si="2">SUM(D17:D19)</f>
        <v>55</v>
      </c>
      <c r="E20" s="245">
        <f t="shared" si="2"/>
        <v>42</v>
      </c>
      <c r="F20" s="245">
        <f t="shared" si="2"/>
        <v>18</v>
      </c>
      <c r="G20" s="245">
        <f t="shared" si="2"/>
        <v>154</v>
      </c>
    </row>
    <row r="21" spans="1:7" ht="16.5">
      <c r="A21" s="228"/>
      <c r="B21" s="228" t="s">
        <v>3170</v>
      </c>
      <c r="C21" s="228">
        <f>C16+C20</f>
        <v>72</v>
      </c>
      <c r="D21" s="228">
        <f t="shared" ref="D21:G21" si="3">D16+D20</f>
        <v>138</v>
      </c>
      <c r="E21" s="228">
        <f t="shared" si="3"/>
        <v>85</v>
      </c>
      <c r="F21" s="228">
        <f t="shared" si="3"/>
        <v>44</v>
      </c>
      <c r="G21" s="228">
        <f t="shared" si="3"/>
        <v>339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A191-05EF-40DF-905F-7ACBEA30133A}">
  <dimension ref="A1:XFD46"/>
  <sheetViews>
    <sheetView topLeftCell="A23" workbookViewId="0">
      <selection activeCell="G38" sqref="G38"/>
    </sheetView>
  </sheetViews>
  <sheetFormatPr defaultRowHeight="14.5"/>
  <cols>
    <col min="2" max="2" width="8.81640625" bestFit="1" customWidth="1"/>
    <col min="3" max="3" width="31.1796875" bestFit="1" customWidth="1"/>
    <col min="4" max="4" width="39.08984375" bestFit="1" customWidth="1"/>
    <col min="5" max="5" width="15.90625" bestFit="1" customWidth="1"/>
    <col min="6" max="6" width="17.6328125" bestFit="1" customWidth="1"/>
    <col min="7" max="7" width="14" bestFit="1" customWidth="1"/>
    <col min="10" max="10" width="13.90625" bestFit="1" customWidth="1"/>
  </cols>
  <sheetData>
    <row r="1" spans="2:11">
      <c r="J1" t="s">
        <v>3268</v>
      </c>
      <c r="K1" t="s">
        <v>3269</v>
      </c>
    </row>
    <row r="2" spans="2:11" ht="16.5">
      <c r="B2" s="229"/>
      <c r="C2" s="230" t="s">
        <v>1670</v>
      </c>
      <c r="D2" s="230" t="s">
        <v>3246</v>
      </c>
      <c r="E2" s="230" t="s">
        <v>6</v>
      </c>
      <c r="F2" s="231" t="s">
        <v>3178</v>
      </c>
      <c r="G2" s="231" t="s">
        <v>3267</v>
      </c>
      <c r="J2" s="225" t="s">
        <v>466</v>
      </c>
      <c r="K2" s="225">
        <v>22</v>
      </c>
    </row>
    <row r="3" spans="2:11" ht="16.5">
      <c r="B3" s="232">
        <v>1</v>
      </c>
      <c r="C3" s="233" t="s">
        <v>3179</v>
      </c>
      <c r="D3" s="233" t="s">
        <v>3247</v>
      </c>
      <c r="E3" s="233" t="s">
        <v>1594</v>
      </c>
      <c r="F3" s="234">
        <v>254796103952</v>
      </c>
      <c r="G3" s="235">
        <v>7000</v>
      </c>
      <c r="J3" s="225" t="s">
        <v>1594</v>
      </c>
      <c r="K3" s="225">
        <v>16</v>
      </c>
    </row>
    <row r="4" spans="2:11" ht="16.5">
      <c r="B4" s="232">
        <v>2</v>
      </c>
      <c r="C4" s="233" t="s">
        <v>3180</v>
      </c>
      <c r="D4" s="233" t="s">
        <v>3248</v>
      </c>
      <c r="E4" s="233" t="s">
        <v>1594</v>
      </c>
      <c r="F4" s="234">
        <v>254722756117</v>
      </c>
      <c r="G4" s="235">
        <v>7000</v>
      </c>
      <c r="J4" s="225" t="s">
        <v>1669</v>
      </c>
      <c r="K4" s="225">
        <v>2</v>
      </c>
    </row>
    <row r="5" spans="2:11" ht="16.5">
      <c r="B5" s="232">
        <v>3</v>
      </c>
      <c r="C5" s="233" t="s">
        <v>3181</v>
      </c>
      <c r="D5" s="233" t="s">
        <v>3249</v>
      </c>
      <c r="E5" s="233" t="s">
        <v>466</v>
      </c>
      <c r="F5" s="234">
        <v>254720734241</v>
      </c>
      <c r="G5" s="235">
        <v>6000</v>
      </c>
    </row>
    <row r="6" spans="2:11" ht="16.5">
      <c r="B6" s="232">
        <v>4</v>
      </c>
      <c r="C6" s="233" t="s">
        <v>3182</v>
      </c>
      <c r="D6" s="233" t="s">
        <v>3249</v>
      </c>
      <c r="E6" s="233" t="s">
        <v>466</v>
      </c>
      <c r="F6" s="236" t="s">
        <v>3183</v>
      </c>
      <c r="G6" s="235">
        <v>6000</v>
      </c>
    </row>
    <row r="7" spans="2:11" ht="16.5">
      <c r="B7" s="232">
        <v>5</v>
      </c>
      <c r="C7" s="233" t="s">
        <v>3184</v>
      </c>
      <c r="D7" s="233" t="s">
        <v>3250</v>
      </c>
      <c r="E7" s="233" t="s">
        <v>1594</v>
      </c>
      <c r="F7" s="234">
        <v>254721578204</v>
      </c>
      <c r="G7" s="235">
        <v>6000</v>
      </c>
      <c r="J7" s="225" t="s">
        <v>1668</v>
      </c>
      <c r="K7" s="225">
        <v>2</v>
      </c>
    </row>
    <row r="8" spans="2:11" ht="16.5">
      <c r="B8" s="232">
        <v>6</v>
      </c>
      <c r="C8" s="233" t="s">
        <v>3185</v>
      </c>
      <c r="D8" s="233" t="s">
        <v>3251</v>
      </c>
      <c r="E8" s="233" t="s">
        <v>466</v>
      </c>
      <c r="F8" s="234">
        <v>254721640059</v>
      </c>
      <c r="G8" s="235">
        <v>6000</v>
      </c>
    </row>
    <row r="9" spans="2:11" ht="16.5">
      <c r="B9" s="232">
        <v>7</v>
      </c>
      <c r="C9" s="233" t="s">
        <v>3186</v>
      </c>
      <c r="D9" s="233" t="s">
        <v>1581</v>
      </c>
      <c r="E9" s="233" t="s">
        <v>1594</v>
      </c>
      <c r="F9" s="234">
        <v>254712940280</v>
      </c>
      <c r="G9" s="235">
        <v>6000</v>
      </c>
      <c r="J9" s="225" t="s">
        <v>3245</v>
      </c>
      <c r="K9" s="225">
        <f>SUBTOTAL(9,K2:K7)</f>
        <v>42</v>
      </c>
    </row>
    <row r="10" spans="2:11" ht="16.5">
      <c r="B10" s="232">
        <v>8</v>
      </c>
      <c r="C10" s="233" t="s">
        <v>3187</v>
      </c>
      <c r="D10" s="233" t="s">
        <v>3252</v>
      </c>
      <c r="E10" s="233" t="s">
        <v>1594</v>
      </c>
      <c r="F10" s="234">
        <v>254711464979</v>
      </c>
      <c r="G10" s="235">
        <v>4000</v>
      </c>
      <c r="K10" s="244"/>
    </row>
    <row r="11" spans="2:11" ht="16.5">
      <c r="B11" s="232">
        <v>9</v>
      </c>
      <c r="C11" s="233" t="s">
        <v>3188</v>
      </c>
      <c r="D11" s="233" t="s">
        <v>3253</v>
      </c>
      <c r="E11" s="233" t="s">
        <v>466</v>
      </c>
      <c r="F11" s="234">
        <v>254722768912</v>
      </c>
      <c r="G11" s="235">
        <v>6000</v>
      </c>
    </row>
    <row r="12" spans="2:11" ht="16.5">
      <c r="B12" s="232">
        <v>10</v>
      </c>
      <c r="C12" s="233" t="s">
        <v>3189</v>
      </c>
      <c r="D12" s="233" t="s">
        <v>3252</v>
      </c>
      <c r="E12" s="233" t="s">
        <v>466</v>
      </c>
      <c r="F12" s="234">
        <v>254727800958</v>
      </c>
      <c r="G12" s="235">
        <v>4000</v>
      </c>
    </row>
    <row r="13" spans="2:11" ht="16.5">
      <c r="B13" s="232">
        <v>11</v>
      </c>
      <c r="C13" s="233" t="s">
        <v>3190</v>
      </c>
      <c r="D13" s="233" t="s">
        <v>3254</v>
      </c>
      <c r="E13" s="233" t="s">
        <v>1594</v>
      </c>
      <c r="F13" s="234">
        <v>254713086308</v>
      </c>
      <c r="G13" s="235">
        <v>6000</v>
      </c>
    </row>
    <row r="14" spans="2:11" ht="16.5">
      <c r="B14" s="232">
        <v>12</v>
      </c>
      <c r="C14" s="233" t="s">
        <v>3191</v>
      </c>
      <c r="D14" s="233" t="s">
        <v>3255</v>
      </c>
      <c r="E14" s="233" t="s">
        <v>1594</v>
      </c>
      <c r="F14" s="234">
        <v>254724565382</v>
      </c>
      <c r="G14" s="235">
        <v>6000</v>
      </c>
    </row>
    <row r="15" spans="2:11" ht="16.5">
      <c r="B15" s="232">
        <v>13</v>
      </c>
      <c r="C15" s="233" t="s">
        <v>3192</v>
      </c>
      <c r="D15" s="233" t="s">
        <v>3256</v>
      </c>
      <c r="E15" s="233" t="s">
        <v>1594</v>
      </c>
      <c r="F15" s="234">
        <v>254711222117</v>
      </c>
      <c r="G15" s="235">
        <v>6000</v>
      </c>
    </row>
    <row r="16" spans="2:11" ht="16.5">
      <c r="B16" s="232">
        <v>14</v>
      </c>
      <c r="C16" s="233" t="s">
        <v>3193</v>
      </c>
      <c r="D16" s="233" t="s">
        <v>3257</v>
      </c>
      <c r="E16" s="233" t="s">
        <v>1594</v>
      </c>
      <c r="F16" s="234">
        <v>254725252979</v>
      </c>
      <c r="G16" s="235">
        <v>4000</v>
      </c>
    </row>
    <row r="17" spans="2:7" ht="16.5">
      <c r="B17" s="232">
        <v>15</v>
      </c>
      <c r="C17" s="233" t="s">
        <v>3194</v>
      </c>
      <c r="D17" s="233" t="s">
        <v>3257</v>
      </c>
      <c r="E17" s="233" t="s">
        <v>466</v>
      </c>
      <c r="F17" s="234">
        <v>254728807491</v>
      </c>
      <c r="G17" s="235">
        <v>4000</v>
      </c>
    </row>
    <row r="18" spans="2:7" ht="16.5">
      <c r="B18" s="232">
        <v>16</v>
      </c>
      <c r="C18" s="233" t="s">
        <v>3195</v>
      </c>
      <c r="D18" s="233" t="s">
        <v>3257</v>
      </c>
      <c r="E18" s="233" t="s">
        <v>1668</v>
      </c>
      <c r="F18" s="234">
        <v>254722379979</v>
      </c>
      <c r="G18" s="235">
        <v>4000</v>
      </c>
    </row>
    <row r="19" spans="2:7" ht="16.5">
      <c r="B19" s="232">
        <v>17</v>
      </c>
      <c r="C19" s="233" t="s">
        <v>3196</v>
      </c>
      <c r="D19" s="233" t="s">
        <v>3258</v>
      </c>
      <c r="E19" s="233" t="s">
        <v>466</v>
      </c>
      <c r="F19" s="234" t="s">
        <v>3197</v>
      </c>
      <c r="G19" s="235">
        <v>6000</v>
      </c>
    </row>
    <row r="20" spans="2:7" ht="16.5">
      <c r="B20" s="232">
        <v>18</v>
      </c>
      <c r="C20" s="233" t="s">
        <v>3198</v>
      </c>
      <c r="D20" s="233" t="s">
        <v>3251</v>
      </c>
      <c r="E20" s="233" t="s">
        <v>466</v>
      </c>
      <c r="F20" s="234">
        <v>254723355670</v>
      </c>
      <c r="G20" s="235">
        <v>6000</v>
      </c>
    </row>
    <row r="21" spans="2:7" ht="16.5">
      <c r="B21" s="232">
        <v>19</v>
      </c>
      <c r="C21" s="233" t="s">
        <v>3199</v>
      </c>
      <c r="D21" s="233" t="s">
        <v>3251</v>
      </c>
      <c r="E21" s="233" t="s">
        <v>1594</v>
      </c>
      <c r="F21" s="236" t="s">
        <v>3200</v>
      </c>
      <c r="G21" s="235">
        <v>6000</v>
      </c>
    </row>
    <row r="22" spans="2:7" ht="16.5">
      <c r="B22" s="232">
        <v>20</v>
      </c>
      <c r="C22" s="233" t="s">
        <v>3201</v>
      </c>
      <c r="D22" s="233" t="s">
        <v>3251</v>
      </c>
      <c r="E22" s="233" t="s">
        <v>1594</v>
      </c>
      <c r="F22" s="234">
        <v>254722758216</v>
      </c>
      <c r="G22" s="235">
        <v>6000</v>
      </c>
    </row>
    <row r="23" spans="2:7" ht="16.5">
      <c r="B23" s="232">
        <v>21</v>
      </c>
      <c r="C23" s="237" t="s">
        <v>3202</v>
      </c>
      <c r="D23" s="237" t="s">
        <v>3259</v>
      </c>
      <c r="E23" s="237" t="s">
        <v>466</v>
      </c>
      <c r="F23" s="236" t="s">
        <v>3203</v>
      </c>
      <c r="G23" s="235">
        <v>6000</v>
      </c>
    </row>
    <row r="24" spans="2:7" ht="16.5">
      <c r="B24" s="232">
        <v>22</v>
      </c>
      <c r="C24" s="237" t="s">
        <v>3204</v>
      </c>
      <c r="D24" s="237" t="s">
        <v>3260</v>
      </c>
      <c r="E24" s="237" t="s">
        <v>466</v>
      </c>
      <c r="F24" s="236" t="s">
        <v>3205</v>
      </c>
      <c r="G24" s="235">
        <v>7000</v>
      </c>
    </row>
    <row r="25" spans="2:7" ht="16.5">
      <c r="B25" s="232">
        <v>23</v>
      </c>
      <c r="C25" s="237" t="s">
        <v>3206</v>
      </c>
      <c r="D25" s="237" t="s">
        <v>3253</v>
      </c>
      <c r="E25" s="237" t="s">
        <v>1668</v>
      </c>
      <c r="F25" s="238" t="s">
        <v>3207</v>
      </c>
      <c r="G25" s="235">
        <v>6000</v>
      </c>
    </row>
    <row r="26" spans="2:7" ht="16.5">
      <c r="B26" s="232">
        <v>24</v>
      </c>
      <c r="C26" s="237" t="s">
        <v>3208</v>
      </c>
      <c r="D26" s="237" t="s">
        <v>3256</v>
      </c>
      <c r="E26" s="237" t="s">
        <v>1594</v>
      </c>
      <c r="F26" s="236" t="s">
        <v>3209</v>
      </c>
      <c r="G26" s="235">
        <v>6000</v>
      </c>
    </row>
    <row r="27" spans="2:7" ht="16.5">
      <c r="B27" s="232">
        <v>25</v>
      </c>
      <c r="C27" s="237" t="s">
        <v>3210</v>
      </c>
      <c r="D27" s="237" t="s">
        <v>3251</v>
      </c>
      <c r="E27" s="237" t="s">
        <v>466</v>
      </c>
      <c r="F27" s="238" t="s">
        <v>3211</v>
      </c>
      <c r="G27" s="235">
        <v>6000</v>
      </c>
    </row>
    <row r="28" spans="2:7" ht="16.5">
      <c r="B28" s="232">
        <v>26</v>
      </c>
      <c r="C28" s="237" t="s">
        <v>3212</v>
      </c>
      <c r="D28" s="237" t="s">
        <v>3257</v>
      </c>
      <c r="E28" s="237" t="s">
        <v>1669</v>
      </c>
      <c r="F28" s="238" t="s">
        <v>3213</v>
      </c>
      <c r="G28" s="235">
        <v>4000</v>
      </c>
    </row>
    <row r="29" spans="2:7" ht="16.5">
      <c r="B29" s="232">
        <v>27</v>
      </c>
      <c r="C29" s="237" t="s">
        <v>3214</v>
      </c>
      <c r="D29" s="237" t="s">
        <v>3257</v>
      </c>
      <c r="E29" s="237" t="s">
        <v>466</v>
      </c>
      <c r="F29" s="238" t="s">
        <v>3215</v>
      </c>
      <c r="G29" s="235">
        <v>4000</v>
      </c>
    </row>
    <row r="30" spans="2:7" ht="16.5">
      <c r="B30" s="314">
        <v>28</v>
      </c>
      <c r="C30" s="315" t="s">
        <v>3216</v>
      </c>
      <c r="D30" s="315" t="s">
        <v>3257</v>
      </c>
      <c r="E30" s="315" t="s">
        <v>466</v>
      </c>
      <c r="F30" s="316" t="s">
        <v>3217</v>
      </c>
      <c r="G30" s="317">
        <v>4000</v>
      </c>
    </row>
    <row r="31" spans="2:7" ht="16.5">
      <c r="B31" s="232">
        <v>29</v>
      </c>
      <c r="C31" s="237" t="s">
        <v>3218</v>
      </c>
      <c r="D31" s="237" t="s">
        <v>3257</v>
      </c>
      <c r="E31" s="237" t="s">
        <v>1594</v>
      </c>
      <c r="F31" s="236" t="s">
        <v>3219</v>
      </c>
      <c r="G31" s="235">
        <v>4000</v>
      </c>
    </row>
    <row r="32" spans="2:7" ht="16.5">
      <c r="B32" s="232">
        <v>30</v>
      </c>
      <c r="C32" s="237" t="s">
        <v>3220</v>
      </c>
      <c r="D32" s="237" t="s">
        <v>3261</v>
      </c>
      <c r="E32" s="237" t="s">
        <v>466</v>
      </c>
      <c r="F32" s="236" t="s">
        <v>3221</v>
      </c>
      <c r="G32" s="235">
        <v>4000</v>
      </c>
    </row>
    <row r="33" spans="1:16384" ht="16.5">
      <c r="B33" s="232">
        <v>31</v>
      </c>
      <c r="C33" s="237" t="s">
        <v>3222</v>
      </c>
      <c r="D33" s="237" t="s">
        <v>3261</v>
      </c>
      <c r="E33" s="237" t="s">
        <v>466</v>
      </c>
      <c r="F33" s="236" t="s">
        <v>3223</v>
      </c>
      <c r="G33" s="235">
        <v>4000</v>
      </c>
    </row>
    <row r="34" spans="1:16384" ht="16.5">
      <c r="B34" s="232">
        <v>32</v>
      </c>
      <c r="C34" s="237" t="s">
        <v>3224</v>
      </c>
      <c r="D34" s="237" t="s">
        <v>3262</v>
      </c>
      <c r="E34" s="237" t="s">
        <v>466</v>
      </c>
      <c r="F34" s="236" t="s">
        <v>3225</v>
      </c>
      <c r="G34" s="235">
        <v>6000</v>
      </c>
    </row>
    <row r="35" spans="1:16384" ht="16.5">
      <c r="B35" s="232">
        <v>33</v>
      </c>
      <c r="C35" s="233" t="s">
        <v>3226</v>
      </c>
      <c r="D35" s="233" t="s">
        <v>3263</v>
      </c>
      <c r="E35" s="233" t="s">
        <v>1594</v>
      </c>
      <c r="F35" s="236" t="s">
        <v>3227</v>
      </c>
      <c r="G35" s="235">
        <v>4000</v>
      </c>
    </row>
    <row r="36" spans="1:16384" ht="16.5">
      <c r="B36" s="232">
        <v>34</v>
      </c>
      <c r="C36" s="233" t="s">
        <v>3228</v>
      </c>
      <c r="D36" s="233" t="s">
        <v>3264</v>
      </c>
      <c r="E36" s="233" t="s">
        <v>1594</v>
      </c>
      <c r="F36" s="236" t="s">
        <v>3229</v>
      </c>
      <c r="G36" s="235">
        <v>6000</v>
      </c>
    </row>
    <row r="37" spans="1:16384" ht="16.5">
      <c r="B37" s="232">
        <v>35</v>
      </c>
      <c r="C37" s="233" t="s">
        <v>3230</v>
      </c>
      <c r="D37" s="239" t="s">
        <v>3257</v>
      </c>
      <c r="E37" s="239" t="s">
        <v>466</v>
      </c>
      <c r="F37" s="240" t="s">
        <v>3231</v>
      </c>
      <c r="G37" s="235">
        <v>4000</v>
      </c>
    </row>
    <row r="38" spans="1:16384" ht="16.5">
      <c r="B38" s="232">
        <v>36</v>
      </c>
      <c r="C38" s="233" t="s">
        <v>3232</v>
      </c>
      <c r="D38" s="233" t="s">
        <v>3251</v>
      </c>
      <c r="E38" s="233" t="s">
        <v>466</v>
      </c>
      <c r="F38" s="241" t="s">
        <v>3233</v>
      </c>
      <c r="G38" s="235">
        <v>6000</v>
      </c>
    </row>
    <row r="39" spans="1:16384" ht="16.5">
      <c r="B39" s="232">
        <v>37</v>
      </c>
      <c r="C39" s="233" t="s">
        <v>3234</v>
      </c>
      <c r="D39" s="233" t="s">
        <v>3251</v>
      </c>
      <c r="E39" s="233" t="s">
        <v>466</v>
      </c>
      <c r="F39" s="241" t="s">
        <v>3235</v>
      </c>
      <c r="G39" s="235">
        <v>6000</v>
      </c>
    </row>
    <row r="40" spans="1:16384" ht="16.5">
      <c r="B40" s="232">
        <v>38</v>
      </c>
      <c r="C40" s="233" t="s">
        <v>3236</v>
      </c>
      <c r="D40" s="233" t="s">
        <v>3251</v>
      </c>
      <c r="E40" s="233" t="s">
        <v>466</v>
      </c>
      <c r="F40" s="241" t="s">
        <v>3237</v>
      </c>
      <c r="G40" s="235">
        <v>6000</v>
      </c>
    </row>
    <row r="41" spans="1:16384" ht="16.5">
      <c r="B41" s="232">
        <v>39</v>
      </c>
      <c r="C41" s="233" t="s">
        <v>3238</v>
      </c>
      <c r="D41" s="233" t="s">
        <v>3253</v>
      </c>
      <c r="E41" s="233" t="s">
        <v>466</v>
      </c>
      <c r="F41" s="241" t="s">
        <v>3239</v>
      </c>
      <c r="G41" s="235">
        <v>6000</v>
      </c>
    </row>
    <row r="42" spans="1:16384" ht="16.5">
      <c r="B42" s="232">
        <v>40</v>
      </c>
      <c r="C42" s="233" t="s">
        <v>3240</v>
      </c>
      <c r="D42" s="233" t="s">
        <v>3265</v>
      </c>
      <c r="E42" s="233" t="s">
        <v>466</v>
      </c>
      <c r="F42" s="241" t="s">
        <v>3241</v>
      </c>
      <c r="G42" s="235">
        <v>7000</v>
      </c>
    </row>
    <row r="43" spans="1:16384" ht="16.5">
      <c r="B43" s="232">
        <v>41</v>
      </c>
      <c r="C43" s="233" t="s">
        <v>3266</v>
      </c>
      <c r="D43" s="233" t="s">
        <v>3253</v>
      </c>
      <c r="E43" s="233" t="s">
        <v>1594</v>
      </c>
      <c r="F43" s="241" t="s">
        <v>3242</v>
      </c>
      <c r="G43" s="235">
        <v>6000</v>
      </c>
    </row>
    <row r="44" spans="1:16384" ht="16.5">
      <c r="B44" s="232">
        <v>42</v>
      </c>
      <c r="C44" s="242" t="s">
        <v>3243</v>
      </c>
      <c r="D44" s="242" t="s">
        <v>3251</v>
      </c>
      <c r="E44" s="242" t="s">
        <v>1669</v>
      </c>
      <c r="F44" s="241" t="s">
        <v>3244</v>
      </c>
      <c r="G44" s="235">
        <v>6000</v>
      </c>
    </row>
    <row r="45" spans="1:16384">
      <c r="A45" s="318"/>
      <c r="B45" s="319"/>
      <c r="C45" s="318" t="s">
        <v>3319</v>
      </c>
      <c r="D45" s="319" t="s">
        <v>3321</v>
      </c>
      <c r="E45" s="318" t="s">
        <v>466</v>
      </c>
      <c r="F45" s="319" t="s">
        <v>3320</v>
      </c>
      <c r="G45" s="318">
        <v>6000</v>
      </c>
      <c r="H45" s="319" t="s">
        <v>3320</v>
      </c>
      <c r="I45" s="318" t="s">
        <v>3319</v>
      </c>
      <c r="J45" s="319" t="s">
        <v>3320</v>
      </c>
      <c r="K45" s="318" t="s">
        <v>3319</v>
      </c>
      <c r="L45" s="319" t="s">
        <v>3320</v>
      </c>
      <c r="M45" s="318" t="s">
        <v>3319</v>
      </c>
      <c r="N45" s="319" t="s">
        <v>3320</v>
      </c>
      <c r="O45" s="318" t="s">
        <v>3319</v>
      </c>
      <c r="P45" s="319" t="s">
        <v>3320</v>
      </c>
      <c r="Q45" s="318" t="s">
        <v>3319</v>
      </c>
      <c r="R45" s="319" t="s">
        <v>3320</v>
      </c>
      <c r="S45" s="318" t="s">
        <v>3319</v>
      </c>
      <c r="T45" s="319" t="s">
        <v>3320</v>
      </c>
      <c r="U45" s="318" t="s">
        <v>3319</v>
      </c>
      <c r="V45" s="319" t="s">
        <v>3320</v>
      </c>
      <c r="W45" s="318" t="s">
        <v>3319</v>
      </c>
      <c r="X45" s="319" t="s">
        <v>3320</v>
      </c>
      <c r="Y45" s="318" t="s">
        <v>3319</v>
      </c>
      <c r="Z45" s="319" t="s">
        <v>3320</v>
      </c>
      <c r="AA45" s="318" t="s">
        <v>3319</v>
      </c>
      <c r="AB45" s="319" t="s">
        <v>3320</v>
      </c>
      <c r="AC45" s="318" t="s">
        <v>3319</v>
      </c>
      <c r="AD45" s="319" t="s">
        <v>3320</v>
      </c>
      <c r="AE45" s="318" t="s">
        <v>3319</v>
      </c>
      <c r="AF45" s="319" t="s">
        <v>3320</v>
      </c>
      <c r="AG45" s="318" t="s">
        <v>3319</v>
      </c>
      <c r="AH45" s="319" t="s">
        <v>3320</v>
      </c>
      <c r="AI45" s="318" t="s">
        <v>3319</v>
      </c>
      <c r="AJ45" s="319" t="s">
        <v>3320</v>
      </c>
      <c r="AK45" s="318" t="s">
        <v>3319</v>
      </c>
      <c r="AL45" s="319" t="s">
        <v>3320</v>
      </c>
      <c r="AM45" s="318" t="s">
        <v>3319</v>
      </c>
      <c r="AN45" s="319" t="s">
        <v>3320</v>
      </c>
      <c r="AO45" s="318" t="s">
        <v>3319</v>
      </c>
      <c r="AP45" s="319" t="s">
        <v>3320</v>
      </c>
      <c r="AQ45" s="318" t="s">
        <v>3319</v>
      </c>
      <c r="AR45" s="319" t="s">
        <v>3320</v>
      </c>
      <c r="AS45" s="318" t="s">
        <v>3319</v>
      </c>
      <c r="AT45" s="319" t="s">
        <v>3320</v>
      </c>
      <c r="AU45" s="318" t="s">
        <v>3319</v>
      </c>
      <c r="AV45" s="319" t="s">
        <v>3320</v>
      </c>
      <c r="AW45" s="318" t="s">
        <v>3319</v>
      </c>
      <c r="AX45" s="319" t="s">
        <v>3320</v>
      </c>
      <c r="AY45" s="318" t="s">
        <v>3319</v>
      </c>
      <c r="AZ45" s="319" t="s">
        <v>3320</v>
      </c>
      <c r="BA45" s="318" t="s">
        <v>3319</v>
      </c>
      <c r="BB45" s="319" t="s">
        <v>3320</v>
      </c>
      <c r="BC45" s="318" t="s">
        <v>3319</v>
      </c>
      <c r="BD45" s="319" t="s">
        <v>3320</v>
      </c>
      <c r="BE45" s="318" t="s">
        <v>3319</v>
      </c>
      <c r="BF45" s="319" t="s">
        <v>3320</v>
      </c>
      <c r="BG45" s="318" t="s">
        <v>3319</v>
      </c>
      <c r="BH45" s="319" t="s">
        <v>3320</v>
      </c>
      <c r="BI45" s="318" t="s">
        <v>3319</v>
      </c>
      <c r="BJ45" s="319" t="s">
        <v>3320</v>
      </c>
      <c r="BK45" s="318" t="s">
        <v>3319</v>
      </c>
      <c r="BL45" s="319" t="s">
        <v>3320</v>
      </c>
      <c r="BM45" s="318" t="s">
        <v>3319</v>
      </c>
      <c r="BN45" s="319" t="s">
        <v>3320</v>
      </c>
      <c r="BO45" s="318" t="s">
        <v>3319</v>
      </c>
      <c r="BP45" s="319" t="s">
        <v>3320</v>
      </c>
      <c r="BQ45" s="318" t="s">
        <v>3319</v>
      </c>
      <c r="BR45" s="319" t="s">
        <v>3320</v>
      </c>
      <c r="BS45" s="318" t="s">
        <v>3319</v>
      </c>
      <c r="BT45" s="319" t="s">
        <v>3320</v>
      </c>
      <c r="BU45" s="318" t="s">
        <v>3319</v>
      </c>
      <c r="BV45" s="319" t="s">
        <v>3320</v>
      </c>
      <c r="BW45" s="318" t="s">
        <v>3319</v>
      </c>
      <c r="BX45" s="319" t="s">
        <v>3320</v>
      </c>
      <c r="BY45" s="318" t="s">
        <v>3319</v>
      </c>
      <c r="BZ45" s="319" t="s">
        <v>3320</v>
      </c>
      <c r="CA45" s="318" t="s">
        <v>3319</v>
      </c>
      <c r="CB45" s="319" t="s">
        <v>3320</v>
      </c>
      <c r="CC45" s="318" t="s">
        <v>3319</v>
      </c>
      <c r="CD45" s="319" t="s">
        <v>3320</v>
      </c>
      <c r="CE45" s="318" t="s">
        <v>3319</v>
      </c>
      <c r="CF45" s="319" t="s">
        <v>3320</v>
      </c>
      <c r="CG45" s="318" t="s">
        <v>3319</v>
      </c>
      <c r="CH45" s="319" t="s">
        <v>3320</v>
      </c>
      <c r="CI45" s="318" t="s">
        <v>3319</v>
      </c>
      <c r="CJ45" s="319" t="s">
        <v>3320</v>
      </c>
      <c r="CK45" s="318" t="s">
        <v>3319</v>
      </c>
      <c r="CL45" s="319" t="s">
        <v>3320</v>
      </c>
      <c r="CM45" s="318" t="s">
        <v>3319</v>
      </c>
      <c r="CN45" s="319" t="s">
        <v>3320</v>
      </c>
      <c r="CO45" s="318" t="s">
        <v>3319</v>
      </c>
      <c r="CP45" s="319" t="s">
        <v>3320</v>
      </c>
      <c r="CQ45" s="318" t="s">
        <v>3319</v>
      </c>
      <c r="CR45" s="319" t="s">
        <v>3320</v>
      </c>
      <c r="CS45" s="318" t="s">
        <v>3319</v>
      </c>
      <c r="CT45" s="319" t="s">
        <v>3320</v>
      </c>
      <c r="CU45" s="318" t="s">
        <v>3319</v>
      </c>
      <c r="CV45" s="319" t="s">
        <v>3320</v>
      </c>
      <c r="CW45" s="318" t="s">
        <v>3319</v>
      </c>
      <c r="CX45" s="319" t="s">
        <v>3320</v>
      </c>
      <c r="CY45" s="318" t="s">
        <v>3319</v>
      </c>
      <c r="CZ45" s="319" t="s">
        <v>3320</v>
      </c>
      <c r="DA45" s="318" t="s">
        <v>3319</v>
      </c>
      <c r="DB45" s="319" t="s">
        <v>3320</v>
      </c>
      <c r="DC45" s="318" t="s">
        <v>3319</v>
      </c>
      <c r="DD45" s="319" t="s">
        <v>3320</v>
      </c>
      <c r="DE45" s="318" t="s">
        <v>3319</v>
      </c>
      <c r="DF45" s="319" t="s">
        <v>3320</v>
      </c>
      <c r="DG45" s="318" t="s">
        <v>3319</v>
      </c>
      <c r="DH45" s="319" t="s">
        <v>3320</v>
      </c>
      <c r="DI45" s="318" t="s">
        <v>3319</v>
      </c>
      <c r="DJ45" s="319" t="s">
        <v>3320</v>
      </c>
      <c r="DK45" s="318" t="s">
        <v>3319</v>
      </c>
      <c r="DL45" s="319" t="s">
        <v>3320</v>
      </c>
      <c r="DM45" s="318" t="s">
        <v>3319</v>
      </c>
      <c r="DN45" s="319" t="s">
        <v>3320</v>
      </c>
      <c r="DO45" s="318" t="s">
        <v>3319</v>
      </c>
      <c r="DP45" s="319" t="s">
        <v>3320</v>
      </c>
      <c r="DQ45" s="318" t="s">
        <v>3319</v>
      </c>
      <c r="DR45" s="319" t="s">
        <v>3320</v>
      </c>
      <c r="DS45" s="318" t="s">
        <v>3319</v>
      </c>
      <c r="DT45" s="319" t="s">
        <v>3320</v>
      </c>
      <c r="DU45" s="318" t="s">
        <v>3319</v>
      </c>
      <c r="DV45" s="319" t="s">
        <v>3320</v>
      </c>
      <c r="DW45" s="318" t="s">
        <v>3319</v>
      </c>
      <c r="DX45" s="319" t="s">
        <v>3320</v>
      </c>
      <c r="DY45" s="318" t="s">
        <v>3319</v>
      </c>
      <c r="DZ45" s="319" t="s">
        <v>3320</v>
      </c>
      <c r="EA45" s="318" t="s">
        <v>3319</v>
      </c>
      <c r="EB45" s="319" t="s">
        <v>3320</v>
      </c>
      <c r="EC45" s="318" t="s">
        <v>3319</v>
      </c>
      <c r="ED45" s="319" t="s">
        <v>3320</v>
      </c>
      <c r="EE45" s="318" t="s">
        <v>3319</v>
      </c>
      <c r="EF45" s="319" t="s">
        <v>3320</v>
      </c>
      <c r="EG45" s="318" t="s">
        <v>3319</v>
      </c>
      <c r="EH45" s="319" t="s">
        <v>3320</v>
      </c>
      <c r="EI45" s="318" t="s">
        <v>3319</v>
      </c>
      <c r="EJ45" s="319" t="s">
        <v>3320</v>
      </c>
      <c r="EK45" s="318" t="s">
        <v>3319</v>
      </c>
      <c r="EL45" s="319" t="s">
        <v>3320</v>
      </c>
      <c r="EM45" s="318" t="s">
        <v>3319</v>
      </c>
      <c r="EN45" s="319" t="s">
        <v>3320</v>
      </c>
      <c r="EO45" s="318" t="s">
        <v>3319</v>
      </c>
      <c r="EP45" s="319" t="s">
        <v>3320</v>
      </c>
      <c r="EQ45" s="318" t="s">
        <v>3319</v>
      </c>
      <c r="ER45" s="319" t="s">
        <v>3320</v>
      </c>
      <c r="ES45" s="318" t="s">
        <v>3319</v>
      </c>
      <c r="ET45" s="319" t="s">
        <v>3320</v>
      </c>
      <c r="EU45" s="318" t="s">
        <v>3319</v>
      </c>
      <c r="EV45" s="319" t="s">
        <v>3320</v>
      </c>
      <c r="EW45" s="318" t="s">
        <v>3319</v>
      </c>
      <c r="EX45" s="319" t="s">
        <v>3320</v>
      </c>
      <c r="EY45" s="318" t="s">
        <v>3319</v>
      </c>
      <c r="EZ45" s="319" t="s">
        <v>3320</v>
      </c>
      <c r="FA45" s="318" t="s">
        <v>3319</v>
      </c>
      <c r="FB45" s="319" t="s">
        <v>3320</v>
      </c>
      <c r="FC45" s="318" t="s">
        <v>3319</v>
      </c>
      <c r="FD45" s="319" t="s">
        <v>3320</v>
      </c>
      <c r="FE45" s="318" t="s">
        <v>3319</v>
      </c>
      <c r="FF45" s="319" t="s">
        <v>3320</v>
      </c>
      <c r="FG45" s="318" t="s">
        <v>3319</v>
      </c>
      <c r="FH45" s="319" t="s">
        <v>3320</v>
      </c>
      <c r="FI45" s="318" t="s">
        <v>3319</v>
      </c>
      <c r="FJ45" s="319" t="s">
        <v>3320</v>
      </c>
      <c r="FK45" s="318" t="s">
        <v>3319</v>
      </c>
      <c r="FL45" s="319" t="s">
        <v>3320</v>
      </c>
      <c r="FM45" s="318" t="s">
        <v>3319</v>
      </c>
      <c r="FN45" s="319" t="s">
        <v>3320</v>
      </c>
      <c r="FO45" s="318" t="s">
        <v>3319</v>
      </c>
      <c r="FP45" s="319" t="s">
        <v>3320</v>
      </c>
      <c r="FQ45" s="318" t="s">
        <v>3319</v>
      </c>
      <c r="FR45" s="319" t="s">
        <v>3320</v>
      </c>
      <c r="FS45" s="318" t="s">
        <v>3319</v>
      </c>
      <c r="FT45" s="319" t="s">
        <v>3320</v>
      </c>
      <c r="FU45" s="318" t="s">
        <v>3319</v>
      </c>
      <c r="FV45" s="319" t="s">
        <v>3320</v>
      </c>
      <c r="FW45" s="318" t="s">
        <v>3319</v>
      </c>
      <c r="FX45" s="319" t="s">
        <v>3320</v>
      </c>
      <c r="FY45" s="318" t="s">
        <v>3319</v>
      </c>
      <c r="FZ45" s="319" t="s">
        <v>3320</v>
      </c>
      <c r="GA45" s="318" t="s">
        <v>3319</v>
      </c>
      <c r="GB45" s="319" t="s">
        <v>3320</v>
      </c>
      <c r="GC45" s="318" t="s">
        <v>3319</v>
      </c>
      <c r="GD45" s="319" t="s">
        <v>3320</v>
      </c>
      <c r="GE45" s="318" t="s">
        <v>3319</v>
      </c>
      <c r="GF45" s="319" t="s">
        <v>3320</v>
      </c>
      <c r="GG45" s="318" t="s">
        <v>3319</v>
      </c>
      <c r="GH45" s="319" t="s">
        <v>3320</v>
      </c>
      <c r="GI45" s="318" t="s">
        <v>3319</v>
      </c>
      <c r="GJ45" s="319" t="s">
        <v>3320</v>
      </c>
      <c r="GK45" s="318" t="s">
        <v>3319</v>
      </c>
      <c r="GL45" s="319" t="s">
        <v>3320</v>
      </c>
      <c r="GM45" s="318" t="s">
        <v>3319</v>
      </c>
      <c r="GN45" s="319" t="s">
        <v>3320</v>
      </c>
      <c r="GO45" s="318" t="s">
        <v>3319</v>
      </c>
      <c r="GP45" s="319" t="s">
        <v>3320</v>
      </c>
      <c r="GQ45" s="318" t="s">
        <v>3319</v>
      </c>
      <c r="GR45" s="319" t="s">
        <v>3320</v>
      </c>
      <c r="GS45" s="318" t="s">
        <v>3319</v>
      </c>
      <c r="GT45" s="319" t="s">
        <v>3320</v>
      </c>
      <c r="GU45" s="318" t="s">
        <v>3319</v>
      </c>
      <c r="GV45" s="319" t="s">
        <v>3320</v>
      </c>
      <c r="GW45" s="318" t="s">
        <v>3319</v>
      </c>
      <c r="GX45" s="319" t="s">
        <v>3320</v>
      </c>
      <c r="GY45" s="318" t="s">
        <v>3319</v>
      </c>
      <c r="GZ45" s="319" t="s">
        <v>3320</v>
      </c>
      <c r="HA45" s="318" t="s">
        <v>3319</v>
      </c>
      <c r="HB45" s="319" t="s">
        <v>3320</v>
      </c>
      <c r="HC45" s="318" t="s">
        <v>3319</v>
      </c>
      <c r="HD45" s="319" t="s">
        <v>3320</v>
      </c>
      <c r="HE45" s="318" t="s">
        <v>3319</v>
      </c>
      <c r="HF45" s="319" t="s">
        <v>3320</v>
      </c>
      <c r="HG45" s="318" t="s">
        <v>3319</v>
      </c>
      <c r="HH45" s="319" t="s">
        <v>3320</v>
      </c>
      <c r="HI45" s="318" t="s">
        <v>3319</v>
      </c>
      <c r="HJ45" s="319" t="s">
        <v>3320</v>
      </c>
      <c r="HK45" s="318" t="s">
        <v>3319</v>
      </c>
      <c r="HL45" s="319" t="s">
        <v>3320</v>
      </c>
      <c r="HM45" s="318" t="s">
        <v>3319</v>
      </c>
      <c r="HN45" s="319" t="s">
        <v>3320</v>
      </c>
      <c r="HO45" s="318" t="s">
        <v>3319</v>
      </c>
      <c r="HP45" s="319" t="s">
        <v>3320</v>
      </c>
      <c r="HQ45" s="318" t="s">
        <v>3319</v>
      </c>
      <c r="HR45" s="319" t="s">
        <v>3320</v>
      </c>
      <c r="HS45" s="318" t="s">
        <v>3319</v>
      </c>
      <c r="HT45" s="319" t="s">
        <v>3320</v>
      </c>
      <c r="HU45" s="318" t="s">
        <v>3319</v>
      </c>
      <c r="HV45" s="319" t="s">
        <v>3320</v>
      </c>
      <c r="HW45" s="318" t="s">
        <v>3319</v>
      </c>
      <c r="HX45" s="319" t="s">
        <v>3320</v>
      </c>
      <c r="HY45" s="318" t="s">
        <v>3319</v>
      </c>
      <c r="HZ45" s="319" t="s">
        <v>3320</v>
      </c>
      <c r="IA45" s="318" t="s">
        <v>3319</v>
      </c>
      <c r="IB45" s="319" t="s">
        <v>3320</v>
      </c>
      <c r="IC45" s="318" t="s">
        <v>3319</v>
      </c>
      <c r="ID45" s="319" t="s">
        <v>3320</v>
      </c>
      <c r="IE45" s="318" t="s">
        <v>3319</v>
      </c>
      <c r="IF45" s="319" t="s">
        <v>3320</v>
      </c>
      <c r="IG45" s="318" t="s">
        <v>3319</v>
      </c>
      <c r="IH45" s="319" t="s">
        <v>3320</v>
      </c>
      <c r="II45" s="318" t="s">
        <v>3319</v>
      </c>
      <c r="IJ45" s="319" t="s">
        <v>3320</v>
      </c>
      <c r="IK45" s="318" t="s">
        <v>3319</v>
      </c>
      <c r="IL45" s="319" t="s">
        <v>3320</v>
      </c>
      <c r="IM45" s="318" t="s">
        <v>3319</v>
      </c>
      <c r="IN45" s="319" t="s">
        <v>3320</v>
      </c>
      <c r="IO45" s="318" t="s">
        <v>3319</v>
      </c>
      <c r="IP45" s="319" t="s">
        <v>3320</v>
      </c>
      <c r="IQ45" s="318" t="s">
        <v>3319</v>
      </c>
      <c r="IR45" s="319" t="s">
        <v>3320</v>
      </c>
      <c r="IS45" s="318" t="s">
        <v>3319</v>
      </c>
      <c r="IT45" s="319" t="s">
        <v>3320</v>
      </c>
      <c r="IU45" s="318" t="s">
        <v>3319</v>
      </c>
      <c r="IV45" s="319" t="s">
        <v>3320</v>
      </c>
      <c r="IW45" s="318" t="s">
        <v>3319</v>
      </c>
      <c r="IX45" s="319" t="s">
        <v>3320</v>
      </c>
      <c r="IY45" s="318" t="s">
        <v>3319</v>
      </c>
      <c r="IZ45" s="319" t="s">
        <v>3320</v>
      </c>
      <c r="JA45" s="318" t="s">
        <v>3319</v>
      </c>
      <c r="JB45" s="319" t="s">
        <v>3320</v>
      </c>
      <c r="JC45" s="318" t="s">
        <v>3319</v>
      </c>
      <c r="JD45" s="319" t="s">
        <v>3320</v>
      </c>
      <c r="JE45" s="318" t="s">
        <v>3319</v>
      </c>
      <c r="JF45" s="319" t="s">
        <v>3320</v>
      </c>
      <c r="JG45" s="318" t="s">
        <v>3319</v>
      </c>
      <c r="JH45" s="319" t="s">
        <v>3320</v>
      </c>
      <c r="JI45" s="318" t="s">
        <v>3319</v>
      </c>
      <c r="JJ45" s="319" t="s">
        <v>3320</v>
      </c>
      <c r="JK45" s="318" t="s">
        <v>3319</v>
      </c>
      <c r="JL45" s="319" t="s">
        <v>3320</v>
      </c>
      <c r="JM45" s="318" t="s">
        <v>3319</v>
      </c>
      <c r="JN45" s="319" t="s">
        <v>3320</v>
      </c>
      <c r="JO45" s="318" t="s">
        <v>3319</v>
      </c>
      <c r="JP45" s="319" t="s">
        <v>3320</v>
      </c>
      <c r="JQ45" s="318" t="s">
        <v>3319</v>
      </c>
      <c r="JR45" s="319" t="s">
        <v>3320</v>
      </c>
      <c r="JS45" s="318" t="s">
        <v>3319</v>
      </c>
      <c r="JT45" s="319" t="s">
        <v>3320</v>
      </c>
      <c r="JU45" s="318" t="s">
        <v>3319</v>
      </c>
      <c r="JV45" s="319" t="s">
        <v>3320</v>
      </c>
      <c r="JW45" s="318" t="s">
        <v>3319</v>
      </c>
      <c r="JX45" s="319" t="s">
        <v>3320</v>
      </c>
      <c r="JY45" s="318" t="s">
        <v>3319</v>
      </c>
      <c r="JZ45" s="319" t="s">
        <v>3320</v>
      </c>
      <c r="KA45" s="318" t="s">
        <v>3319</v>
      </c>
      <c r="KB45" s="319" t="s">
        <v>3320</v>
      </c>
      <c r="KC45" s="318" t="s">
        <v>3319</v>
      </c>
      <c r="KD45" s="319" t="s">
        <v>3320</v>
      </c>
      <c r="KE45" s="318" t="s">
        <v>3319</v>
      </c>
      <c r="KF45" s="319" t="s">
        <v>3320</v>
      </c>
      <c r="KG45" s="318" t="s">
        <v>3319</v>
      </c>
      <c r="KH45" s="319" t="s">
        <v>3320</v>
      </c>
      <c r="KI45" s="318" t="s">
        <v>3319</v>
      </c>
      <c r="KJ45" s="319" t="s">
        <v>3320</v>
      </c>
      <c r="KK45" s="318" t="s">
        <v>3319</v>
      </c>
      <c r="KL45" s="319" t="s">
        <v>3320</v>
      </c>
      <c r="KM45" s="318" t="s">
        <v>3319</v>
      </c>
      <c r="KN45" s="319" t="s">
        <v>3320</v>
      </c>
      <c r="KO45" s="318" t="s">
        <v>3319</v>
      </c>
      <c r="KP45" s="319" t="s">
        <v>3320</v>
      </c>
      <c r="KQ45" s="318" t="s">
        <v>3319</v>
      </c>
      <c r="KR45" s="319" t="s">
        <v>3320</v>
      </c>
      <c r="KS45" s="318" t="s">
        <v>3319</v>
      </c>
      <c r="KT45" s="319" t="s">
        <v>3320</v>
      </c>
      <c r="KU45" s="318" t="s">
        <v>3319</v>
      </c>
      <c r="KV45" s="319" t="s">
        <v>3320</v>
      </c>
      <c r="KW45" s="318" t="s">
        <v>3319</v>
      </c>
      <c r="KX45" s="319" t="s">
        <v>3320</v>
      </c>
      <c r="KY45" s="318" t="s">
        <v>3319</v>
      </c>
      <c r="KZ45" s="319" t="s">
        <v>3320</v>
      </c>
      <c r="LA45" s="318" t="s">
        <v>3319</v>
      </c>
      <c r="LB45" s="319" t="s">
        <v>3320</v>
      </c>
      <c r="LC45" s="318" t="s">
        <v>3319</v>
      </c>
      <c r="LD45" s="319" t="s">
        <v>3320</v>
      </c>
      <c r="LE45" s="318" t="s">
        <v>3319</v>
      </c>
      <c r="LF45" s="319" t="s">
        <v>3320</v>
      </c>
      <c r="LG45" s="318" t="s">
        <v>3319</v>
      </c>
      <c r="LH45" s="319" t="s">
        <v>3320</v>
      </c>
      <c r="LI45" s="318" t="s">
        <v>3319</v>
      </c>
      <c r="LJ45" s="319" t="s">
        <v>3320</v>
      </c>
      <c r="LK45" s="318" t="s">
        <v>3319</v>
      </c>
      <c r="LL45" s="319" t="s">
        <v>3320</v>
      </c>
      <c r="LM45" s="318" t="s">
        <v>3319</v>
      </c>
      <c r="LN45" s="319" t="s">
        <v>3320</v>
      </c>
      <c r="LO45" s="318" t="s">
        <v>3319</v>
      </c>
      <c r="LP45" s="319" t="s">
        <v>3320</v>
      </c>
      <c r="LQ45" s="318" t="s">
        <v>3319</v>
      </c>
      <c r="LR45" s="319" t="s">
        <v>3320</v>
      </c>
      <c r="LS45" s="318" t="s">
        <v>3319</v>
      </c>
      <c r="LT45" s="319" t="s">
        <v>3320</v>
      </c>
      <c r="LU45" s="318" t="s">
        <v>3319</v>
      </c>
      <c r="LV45" s="319" t="s">
        <v>3320</v>
      </c>
      <c r="LW45" s="318" t="s">
        <v>3319</v>
      </c>
      <c r="LX45" s="319" t="s">
        <v>3320</v>
      </c>
      <c r="LY45" s="318" t="s">
        <v>3319</v>
      </c>
      <c r="LZ45" s="319" t="s">
        <v>3320</v>
      </c>
      <c r="MA45" s="318" t="s">
        <v>3319</v>
      </c>
      <c r="MB45" s="319" t="s">
        <v>3320</v>
      </c>
      <c r="MC45" s="318" t="s">
        <v>3319</v>
      </c>
      <c r="MD45" s="319" t="s">
        <v>3320</v>
      </c>
      <c r="ME45" s="318" t="s">
        <v>3319</v>
      </c>
      <c r="MF45" s="319" t="s">
        <v>3320</v>
      </c>
      <c r="MG45" s="318" t="s">
        <v>3319</v>
      </c>
      <c r="MH45" s="319" t="s">
        <v>3320</v>
      </c>
      <c r="MI45" s="318" t="s">
        <v>3319</v>
      </c>
      <c r="MJ45" s="319" t="s">
        <v>3320</v>
      </c>
      <c r="MK45" s="318" t="s">
        <v>3319</v>
      </c>
      <c r="ML45" s="319" t="s">
        <v>3320</v>
      </c>
      <c r="MM45" s="318" t="s">
        <v>3319</v>
      </c>
      <c r="MN45" s="319" t="s">
        <v>3320</v>
      </c>
      <c r="MO45" s="318" t="s">
        <v>3319</v>
      </c>
      <c r="MP45" s="319" t="s">
        <v>3320</v>
      </c>
      <c r="MQ45" s="318" t="s">
        <v>3319</v>
      </c>
      <c r="MR45" s="319" t="s">
        <v>3320</v>
      </c>
      <c r="MS45" s="318" t="s">
        <v>3319</v>
      </c>
      <c r="MT45" s="319" t="s">
        <v>3320</v>
      </c>
      <c r="MU45" s="318" t="s">
        <v>3319</v>
      </c>
      <c r="MV45" s="319" t="s">
        <v>3320</v>
      </c>
      <c r="MW45" s="318" t="s">
        <v>3319</v>
      </c>
      <c r="MX45" s="319" t="s">
        <v>3320</v>
      </c>
      <c r="MY45" s="318" t="s">
        <v>3319</v>
      </c>
      <c r="MZ45" s="319" t="s">
        <v>3320</v>
      </c>
      <c r="NA45" s="318" t="s">
        <v>3319</v>
      </c>
      <c r="NB45" s="319" t="s">
        <v>3320</v>
      </c>
      <c r="NC45" s="318" t="s">
        <v>3319</v>
      </c>
      <c r="ND45" s="319" t="s">
        <v>3320</v>
      </c>
      <c r="NE45" s="318" t="s">
        <v>3319</v>
      </c>
      <c r="NF45" s="319" t="s">
        <v>3320</v>
      </c>
      <c r="NG45" s="318" t="s">
        <v>3319</v>
      </c>
      <c r="NH45" s="319" t="s">
        <v>3320</v>
      </c>
      <c r="NI45" s="318" t="s">
        <v>3319</v>
      </c>
      <c r="NJ45" s="319" t="s">
        <v>3320</v>
      </c>
      <c r="NK45" s="318" t="s">
        <v>3319</v>
      </c>
      <c r="NL45" s="319" t="s">
        <v>3320</v>
      </c>
      <c r="NM45" s="318" t="s">
        <v>3319</v>
      </c>
      <c r="NN45" s="319" t="s">
        <v>3320</v>
      </c>
      <c r="NO45" s="318" t="s">
        <v>3319</v>
      </c>
      <c r="NP45" s="319" t="s">
        <v>3320</v>
      </c>
      <c r="NQ45" s="318" t="s">
        <v>3319</v>
      </c>
      <c r="NR45" s="319" t="s">
        <v>3320</v>
      </c>
      <c r="NS45" s="318" t="s">
        <v>3319</v>
      </c>
      <c r="NT45" s="319" t="s">
        <v>3320</v>
      </c>
      <c r="NU45" s="318" t="s">
        <v>3319</v>
      </c>
      <c r="NV45" s="319" t="s">
        <v>3320</v>
      </c>
      <c r="NW45" s="318" t="s">
        <v>3319</v>
      </c>
      <c r="NX45" s="319" t="s">
        <v>3320</v>
      </c>
      <c r="NY45" s="318" t="s">
        <v>3319</v>
      </c>
      <c r="NZ45" s="319" t="s">
        <v>3320</v>
      </c>
      <c r="OA45" s="318" t="s">
        <v>3319</v>
      </c>
      <c r="OB45" s="319" t="s">
        <v>3320</v>
      </c>
      <c r="OC45" s="318" t="s">
        <v>3319</v>
      </c>
      <c r="OD45" s="319" t="s">
        <v>3320</v>
      </c>
      <c r="OE45" s="318" t="s">
        <v>3319</v>
      </c>
      <c r="OF45" s="319" t="s">
        <v>3320</v>
      </c>
      <c r="OG45" s="318" t="s">
        <v>3319</v>
      </c>
      <c r="OH45" s="319" t="s">
        <v>3320</v>
      </c>
      <c r="OI45" s="318" t="s">
        <v>3319</v>
      </c>
      <c r="OJ45" s="319" t="s">
        <v>3320</v>
      </c>
      <c r="OK45" s="318" t="s">
        <v>3319</v>
      </c>
      <c r="OL45" s="319" t="s">
        <v>3320</v>
      </c>
      <c r="OM45" s="318" t="s">
        <v>3319</v>
      </c>
      <c r="ON45" s="319" t="s">
        <v>3320</v>
      </c>
      <c r="OO45" s="318" t="s">
        <v>3319</v>
      </c>
      <c r="OP45" s="319" t="s">
        <v>3320</v>
      </c>
      <c r="OQ45" s="318" t="s">
        <v>3319</v>
      </c>
      <c r="OR45" s="319" t="s">
        <v>3320</v>
      </c>
      <c r="OS45" s="318" t="s">
        <v>3319</v>
      </c>
      <c r="OT45" s="319" t="s">
        <v>3320</v>
      </c>
      <c r="OU45" s="318" t="s">
        <v>3319</v>
      </c>
      <c r="OV45" s="319" t="s">
        <v>3320</v>
      </c>
      <c r="OW45" s="318" t="s">
        <v>3319</v>
      </c>
      <c r="OX45" s="319" t="s">
        <v>3320</v>
      </c>
      <c r="OY45" s="318" t="s">
        <v>3319</v>
      </c>
      <c r="OZ45" s="319" t="s">
        <v>3320</v>
      </c>
      <c r="PA45" s="318" t="s">
        <v>3319</v>
      </c>
      <c r="PB45" s="319" t="s">
        <v>3320</v>
      </c>
      <c r="PC45" s="318" t="s">
        <v>3319</v>
      </c>
      <c r="PD45" s="319" t="s">
        <v>3320</v>
      </c>
      <c r="PE45" s="318" t="s">
        <v>3319</v>
      </c>
      <c r="PF45" s="319" t="s">
        <v>3320</v>
      </c>
      <c r="PG45" s="318" t="s">
        <v>3319</v>
      </c>
      <c r="PH45" s="319" t="s">
        <v>3320</v>
      </c>
      <c r="PI45" s="318" t="s">
        <v>3319</v>
      </c>
      <c r="PJ45" s="319" t="s">
        <v>3320</v>
      </c>
      <c r="PK45" s="318" t="s">
        <v>3319</v>
      </c>
      <c r="PL45" s="319" t="s">
        <v>3320</v>
      </c>
      <c r="PM45" s="318" t="s">
        <v>3319</v>
      </c>
      <c r="PN45" s="319" t="s">
        <v>3320</v>
      </c>
      <c r="PO45" s="318" t="s">
        <v>3319</v>
      </c>
      <c r="PP45" s="319" t="s">
        <v>3320</v>
      </c>
      <c r="PQ45" s="318" t="s">
        <v>3319</v>
      </c>
      <c r="PR45" s="319" t="s">
        <v>3320</v>
      </c>
      <c r="PS45" s="318" t="s">
        <v>3319</v>
      </c>
      <c r="PT45" s="319" t="s">
        <v>3320</v>
      </c>
      <c r="PU45" s="318" t="s">
        <v>3319</v>
      </c>
      <c r="PV45" s="319" t="s">
        <v>3320</v>
      </c>
      <c r="PW45" s="318" t="s">
        <v>3319</v>
      </c>
      <c r="PX45" s="319" t="s">
        <v>3320</v>
      </c>
      <c r="PY45" s="318" t="s">
        <v>3319</v>
      </c>
      <c r="PZ45" s="319" t="s">
        <v>3320</v>
      </c>
      <c r="QA45" s="318" t="s">
        <v>3319</v>
      </c>
      <c r="QB45" s="319" t="s">
        <v>3320</v>
      </c>
      <c r="QC45" s="318" t="s">
        <v>3319</v>
      </c>
      <c r="QD45" s="319" t="s">
        <v>3320</v>
      </c>
      <c r="QE45" s="318" t="s">
        <v>3319</v>
      </c>
      <c r="QF45" s="319" t="s">
        <v>3320</v>
      </c>
      <c r="QG45" s="318" t="s">
        <v>3319</v>
      </c>
      <c r="QH45" s="319" t="s">
        <v>3320</v>
      </c>
      <c r="QI45" s="318" t="s">
        <v>3319</v>
      </c>
      <c r="QJ45" s="319" t="s">
        <v>3320</v>
      </c>
      <c r="QK45" s="318" t="s">
        <v>3319</v>
      </c>
      <c r="QL45" s="319" t="s">
        <v>3320</v>
      </c>
      <c r="QM45" s="318" t="s">
        <v>3319</v>
      </c>
      <c r="QN45" s="319" t="s">
        <v>3320</v>
      </c>
      <c r="QO45" s="318" t="s">
        <v>3319</v>
      </c>
      <c r="QP45" s="319" t="s">
        <v>3320</v>
      </c>
      <c r="QQ45" s="318" t="s">
        <v>3319</v>
      </c>
      <c r="QR45" s="319" t="s">
        <v>3320</v>
      </c>
      <c r="QS45" s="318" t="s">
        <v>3319</v>
      </c>
      <c r="QT45" s="319" t="s">
        <v>3320</v>
      </c>
      <c r="QU45" s="318" t="s">
        <v>3319</v>
      </c>
      <c r="QV45" s="319" t="s">
        <v>3320</v>
      </c>
      <c r="QW45" s="318" t="s">
        <v>3319</v>
      </c>
      <c r="QX45" s="319" t="s">
        <v>3320</v>
      </c>
      <c r="QY45" s="318" t="s">
        <v>3319</v>
      </c>
      <c r="QZ45" s="319" t="s">
        <v>3320</v>
      </c>
      <c r="RA45" s="318" t="s">
        <v>3319</v>
      </c>
      <c r="RB45" s="319" t="s">
        <v>3320</v>
      </c>
      <c r="RC45" s="318" t="s">
        <v>3319</v>
      </c>
      <c r="RD45" s="319" t="s">
        <v>3320</v>
      </c>
      <c r="RE45" s="318" t="s">
        <v>3319</v>
      </c>
      <c r="RF45" s="319" t="s">
        <v>3320</v>
      </c>
      <c r="RG45" s="318" t="s">
        <v>3319</v>
      </c>
      <c r="RH45" s="319" t="s">
        <v>3320</v>
      </c>
      <c r="RI45" s="318" t="s">
        <v>3319</v>
      </c>
      <c r="RJ45" s="319" t="s">
        <v>3320</v>
      </c>
      <c r="RK45" s="318" t="s">
        <v>3319</v>
      </c>
      <c r="RL45" s="319" t="s">
        <v>3320</v>
      </c>
      <c r="RM45" s="318" t="s">
        <v>3319</v>
      </c>
      <c r="RN45" s="319" t="s">
        <v>3320</v>
      </c>
      <c r="RO45" s="318" t="s">
        <v>3319</v>
      </c>
      <c r="RP45" s="319" t="s">
        <v>3320</v>
      </c>
      <c r="RQ45" s="318" t="s">
        <v>3319</v>
      </c>
      <c r="RR45" s="319" t="s">
        <v>3320</v>
      </c>
      <c r="RS45" s="318" t="s">
        <v>3319</v>
      </c>
      <c r="RT45" s="319" t="s">
        <v>3320</v>
      </c>
      <c r="RU45" s="318" t="s">
        <v>3319</v>
      </c>
      <c r="RV45" s="319" t="s">
        <v>3320</v>
      </c>
      <c r="RW45" s="318" t="s">
        <v>3319</v>
      </c>
      <c r="RX45" s="319" t="s">
        <v>3320</v>
      </c>
      <c r="RY45" s="318" t="s">
        <v>3319</v>
      </c>
      <c r="RZ45" s="319" t="s">
        <v>3320</v>
      </c>
      <c r="SA45" s="318" t="s">
        <v>3319</v>
      </c>
      <c r="SB45" s="319" t="s">
        <v>3320</v>
      </c>
      <c r="SC45" s="318" t="s">
        <v>3319</v>
      </c>
      <c r="SD45" s="319" t="s">
        <v>3320</v>
      </c>
      <c r="SE45" s="318" t="s">
        <v>3319</v>
      </c>
      <c r="SF45" s="319" t="s">
        <v>3320</v>
      </c>
      <c r="SG45" s="318" t="s">
        <v>3319</v>
      </c>
      <c r="SH45" s="319" t="s">
        <v>3320</v>
      </c>
      <c r="SI45" s="318" t="s">
        <v>3319</v>
      </c>
      <c r="SJ45" s="319" t="s">
        <v>3320</v>
      </c>
      <c r="SK45" s="318" t="s">
        <v>3319</v>
      </c>
      <c r="SL45" s="319" t="s">
        <v>3320</v>
      </c>
      <c r="SM45" s="318" t="s">
        <v>3319</v>
      </c>
      <c r="SN45" s="319" t="s">
        <v>3320</v>
      </c>
      <c r="SO45" s="318" t="s">
        <v>3319</v>
      </c>
      <c r="SP45" s="319" t="s">
        <v>3320</v>
      </c>
      <c r="SQ45" s="318" t="s">
        <v>3319</v>
      </c>
      <c r="SR45" s="319" t="s">
        <v>3320</v>
      </c>
      <c r="SS45" s="318" t="s">
        <v>3319</v>
      </c>
      <c r="ST45" s="319" t="s">
        <v>3320</v>
      </c>
      <c r="SU45" s="318" t="s">
        <v>3319</v>
      </c>
      <c r="SV45" s="319" t="s">
        <v>3320</v>
      </c>
      <c r="SW45" s="318" t="s">
        <v>3319</v>
      </c>
      <c r="SX45" s="319" t="s">
        <v>3320</v>
      </c>
      <c r="SY45" s="318" t="s">
        <v>3319</v>
      </c>
      <c r="SZ45" s="319" t="s">
        <v>3320</v>
      </c>
      <c r="TA45" s="318" t="s">
        <v>3319</v>
      </c>
      <c r="TB45" s="319" t="s">
        <v>3320</v>
      </c>
      <c r="TC45" s="318" t="s">
        <v>3319</v>
      </c>
      <c r="TD45" s="319" t="s">
        <v>3320</v>
      </c>
      <c r="TE45" s="318" t="s">
        <v>3319</v>
      </c>
      <c r="TF45" s="319" t="s">
        <v>3320</v>
      </c>
      <c r="TG45" s="318" t="s">
        <v>3319</v>
      </c>
      <c r="TH45" s="319" t="s">
        <v>3320</v>
      </c>
      <c r="TI45" s="318" t="s">
        <v>3319</v>
      </c>
      <c r="TJ45" s="319" t="s">
        <v>3320</v>
      </c>
      <c r="TK45" s="318" t="s">
        <v>3319</v>
      </c>
      <c r="TL45" s="319" t="s">
        <v>3320</v>
      </c>
      <c r="TM45" s="318" t="s">
        <v>3319</v>
      </c>
      <c r="TN45" s="319" t="s">
        <v>3320</v>
      </c>
      <c r="TO45" s="318" t="s">
        <v>3319</v>
      </c>
      <c r="TP45" s="319" t="s">
        <v>3320</v>
      </c>
      <c r="TQ45" s="318" t="s">
        <v>3319</v>
      </c>
      <c r="TR45" s="319" t="s">
        <v>3320</v>
      </c>
      <c r="TS45" s="318" t="s">
        <v>3319</v>
      </c>
      <c r="TT45" s="319" t="s">
        <v>3320</v>
      </c>
      <c r="TU45" s="318" t="s">
        <v>3319</v>
      </c>
      <c r="TV45" s="319" t="s">
        <v>3320</v>
      </c>
      <c r="TW45" s="318" t="s">
        <v>3319</v>
      </c>
      <c r="TX45" s="319" t="s">
        <v>3320</v>
      </c>
      <c r="TY45" s="318" t="s">
        <v>3319</v>
      </c>
      <c r="TZ45" s="319" t="s">
        <v>3320</v>
      </c>
      <c r="UA45" s="318" t="s">
        <v>3319</v>
      </c>
      <c r="UB45" s="319" t="s">
        <v>3320</v>
      </c>
      <c r="UC45" s="318" t="s">
        <v>3319</v>
      </c>
      <c r="UD45" s="319" t="s">
        <v>3320</v>
      </c>
      <c r="UE45" s="318" t="s">
        <v>3319</v>
      </c>
      <c r="UF45" s="319" t="s">
        <v>3320</v>
      </c>
      <c r="UG45" s="318" t="s">
        <v>3319</v>
      </c>
      <c r="UH45" s="319" t="s">
        <v>3320</v>
      </c>
      <c r="UI45" s="318" t="s">
        <v>3319</v>
      </c>
      <c r="UJ45" s="319" t="s">
        <v>3320</v>
      </c>
      <c r="UK45" s="318" t="s">
        <v>3319</v>
      </c>
      <c r="UL45" s="319" t="s">
        <v>3320</v>
      </c>
      <c r="UM45" s="318" t="s">
        <v>3319</v>
      </c>
      <c r="UN45" s="319" t="s">
        <v>3320</v>
      </c>
      <c r="UO45" s="318" t="s">
        <v>3319</v>
      </c>
      <c r="UP45" s="319" t="s">
        <v>3320</v>
      </c>
      <c r="UQ45" s="318" t="s">
        <v>3319</v>
      </c>
      <c r="UR45" s="319" t="s">
        <v>3320</v>
      </c>
      <c r="US45" s="318" t="s">
        <v>3319</v>
      </c>
      <c r="UT45" s="319" t="s">
        <v>3320</v>
      </c>
      <c r="UU45" s="318" t="s">
        <v>3319</v>
      </c>
      <c r="UV45" s="319" t="s">
        <v>3320</v>
      </c>
      <c r="UW45" s="318" t="s">
        <v>3319</v>
      </c>
      <c r="UX45" s="319" t="s">
        <v>3320</v>
      </c>
      <c r="UY45" s="318" t="s">
        <v>3319</v>
      </c>
      <c r="UZ45" s="319" t="s">
        <v>3320</v>
      </c>
      <c r="VA45" s="318" t="s">
        <v>3319</v>
      </c>
      <c r="VB45" s="319" t="s">
        <v>3320</v>
      </c>
      <c r="VC45" s="318" t="s">
        <v>3319</v>
      </c>
      <c r="VD45" s="319" t="s">
        <v>3320</v>
      </c>
      <c r="VE45" s="318" t="s">
        <v>3319</v>
      </c>
      <c r="VF45" s="319" t="s">
        <v>3320</v>
      </c>
      <c r="VG45" s="318" t="s">
        <v>3319</v>
      </c>
      <c r="VH45" s="319" t="s">
        <v>3320</v>
      </c>
      <c r="VI45" s="318" t="s">
        <v>3319</v>
      </c>
      <c r="VJ45" s="319" t="s">
        <v>3320</v>
      </c>
      <c r="VK45" s="318" t="s">
        <v>3319</v>
      </c>
      <c r="VL45" s="319" t="s">
        <v>3320</v>
      </c>
      <c r="VM45" s="318" t="s">
        <v>3319</v>
      </c>
      <c r="VN45" s="319" t="s">
        <v>3320</v>
      </c>
      <c r="VO45" s="318" t="s">
        <v>3319</v>
      </c>
      <c r="VP45" s="319" t="s">
        <v>3320</v>
      </c>
      <c r="VQ45" s="318" t="s">
        <v>3319</v>
      </c>
      <c r="VR45" s="319" t="s">
        <v>3320</v>
      </c>
      <c r="VS45" s="318" t="s">
        <v>3319</v>
      </c>
      <c r="VT45" s="319" t="s">
        <v>3320</v>
      </c>
      <c r="VU45" s="318" t="s">
        <v>3319</v>
      </c>
      <c r="VV45" s="319" t="s">
        <v>3320</v>
      </c>
      <c r="VW45" s="318" t="s">
        <v>3319</v>
      </c>
      <c r="VX45" s="319" t="s">
        <v>3320</v>
      </c>
      <c r="VY45" s="318" t="s">
        <v>3319</v>
      </c>
      <c r="VZ45" s="319" t="s">
        <v>3320</v>
      </c>
      <c r="WA45" s="318" t="s">
        <v>3319</v>
      </c>
      <c r="WB45" s="319" t="s">
        <v>3320</v>
      </c>
      <c r="WC45" s="318" t="s">
        <v>3319</v>
      </c>
      <c r="WD45" s="319" t="s">
        <v>3320</v>
      </c>
      <c r="WE45" s="318" t="s">
        <v>3319</v>
      </c>
      <c r="WF45" s="319" t="s">
        <v>3320</v>
      </c>
      <c r="WG45" s="318" t="s">
        <v>3319</v>
      </c>
      <c r="WH45" s="319" t="s">
        <v>3320</v>
      </c>
      <c r="WI45" s="318" t="s">
        <v>3319</v>
      </c>
      <c r="WJ45" s="319" t="s">
        <v>3320</v>
      </c>
      <c r="WK45" s="318" t="s">
        <v>3319</v>
      </c>
      <c r="WL45" s="319" t="s">
        <v>3320</v>
      </c>
      <c r="WM45" s="318" t="s">
        <v>3319</v>
      </c>
      <c r="WN45" s="319" t="s">
        <v>3320</v>
      </c>
      <c r="WO45" s="318" t="s">
        <v>3319</v>
      </c>
      <c r="WP45" s="319" t="s">
        <v>3320</v>
      </c>
      <c r="WQ45" s="318" t="s">
        <v>3319</v>
      </c>
      <c r="WR45" s="319" t="s">
        <v>3320</v>
      </c>
      <c r="WS45" s="318" t="s">
        <v>3319</v>
      </c>
      <c r="WT45" s="319" t="s">
        <v>3320</v>
      </c>
      <c r="WU45" s="318" t="s">
        <v>3319</v>
      </c>
      <c r="WV45" s="319" t="s">
        <v>3320</v>
      </c>
      <c r="WW45" s="318" t="s">
        <v>3319</v>
      </c>
      <c r="WX45" s="319" t="s">
        <v>3320</v>
      </c>
      <c r="WY45" s="318" t="s">
        <v>3319</v>
      </c>
      <c r="WZ45" s="319" t="s">
        <v>3320</v>
      </c>
      <c r="XA45" s="318" t="s">
        <v>3319</v>
      </c>
      <c r="XB45" s="319" t="s">
        <v>3320</v>
      </c>
      <c r="XC45" s="318" t="s">
        <v>3319</v>
      </c>
      <c r="XD45" s="319" t="s">
        <v>3320</v>
      </c>
      <c r="XE45" s="318" t="s">
        <v>3319</v>
      </c>
      <c r="XF45" s="319" t="s">
        <v>3320</v>
      </c>
      <c r="XG45" s="318" t="s">
        <v>3319</v>
      </c>
      <c r="XH45" s="319" t="s">
        <v>3320</v>
      </c>
      <c r="XI45" s="318" t="s">
        <v>3319</v>
      </c>
      <c r="XJ45" s="319" t="s">
        <v>3320</v>
      </c>
      <c r="XK45" s="318" t="s">
        <v>3319</v>
      </c>
      <c r="XL45" s="319" t="s">
        <v>3320</v>
      </c>
      <c r="XM45" s="318" t="s">
        <v>3319</v>
      </c>
      <c r="XN45" s="319" t="s">
        <v>3320</v>
      </c>
      <c r="XO45" s="318" t="s">
        <v>3319</v>
      </c>
      <c r="XP45" s="319" t="s">
        <v>3320</v>
      </c>
      <c r="XQ45" s="318" t="s">
        <v>3319</v>
      </c>
      <c r="XR45" s="319" t="s">
        <v>3320</v>
      </c>
      <c r="XS45" s="318" t="s">
        <v>3319</v>
      </c>
      <c r="XT45" s="319" t="s">
        <v>3320</v>
      </c>
      <c r="XU45" s="318" t="s">
        <v>3319</v>
      </c>
      <c r="XV45" s="319" t="s">
        <v>3320</v>
      </c>
      <c r="XW45" s="318" t="s">
        <v>3319</v>
      </c>
      <c r="XX45" s="319" t="s">
        <v>3320</v>
      </c>
      <c r="XY45" s="318" t="s">
        <v>3319</v>
      </c>
      <c r="XZ45" s="319" t="s">
        <v>3320</v>
      </c>
      <c r="YA45" s="318" t="s">
        <v>3319</v>
      </c>
      <c r="YB45" s="319" t="s">
        <v>3320</v>
      </c>
      <c r="YC45" s="318" t="s">
        <v>3319</v>
      </c>
      <c r="YD45" s="319" t="s">
        <v>3320</v>
      </c>
      <c r="YE45" s="318" t="s">
        <v>3319</v>
      </c>
      <c r="YF45" s="319" t="s">
        <v>3320</v>
      </c>
      <c r="YG45" s="318" t="s">
        <v>3319</v>
      </c>
      <c r="YH45" s="319" t="s">
        <v>3320</v>
      </c>
      <c r="YI45" s="318" t="s">
        <v>3319</v>
      </c>
      <c r="YJ45" s="319" t="s">
        <v>3320</v>
      </c>
      <c r="YK45" s="318" t="s">
        <v>3319</v>
      </c>
      <c r="YL45" s="319" t="s">
        <v>3320</v>
      </c>
      <c r="YM45" s="318" t="s">
        <v>3319</v>
      </c>
      <c r="YN45" s="319" t="s">
        <v>3320</v>
      </c>
      <c r="YO45" s="318" t="s">
        <v>3319</v>
      </c>
      <c r="YP45" s="319" t="s">
        <v>3320</v>
      </c>
      <c r="YQ45" s="318" t="s">
        <v>3319</v>
      </c>
      <c r="YR45" s="319" t="s">
        <v>3320</v>
      </c>
      <c r="YS45" s="318" t="s">
        <v>3319</v>
      </c>
      <c r="YT45" s="319" t="s">
        <v>3320</v>
      </c>
      <c r="YU45" s="318" t="s">
        <v>3319</v>
      </c>
      <c r="YV45" s="319" t="s">
        <v>3320</v>
      </c>
      <c r="YW45" s="318" t="s">
        <v>3319</v>
      </c>
      <c r="YX45" s="319" t="s">
        <v>3320</v>
      </c>
      <c r="YY45" s="318" t="s">
        <v>3319</v>
      </c>
      <c r="YZ45" s="319" t="s">
        <v>3320</v>
      </c>
      <c r="ZA45" s="318" t="s">
        <v>3319</v>
      </c>
      <c r="ZB45" s="319" t="s">
        <v>3320</v>
      </c>
      <c r="ZC45" s="318" t="s">
        <v>3319</v>
      </c>
      <c r="ZD45" s="319" t="s">
        <v>3320</v>
      </c>
      <c r="ZE45" s="318" t="s">
        <v>3319</v>
      </c>
      <c r="ZF45" s="319" t="s">
        <v>3320</v>
      </c>
      <c r="ZG45" s="318" t="s">
        <v>3319</v>
      </c>
      <c r="ZH45" s="319" t="s">
        <v>3320</v>
      </c>
      <c r="ZI45" s="318" t="s">
        <v>3319</v>
      </c>
      <c r="ZJ45" s="319" t="s">
        <v>3320</v>
      </c>
      <c r="ZK45" s="318" t="s">
        <v>3319</v>
      </c>
      <c r="ZL45" s="319" t="s">
        <v>3320</v>
      </c>
      <c r="ZM45" s="318" t="s">
        <v>3319</v>
      </c>
      <c r="ZN45" s="319" t="s">
        <v>3320</v>
      </c>
      <c r="ZO45" s="318" t="s">
        <v>3319</v>
      </c>
      <c r="ZP45" s="319" t="s">
        <v>3320</v>
      </c>
      <c r="ZQ45" s="318" t="s">
        <v>3319</v>
      </c>
      <c r="ZR45" s="319" t="s">
        <v>3320</v>
      </c>
      <c r="ZS45" s="318" t="s">
        <v>3319</v>
      </c>
      <c r="ZT45" s="319" t="s">
        <v>3320</v>
      </c>
      <c r="ZU45" s="318" t="s">
        <v>3319</v>
      </c>
      <c r="ZV45" s="319" t="s">
        <v>3320</v>
      </c>
      <c r="ZW45" s="318" t="s">
        <v>3319</v>
      </c>
      <c r="ZX45" s="319" t="s">
        <v>3320</v>
      </c>
      <c r="ZY45" s="318" t="s">
        <v>3319</v>
      </c>
      <c r="ZZ45" s="319" t="s">
        <v>3320</v>
      </c>
      <c r="AAA45" s="318" t="s">
        <v>3319</v>
      </c>
      <c r="AAB45" s="319" t="s">
        <v>3320</v>
      </c>
      <c r="AAC45" s="318" t="s">
        <v>3319</v>
      </c>
      <c r="AAD45" s="319" t="s">
        <v>3320</v>
      </c>
      <c r="AAE45" s="318" t="s">
        <v>3319</v>
      </c>
      <c r="AAF45" s="319" t="s">
        <v>3320</v>
      </c>
      <c r="AAG45" s="318" t="s">
        <v>3319</v>
      </c>
      <c r="AAH45" s="319" t="s">
        <v>3320</v>
      </c>
      <c r="AAI45" s="318" t="s">
        <v>3319</v>
      </c>
      <c r="AAJ45" s="319" t="s">
        <v>3320</v>
      </c>
      <c r="AAK45" s="318" t="s">
        <v>3319</v>
      </c>
      <c r="AAL45" s="319" t="s">
        <v>3320</v>
      </c>
      <c r="AAM45" s="318" t="s">
        <v>3319</v>
      </c>
      <c r="AAN45" s="319" t="s">
        <v>3320</v>
      </c>
      <c r="AAO45" s="318" t="s">
        <v>3319</v>
      </c>
      <c r="AAP45" s="319" t="s">
        <v>3320</v>
      </c>
      <c r="AAQ45" s="318" t="s">
        <v>3319</v>
      </c>
      <c r="AAR45" s="319" t="s">
        <v>3320</v>
      </c>
      <c r="AAS45" s="318" t="s">
        <v>3319</v>
      </c>
      <c r="AAT45" s="319" t="s">
        <v>3320</v>
      </c>
      <c r="AAU45" s="318" t="s">
        <v>3319</v>
      </c>
      <c r="AAV45" s="319" t="s">
        <v>3320</v>
      </c>
      <c r="AAW45" s="318" t="s">
        <v>3319</v>
      </c>
      <c r="AAX45" s="319" t="s">
        <v>3320</v>
      </c>
      <c r="AAY45" s="318" t="s">
        <v>3319</v>
      </c>
      <c r="AAZ45" s="319" t="s">
        <v>3320</v>
      </c>
      <c r="ABA45" s="318" t="s">
        <v>3319</v>
      </c>
      <c r="ABB45" s="319" t="s">
        <v>3320</v>
      </c>
      <c r="ABC45" s="318" t="s">
        <v>3319</v>
      </c>
      <c r="ABD45" s="319" t="s">
        <v>3320</v>
      </c>
      <c r="ABE45" s="318" t="s">
        <v>3319</v>
      </c>
      <c r="ABF45" s="319" t="s">
        <v>3320</v>
      </c>
      <c r="ABG45" s="318" t="s">
        <v>3319</v>
      </c>
      <c r="ABH45" s="319" t="s">
        <v>3320</v>
      </c>
      <c r="ABI45" s="318" t="s">
        <v>3319</v>
      </c>
      <c r="ABJ45" s="319" t="s">
        <v>3320</v>
      </c>
      <c r="ABK45" s="318" t="s">
        <v>3319</v>
      </c>
      <c r="ABL45" s="319" t="s">
        <v>3320</v>
      </c>
      <c r="ABM45" s="318" t="s">
        <v>3319</v>
      </c>
      <c r="ABN45" s="319" t="s">
        <v>3320</v>
      </c>
      <c r="ABO45" s="318" t="s">
        <v>3319</v>
      </c>
      <c r="ABP45" s="319" t="s">
        <v>3320</v>
      </c>
      <c r="ABQ45" s="318" t="s">
        <v>3319</v>
      </c>
      <c r="ABR45" s="319" t="s">
        <v>3320</v>
      </c>
      <c r="ABS45" s="318" t="s">
        <v>3319</v>
      </c>
      <c r="ABT45" s="319" t="s">
        <v>3320</v>
      </c>
      <c r="ABU45" s="318" t="s">
        <v>3319</v>
      </c>
      <c r="ABV45" s="319" t="s">
        <v>3320</v>
      </c>
      <c r="ABW45" s="318" t="s">
        <v>3319</v>
      </c>
      <c r="ABX45" s="319" t="s">
        <v>3320</v>
      </c>
      <c r="ABY45" s="318" t="s">
        <v>3319</v>
      </c>
      <c r="ABZ45" s="319" t="s">
        <v>3320</v>
      </c>
      <c r="ACA45" s="318" t="s">
        <v>3319</v>
      </c>
      <c r="ACB45" s="319" t="s">
        <v>3320</v>
      </c>
      <c r="ACC45" s="318" t="s">
        <v>3319</v>
      </c>
      <c r="ACD45" s="319" t="s">
        <v>3320</v>
      </c>
      <c r="ACE45" s="318" t="s">
        <v>3319</v>
      </c>
      <c r="ACF45" s="319" t="s">
        <v>3320</v>
      </c>
      <c r="ACG45" s="318" t="s">
        <v>3319</v>
      </c>
      <c r="ACH45" s="319" t="s">
        <v>3320</v>
      </c>
      <c r="ACI45" s="318" t="s">
        <v>3319</v>
      </c>
      <c r="ACJ45" s="319" t="s">
        <v>3320</v>
      </c>
      <c r="ACK45" s="318" t="s">
        <v>3319</v>
      </c>
      <c r="ACL45" s="319" t="s">
        <v>3320</v>
      </c>
      <c r="ACM45" s="318" t="s">
        <v>3319</v>
      </c>
      <c r="ACN45" s="319" t="s">
        <v>3320</v>
      </c>
      <c r="ACO45" s="318" t="s">
        <v>3319</v>
      </c>
      <c r="ACP45" s="319" t="s">
        <v>3320</v>
      </c>
      <c r="ACQ45" s="318" t="s">
        <v>3319</v>
      </c>
      <c r="ACR45" s="319" t="s">
        <v>3320</v>
      </c>
      <c r="ACS45" s="318" t="s">
        <v>3319</v>
      </c>
      <c r="ACT45" s="319" t="s">
        <v>3320</v>
      </c>
      <c r="ACU45" s="318" t="s">
        <v>3319</v>
      </c>
      <c r="ACV45" s="319" t="s">
        <v>3320</v>
      </c>
      <c r="ACW45" s="318" t="s">
        <v>3319</v>
      </c>
      <c r="ACX45" s="319" t="s">
        <v>3320</v>
      </c>
      <c r="ACY45" s="318" t="s">
        <v>3319</v>
      </c>
      <c r="ACZ45" s="319" t="s">
        <v>3320</v>
      </c>
      <c r="ADA45" s="318" t="s">
        <v>3319</v>
      </c>
      <c r="ADB45" s="319" t="s">
        <v>3320</v>
      </c>
      <c r="ADC45" s="318" t="s">
        <v>3319</v>
      </c>
      <c r="ADD45" s="319" t="s">
        <v>3320</v>
      </c>
      <c r="ADE45" s="318" t="s">
        <v>3319</v>
      </c>
      <c r="ADF45" s="319" t="s">
        <v>3320</v>
      </c>
      <c r="ADG45" s="318" t="s">
        <v>3319</v>
      </c>
      <c r="ADH45" s="319" t="s">
        <v>3320</v>
      </c>
      <c r="ADI45" s="318" t="s">
        <v>3319</v>
      </c>
      <c r="ADJ45" s="319" t="s">
        <v>3320</v>
      </c>
      <c r="ADK45" s="318" t="s">
        <v>3319</v>
      </c>
      <c r="ADL45" s="319" t="s">
        <v>3320</v>
      </c>
      <c r="ADM45" s="318" t="s">
        <v>3319</v>
      </c>
      <c r="ADN45" s="319" t="s">
        <v>3320</v>
      </c>
      <c r="ADO45" s="318" t="s">
        <v>3319</v>
      </c>
      <c r="ADP45" s="319" t="s">
        <v>3320</v>
      </c>
      <c r="ADQ45" s="318" t="s">
        <v>3319</v>
      </c>
      <c r="ADR45" s="319" t="s">
        <v>3320</v>
      </c>
      <c r="ADS45" s="318" t="s">
        <v>3319</v>
      </c>
      <c r="ADT45" s="319" t="s">
        <v>3320</v>
      </c>
      <c r="ADU45" s="318" t="s">
        <v>3319</v>
      </c>
      <c r="ADV45" s="319" t="s">
        <v>3320</v>
      </c>
      <c r="ADW45" s="318" t="s">
        <v>3319</v>
      </c>
      <c r="ADX45" s="319" t="s">
        <v>3320</v>
      </c>
      <c r="ADY45" s="318" t="s">
        <v>3319</v>
      </c>
      <c r="ADZ45" s="319" t="s">
        <v>3320</v>
      </c>
      <c r="AEA45" s="318" t="s">
        <v>3319</v>
      </c>
      <c r="AEB45" s="319" t="s">
        <v>3320</v>
      </c>
      <c r="AEC45" s="318" t="s">
        <v>3319</v>
      </c>
      <c r="AED45" s="319" t="s">
        <v>3320</v>
      </c>
      <c r="AEE45" s="318" t="s">
        <v>3319</v>
      </c>
      <c r="AEF45" s="319" t="s">
        <v>3320</v>
      </c>
      <c r="AEG45" s="318" t="s">
        <v>3319</v>
      </c>
      <c r="AEH45" s="319" t="s">
        <v>3320</v>
      </c>
      <c r="AEI45" s="318" t="s">
        <v>3319</v>
      </c>
      <c r="AEJ45" s="319" t="s">
        <v>3320</v>
      </c>
      <c r="AEK45" s="318" t="s">
        <v>3319</v>
      </c>
      <c r="AEL45" s="319" t="s">
        <v>3320</v>
      </c>
      <c r="AEM45" s="318" t="s">
        <v>3319</v>
      </c>
      <c r="AEN45" s="319" t="s">
        <v>3320</v>
      </c>
      <c r="AEO45" s="318" t="s">
        <v>3319</v>
      </c>
      <c r="AEP45" s="319" t="s">
        <v>3320</v>
      </c>
      <c r="AEQ45" s="318" t="s">
        <v>3319</v>
      </c>
      <c r="AER45" s="319" t="s">
        <v>3320</v>
      </c>
      <c r="AES45" s="318" t="s">
        <v>3319</v>
      </c>
      <c r="AET45" s="319" t="s">
        <v>3320</v>
      </c>
      <c r="AEU45" s="318" t="s">
        <v>3319</v>
      </c>
      <c r="AEV45" s="319" t="s">
        <v>3320</v>
      </c>
      <c r="AEW45" s="318" t="s">
        <v>3319</v>
      </c>
      <c r="AEX45" s="319" t="s">
        <v>3320</v>
      </c>
      <c r="AEY45" s="318" t="s">
        <v>3319</v>
      </c>
      <c r="AEZ45" s="319" t="s">
        <v>3320</v>
      </c>
      <c r="AFA45" s="318" t="s">
        <v>3319</v>
      </c>
      <c r="AFB45" s="319" t="s">
        <v>3320</v>
      </c>
      <c r="AFC45" s="318" t="s">
        <v>3319</v>
      </c>
      <c r="AFD45" s="319" t="s">
        <v>3320</v>
      </c>
      <c r="AFE45" s="318" t="s">
        <v>3319</v>
      </c>
      <c r="AFF45" s="319" t="s">
        <v>3320</v>
      </c>
      <c r="AFG45" s="318" t="s">
        <v>3319</v>
      </c>
      <c r="AFH45" s="319" t="s">
        <v>3320</v>
      </c>
      <c r="AFI45" s="318" t="s">
        <v>3319</v>
      </c>
      <c r="AFJ45" s="319" t="s">
        <v>3320</v>
      </c>
      <c r="AFK45" s="318" t="s">
        <v>3319</v>
      </c>
      <c r="AFL45" s="319" t="s">
        <v>3320</v>
      </c>
      <c r="AFM45" s="318" t="s">
        <v>3319</v>
      </c>
      <c r="AFN45" s="319" t="s">
        <v>3320</v>
      </c>
      <c r="AFO45" s="318" t="s">
        <v>3319</v>
      </c>
      <c r="AFP45" s="319" t="s">
        <v>3320</v>
      </c>
      <c r="AFQ45" s="318" t="s">
        <v>3319</v>
      </c>
      <c r="AFR45" s="319" t="s">
        <v>3320</v>
      </c>
      <c r="AFS45" s="318" t="s">
        <v>3319</v>
      </c>
      <c r="AFT45" s="319" t="s">
        <v>3320</v>
      </c>
      <c r="AFU45" s="318" t="s">
        <v>3319</v>
      </c>
      <c r="AFV45" s="319" t="s">
        <v>3320</v>
      </c>
      <c r="AFW45" s="318" t="s">
        <v>3319</v>
      </c>
      <c r="AFX45" s="319" t="s">
        <v>3320</v>
      </c>
      <c r="AFY45" s="318" t="s">
        <v>3319</v>
      </c>
      <c r="AFZ45" s="319" t="s">
        <v>3320</v>
      </c>
      <c r="AGA45" s="318" t="s">
        <v>3319</v>
      </c>
      <c r="AGB45" s="319" t="s">
        <v>3320</v>
      </c>
      <c r="AGC45" s="318" t="s">
        <v>3319</v>
      </c>
      <c r="AGD45" s="319" t="s">
        <v>3320</v>
      </c>
      <c r="AGE45" s="318" t="s">
        <v>3319</v>
      </c>
      <c r="AGF45" s="319" t="s">
        <v>3320</v>
      </c>
      <c r="AGG45" s="318" t="s">
        <v>3319</v>
      </c>
      <c r="AGH45" s="319" t="s">
        <v>3320</v>
      </c>
      <c r="AGI45" s="318" t="s">
        <v>3319</v>
      </c>
      <c r="AGJ45" s="319" t="s">
        <v>3320</v>
      </c>
      <c r="AGK45" s="318" t="s">
        <v>3319</v>
      </c>
      <c r="AGL45" s="319" t="s">
        <v>3320</v>
      </c>
      <c r="AGM45" s="318" t="s">
        <v>3319</v>
      </c>
      <c r="AGN45" s="319" t="s">
        <v>3320</v>
      </c>
      <c r="AGO45" s="318" t="s">
        <v>3319</v>
      </c>
      <c r="AGP45" s="319" t="s">
        <v>3320</v>
      </c>
      <c r="AGQ45" s="318" t="s">
        <v>3319</v>
      </c>
      <c r="AGR45" s="319" t="s">
        <v>3320</v>
      </c>
      <c r="AGS45" s="318" t="s">
        <v>3319</v>
      </c>
      <c r="AGT45" s="319" t="s">
        <v>3320</v>
      </c>
      <c r="AGU45" s="318" t="s">
        <v>3319</v>
      </c>
      <c r="AGV45" s="319" t="s">
        <v>3320</v>
      </c>
      <c r="AGW45" s="318" t="s">
        <v>3319</v>
      </c>
      <c r="AGX45" s="319" t="s">
        <v>3320</v>
      </c>
      <c r="AGY45" s="318" t="s">
        <v>3319</v>
      </c>
      <c r="AGZ45" s="319" t="s">
        <v>3320</v>
      </c>
      <c r="AHA45" s="318" t="s">
        <v>3319</v>
      </c>
      <c r="AHB45" s="319" t="s">
        <v>3320</v>
      </c>
      <c r="AHC45" s="318" t="s">
        <v>3319</v>
      </c>
      <c r="AHD45" s="319" t="s">
        <v>3320</v>
      </c>
      <c r="AHE45" s="318" t="s">
        <v>3319</v>
      </c>
      <c r="AHF45" s="319" t="s">
        <v>3320</v>
      </c>
      <c r="AHG45" s="318" t="s">
        <v>3319</v>
      </c>
      <c r="AHH45" s="319" t="s">
        <v>3320</v>
      </c>
      <c r="AHI45" s="318" t="s">
        <v>3319</v>
      </c>
      <c r="AHJ45" s="319" t="s">
        <v>3320</v>
      </c>
      <c r="AHK45" s="318" t="s">
        <v>3319</v>
      </c>
      <c r="AHL45" s="319" t="s">
        <v>3320</v>
      </c>
      <c r="AHM45" s="318" t="s">
        <v>3319</v>
      </c>
      <c r="AHN45" s="319" t="s">
        <v>3320</v>
      </c>
      <c r="AHO45" s="318" t="s">
        <v>3319</v>
      </c>
      <c r="AHP45" s="319" t="s">
        <v>3320</v>
      </c>
      <c r="AHQ45" s="318" t="s">
        <v>3319</v>
      </c>
      <c r="AHR45" s="319" t="s">
        <v>3320</v>
      </c>
      <c r="AHS45" s="318" t="s">
        <v>3319</v>
      </c>
      <c r="AHT45" s="319" t="s">
        <v>3320</v>
      </c>
      <c r="AHU45" s="318" t="s">
        <v>3319</v>
      </c>
      <c r="AHV45" s="319" t="s">
        <v>3320</v>
      </c>
      <c r="AHW45" s="318" t="s">
        <v>3319</v>
      </c>
      <c r="AHX45" s="319" t="s">
        <v>3320</v>
      </c>
      <c r="AHY45" s="318" t="s">
        <v>3319</v>
      </c>
      <c r="AHZ45" s="319" t="s">
        <v>3320</v>
      </c>
      <c r="AIA45" s="318" t="s">
        <v>3319</v>
      </c>
      <c r="AIB45" s="319" t="s">
        <v>3320</v>
      </c>
      <c r="AIC45" s="318" t="s">
        <v>3319</v>
      </c>
      <c r="AID45" s="319" t="s">
        <v>3320</v>
      </c>
      <c r="AIE45" s="318" t="s">
        <v>3319</v>
      </c>
      <c r="AIF45" s="319" t="s">
        <v>3320</v>
      </c>
      <c r="AIG45" s="318" t="s">
        <v>3319</v>
      </c>
      <c r="AIH45" s="319" t="s">
        <v>3320</v>
      </c>
      <c r="AII45" s="318" t="s">
        <v>3319</v>
      </c>
      <c r="AIJ45" s="319" t="s">
        <v>3320</v>
      </c>
      <c r="AIK45" s="318" t="s">
        <v>3319</v>
      </c>
      <c r="AIL45" s="319" t="s">
        <v>3320</v>
      </c>
      <c r="AIM45" s="318" t="s">
        <v>3319</v>
      </c>
      <c r="AIN45" s="319" t="s">
        <v>3320</v>
      </c>
      <c r="AIO45" s="318" t="s">
        <v>3319</v>
      </c>
      <c r="AIP45" s="319" t="s">
        <v>3320</v>
      </c>
      <c r="AIQ45" s="318" t="s">
        <v>3319</v>
      </c>
      <c r="AIR45" s="319" t="s">
        <v>3320</v>
      </c>
      <c r="AIS45" s="318" t="s">
        <v>3319</v>
      </c>
      <c r="AIT45" s="319" t="s">
        <v>3320</v>
      </c>
      <c r="AIU45" s="318" t="s">
        <v>3319</v>
      </c>
      <c r="AIV45" s="319" t="s">
        <v>3320</v>
      </c>
      <c r="AIW45" s="318" t="s">
        <v>3319</v>
      </c>
      <c r="AIX45" s="319" t="s">
        <v>3320</v>
      </c>
      <c r="AIY45" s="318" t="s">
        <v>3319</v>
      </c>
      <c r="AIZ45" s="319" t="s">
        <v>3320</v>
      </c>
      <c r="AJA45" s="318" t="s">
        <v>3319</v>
      </c>
      <c r="AJB45" s="319" t="s">
        <v>3320</v>
      </c>
      <c r="AJC45" s="318" t="s">
        <v>3319</v>
      </c>
      <c r="AJD45" s="319" t="s">
        <v>3320</v>
      </c>
      <c r="AJE45" s="318" t="s">
        <v>3319</v>
      </c>
      <c r="AJF45" s="319" t="s">
        <v>3320</v>
      </c>
      <c r="AJG45" s="318" t="s">
        <v>3319</v>
      </c>
      <c r="AJH45" s="319" t="s">
        <v>3320</v>
      </c>
      <c r="AJI45" s="318" t="s">
        <v>3319</v>
      </c>
      <c r="AJJ45" s="319" t="s">
        <v>3320</v>
      </c>
      <c r="AJK45" s="318" t="s">
        <v>3319</v>
      </c>
      <c r="AJL45" s="319" t="s">
        <v>3320</v>
      </c>
      <c r="AJM45" s="318" t="s">
        <v>3319</v>
      </c>
      <c r="AJN45" s="319" t="s">
        <v>3320</v>
      </c>
      <c r="AJO45" s="318" t="s">
        <v>3319</v>
      </c>
      <c r="AJP45" s="319" t="s">
        <v>3320</v>
      </c>
      <c r="AJQ45" s="318" t="s">
        <v>3319</v>
      </c>
      <c r="AJR45" s="319" t="s">
        <v>3320</v>
      </c>
      <c r="AJS45" s="318" t="s">
        <v>3319</v>
      </c>
      <c r="AJT45" s="319" t="s">
        <v>3320</v>
      </c>
      <c r="AJU45" s="318" t="s">
        <v>3319</v>
      </c>
      <c r="AJV45" s="319" t="s">
        <v>3320</v>
      </c>
      <c r="AJW45" s="318" t="s">
        <v>3319</v>
      </c>
      <c r="AJX45" s="319" t="s">
        <v>3320</v>
      </c>
      <c r="AJY45" s="318" t="s">
        <v>3319</v>
      </c>
      <c r="AJZ45" s="319" t="s">
        <v>3320</v>
      </c>
      <c r="AKA45" s="318" t="s">
        <v>3319</v>
      </c>
      <c r="AKB45" s="319" t="s">
        <v>3320</v>
      </c>
      <c r="AKC45" s="318" t="s">
        <v>3319</v>
      </c>
      <c r="AKD45" s="319" t="s">
        <v>3320</v>
      </c>
      <c r="AKE45" s="318" t="s">
        <v>3319</v>
      </c>
      <c r="AKF45" s="319" t="s">
        <v>3320</v>
      </c>
      <c r="AKG45" s="318" t="s">
        <v>3319</v>
      </c>
      <c r="AKH45" s="319" t="s">
        <v>3320</v>
      </c>
      <c r="AKI45" s="318" t="s">
        <v>3319</v>
      </c>
      <c r="AKJ45" s="319" t="s">
        <v>3320</v>
      </c>
      <c r="AKK45" s="318" t="s">
        <v>3319</v>
      </c>
      <c r="AKL45" s="319" t="s">
        <v>3320</v>
      </c>
      <c r="AKM45" s="318" t="s">
        <v>3319</v>
      </c>
      <c r="AKN45" s="319" t="s">
        <v>3320</v>
      </c>
      <c r="AKO45" s="318" t="s">
        <v>3319</v>
      </c>
      <c r="AKP45" s="319" t="s">
        <v>3320</v>
      </c>
      <c r="AKQ45" s="318" t="s">
        <v>3319</v>
      </c>
      <c r="AKR45" s="319" t="s">
        <v>3320</v>
      </c>
      <c r="AKS45" s="318" t="s">
        <v>3319</v>
      </c>
      <c r="AKT45" s="319" t="s">
        <v>3320</v>
      </c>
      <c r="AKU45" s="318" t="s">
        <v>3319</v>
      </c>
      <c r="AKV45" s="319" t="s">
        <v>3320</v>
      </c>
      <c r="AKW45" s="318" t="s">
        <v>3319</v>
      </c>
      <c r="AKX45" s="319" t="s">
        <v>3320</v>
      </c>
      <c r="AKY45" s="318" t="s">
        <v>3319</v>
      </c>
      <c r="AKZ45" s="319" t="s">
        <v>3320</v>
      </c>
      <c r="ALA45" s="318" t="s">
        <v>3319</v>
      </c>
      <c r="ALB45" s="319" t="s">
        <v>3320</v>
      </c>
      <c r="ALC45" s="318" t="s">
        <v>3319</v>
      </c>
      <c r="ALD45" s="319" t="s">
        <v>3320</v>
      </c>
      <c r="ALE45" s="318" t="s">
        <v>3319</v>
      </c>
      <c r="ALF45" s="319" t="s">
        <v>3320</v>
      </c>
      <c r="ALG45" s="318" t="s">
        <v>3319</v>
      </c>
      <c r="ALH45" s="319" t="s">
        <v>3320</v>
      </c>
      <c r="ALI45" s="318" t="s">
        <v>3319</v>
      </c>
      <c r="ALJ45" s="319" t="s">
        <v>3320</v>
      </c>
      <c r="ALK45" s="318" t="s">
        <v>3319</v>
      </c>
      <c r="ALL45" s="319" t="s">
        <v>3320</v>
      </c>
      <c r="ALM45" s="318" t="s">
        <v>3319</v>
      </c>
      <c r="ALN45" s="319" t="s">
        <v>3320</v>
      </c>
      <c r="ALO45" s="318" t="s">
        <v>3319</v>
      </c>
      <c r="ALP45" s="319" t="s">
        <v>3320</v>
      </c>
      <c r="ALQ45" s="318" t="s">
        <v>3319</v>
      </c>
      <c r="ALR45" s="319" t="s">
        <v>3320</v>
      </c>
      <c r="ALS45" s="318" t="s">
        <v>3319</v>
      </c>
      <c r="ALT45" s="319" t="s">
        <v>3320</v>
      </c>
      <c r="ALU45" s="318" t="s">
        <v>3319</v>
      </c>
      <c r="ALV45" s="319" t="s">
        <v>3320</v>
      </c>
      <c r="ALW45" s="318" t="s">
        <v>3319</v>
      </c>
      <c r="ALX45" s="319" t="s">
        <v>3320</v>
      </c>
      <c r="ALY45" s="318" t="s">
        <v>3319</v>
      </c>
      <c r="ALZ45" s="319" t="s">
        <v>3320</v>
      </c>
      <c r="AMA45" s="318" t="s">
        <v>3319</v>
      </c>
      <c r="AMB45" s="319" t="s">
        <v>3320</v>
      </c>
      <c r="AMC45" s="318" t="s">
        <v>3319</v>
      </c>
      <c r="AMD45" s="319" t="s">
        <v>3320</v>
      </c>
      <c r="AME45" s="318" t="s">
        <v>3319</v>
      </c>
      <c r="AMF45" s="319" t="s">
        <v>3320</v>
      </c>
      <c r="AMG45" s="318" t="s">
        <v>3319</v>
      </c>
      <c r="AMH45" s="319" t="s">
        <v>3320</v>
      </c>
      <c r="AMI45" s="318" t="s">
        <v>3319</v>
      </c>
      <c r="AMJ45" s="319" t="s">
        <v>3320</v>
      </c>
      <c r="AMK45" s="318" t="s">
        <v>3319</v>
      </c>
      <c r="AML45" s="319" t="s">
        <v>3320</v>
      </c>
      <c r="AMM45" s="318" t="s">
        <v>3319</v>
      </c>
      <c r="AMN45" s="319" t="s">
        <v>3320</v>
      </c>
      <c r="AMO45" s="318" t="s">
        <v>3319</v>
      </c>
      <c r="AMP45" s="319" t="s">
        <v>3320</v>
      </c>
      <c r="AMQ45" s="318" t="s">
        <v>3319</v>
      </c>
      <c r="AMR45" s="319" t="s">
        <v>3320</v>
      </c>
      <c r="AMS45" s="318" t="s">
        <v>3319</v>
      </c>
      <c r="AMT45" s="319" t="s">
        <v>3320</v>
      </c>
      <c r="AMU45" s="318" t="s">
        <v>3319</v>
      </c>
      <c r="AMV45" s="319" t="s">
        <v>3320</v>
      </c>
      <c r="AMW45" s="318" t="s">
        <v>3319</v>
      </c>
      <c r="AMX45" s="319" t="s">
        <v>3320</v>
      </c>
      <c r="AMY45" s="318" t="s">
        <v>3319</v>
      </c>
      <c r="AMZ45" s="319" t="s">
        <v>3320</v>
      </c>
      <c r="ANA45" s="318" t="s">
        <v>3319</v>
      </c>
      <c r="ANB45" s="319" t="s">
        <v>3320</v>
      </c>
      <c r="ANC45" s="318" t="s">
        <v>3319</v>
      </c>
      <c r="AND45" s="319" t="s">
        <v>3320</v>
      </c>
      <c r="ANE45" s="318" t="s">
        <v>3319</v>
      </c>
      <c r="ANF45" s="319" t="s">
        <v>3320</v>
      </c>
      <c r="ANG45" s="318" t="s">
        <v>3319</v>
      </c>
      <c r="ANH45" s="319" t="s">
        <v>3320</v>
      </c>
      <c r="ANI45" s="318" t="s">
        <v>3319</v>
      </c>
      <c r="ANJ45" s="319" t="s">
        <v>3320</v>
      </c>
      <c r="ANK45" s="318" t="s">
        <v>3319</v>
      </c>
      <c r="ANL45" s="319" t="s">
        <v>3320</v>
      </c>
      <c r="ANM45" s="318" t="s">
        <v>3319</v>
      </c>
      <c r="ANN45" s="319" t="s">
        <v>3320</v>
      </c>
      <c r="ANO45" s="318" t="s">
        <v>3319</v>
      </c>
      <c r="ANP45" s="319" t="s">
        <v>3320</v>
      </c>
      <c r="ANQ45" s="318" t="s">
        <v>3319</v>
      </c>
      <c r="ANR45" s="319" t="s">
        <v>3320</v>
      </c>
      <c r="ANS45" s="318" t="s">
        <v>3319</v>
      </c>
      <c r="ANT45" s="319" t="s">
        <v>3320</v>
      </c>
      <c r="ANU45" s="318" t="s">
        <v>3319</v>
      </c>
      <c r="ANV45" s="319" t="s">
        <v>3320</v>
      </c>
      <c r="ANW45" s="318" t="s">
        <v>3319</v>
      </c>
      <c r="ANX45" s="319" t="s">
        <v>3320</v>
      </c>
      <c r="ANY45" s="318" t="s">
        <v>3319</v>
      </c>
      <c r="ANZ45" s="319" t="s">
        <v>3320</v>
      </c>
      <c r="AOA45" s="318" t="s">
        <v>3319</v>
      </c>
      <c r="AOB45" s="319" t="s">
        <v>3320</v>
      </c>
      <c r="AOC45" s="318" t="s">
        <v>3319</v>
      </c>
      <c r="AOD45" s="319" t="s">
        <v>3320</v>
      </c>
      <c r="AOE45" s="318" t="s">
        <v>3319</v>
      </c>
      <c r="AOF45" s="319" t="s">
        <v>3320</v>
      </c>
      <c r="AOG45" s="318" t="s">
        <v>3319</v>
      </c>
      <c r="AOH45" s="319" t="s">
        <v>3320</v>
      </c>
      <c r="AOI45" s="318" t="s">
        <v>3319</v>
      </c>
      <c r="AOJ45" s="319" t="s">
        <v>3320</v>
      </c>
      <c r="AOK45" s="318" t="s">
        <v>3319</v>
      </c>
      <c r="AOL45" s="319" t="s">
        <v>3320</v>
      </c>
      <c r="AOM45" s="318" t="s">
        <v>3319</v>
      </c>
      <c r="AON45" s="319" t="s">
        <v>3320</v>
      </c>
      <c r="AOO45" s="318" t="s">
        <v>3319</v>
      </c>
      <c r="AOP45" s="319" t="s">
        <v>3320</v>
      </c>
      <c r="AOQ45" s="318" t="s">
        <v>3319</v>
      </c>
      <c r="AOR45" s="319" t="s">
        <v>3320</v>
      </c>
      <c r="AOS45" s="318" t="s">
        <v>3319</v>
      </c>
      <c r="AOT45" s="319" t="s">
        <v>3320</v>
      </c>
      <c r="AOU45" s="318" t="s">
        <v>3319</v>
      </c>
      <c r="AOV45" s="319" t="s">
        <v>3320</v>
      </c>
      <c r="AOW45" s="318" t="s">
        <v>3319</v>
      </c>
      <c r="AOX45" s="319" t="s">
        <v>3320</v>
      </c>
      <c r="AOY45" s="318" t="s">
        <v>3319</v>
      </c>
      <c r="AOZ45" s="319" t="s">
        <v>3320</v>
      </c>
      <c r="APA45" s="318" t="s">
        <v>3319</v>
      </c>
      <c r="APB45" s="319" t="s">
        <v>3320</v>
      </c>
      <c r="APC45" s="318" t="s">
        <v>3319</v>
      </c>
      <c r="APD45" s="319" t="s">
        <v>3320</v>
      </c>
      <c r="APE45" s="318" t="s">
        <v>3319</v>
      </c>
      <c r="APF45" s="319" t="s">
        <v>3320</v>
      </c>
      <c r="APG45" s="318" t="s">
        <v>3319</v>
      </c>
      <c r="APH45" s="319" t="s">
        <v>3320</v>
      </c>
      <c r="API45" s="318" t="s">
        <v>3319</v>
      </c>
      <c r="APJ45" s="319" t="s">
        <v>3320</v>
      </c>
      <c r="APK45" s="318" t="s">
        <v>3319</v>
      </c>
      <c r="APL45" s="319" t="s">
        <v>3320</v>
      </c>
      <c r="APM45" s="318" t="s">
        <v>3319</v>
      </c>
      <c r="APN45" s="319" t="s">
        <v>3320</v>
      </c>
      <c r="APO45" s="318" t="s">
        <v>3319</v>
      </c>
      <c r="APP45" s="319" t="s">
        <v>3320</v>
      </c>
      <c r="APQ45" s="318" t="s">
        <v>3319</v>
      </c>
      <c r="APR45" s="319" t="s">
        <v>3320</v>
      </c>
      <c r="APS45" s="318" t="s">
        <v>3319</v>
      </c>
      <c r="APT45" s="319" t="s">
        <v>3320</v>
      </c>
      <c r="APU45" s="318" t="s">
        <v>3319</v>
      </c>
      <c r="APV45" s="319" t="s">
        <v>3320</v>
      </c>
      <c r="APW45" s="318" t="s">
        <v>3319</v>
      </c>
      <c r="APX45" s="319" t="s">
        <v>3320</v>
      </c>
      <c r="APY45" s="318" t="s">
        <v>3319</v>
      </c>
      <c r="APZ45" s="319" t="s">
        <v>3320</v>
      </c>
      <c r="AQA45" s="318" t="s">
        <v>3319</v>
      </c>
      <c r="AQB45" s="319" t="s">
        <v>3320</v>
      </c>
      <c r="AQC45" s="318" t="s">
        <v>3319</v>
      </c>
      <c r="AQD45" s="319" t="s">
        <v>3320</v>
      </c>
      <c r="AQE45" s="318" t="s">
        <v>3319</v>
      </c>
      <c r="AQF45" s="319" t="s">
        <v>3320</v>
      </c>
      <c r="AQG45" s="318" t="s">
        <v>3319</v>
      </c>
      <c r="AQH45" s="319" t="s">
        <v>3320</v>
      </c>
      <c r="AQI45" s="318" t="s">
        <v>3319</v>
      </c>
      <c r="AQJ45" s="319" t="s">
        <v>3320</v>
      </c>
      <c r="AQK45" s="318" t="s">
        <v>3319</v>
      </c>
      <c r="AQL45" s="319" t="s">
        <v>3320</v>
      </c>
      <c r="AQM45" s="318" t="s">
        <v>3319</v>
      </c>
      <c r="AQN45" s="319" t="s">
        <v>3320</v>
      </c>
      <c r="AQO45" s="318" t="s">
        <v>3319</v>
      </c>
      <c r="AQP45" s="319" t="s">
        <v>3320</v>
      </c>
      <c r="AQQ45" s="318" t="s">
        <v>3319</v>
      </c>
      <c r="AQR45" s="319" t="s">
        <v>3320</v>
      </c>
      <c r="AQS45" s="318" t="s">
        <v>3319</v>
      </c>
      <c r="AQT45" s="319" t="s">
        <v>3320</v>
      </c>
      <c r="AQU45" s="318" t="s">
        <v>3319</v>
      </c>
      <c r="AQV45" s="319" t="s">
        <v>3320</v>
      </c>
      <c r="AQW45" s="318" t="s">
        <v>3319</v>
      </c>
      <c r="AQX45" s="319" t="s">
        <v>3320</v>
      </c>
      <c r="AQY45" s="318" t="s">
        <v>3319</v>
      </c>
      <c r="AQZ45" s="319" t="s">
        <v>3320</v>
      </c>
      <c r="ARA45" s="318" t="s">
        <v>3319</v>
      </c>
      <c r="ARB45" s="319" t="s">
        <v>3320</v>
      </c>
      <c r="ARC45" s="318" t="s">
        <v>3319</v>
      </c>
      <c r="ARD45" s="319" t="s">
        <v>3320</v>
      </c>
      <c r="ARE45" s="318" t="s">
        <v>3319</v>
      </c>
      <c r="ARF45" s="319" t="s">
        <v>3320</v>
      </c>
      <c r="ARG45" s="318" t="s">
        <v>3319</v>
      </c>
      <c r="ARH45" s="319" t="s">
        <v>3320</v>
      </c>
      <c r="ARI45" s="318" t="s">
        <v>3319</v>
      </c>
      <c r="ARJ45" s="319" t="s">
        <v>3320</v>
      </c>
      <c r="ARK45" s="318" t="s">
        <v>3319</v>
      </c>
      <c r="ARL45" s="319" t="s">
        <v>3320</v>
      </c>
      <c r="ARM45" s="318" t="s">
        <v>3319</v>
      </c>
      <c r="ARN45" s="319" t="s">
        <v>3320</v>
      </c>
      <c r="ARO45" s="318" t="s">
        <v>3319</v>
      </c>
      <c r="ARP45" s="319" t="s">
        <v>3320</v>
      </c>
      <c r="ARQ45" s="318" t="s">
        <v>3319</v>
      </c>
      <c r="ARR45" s="319" t="s">
        <v>3320</v>
      </c>
      <c r="ARS45" s="318" t="s">
        <v>3319</v>
      </c>
      <c r="ART45" s="319" t="s">
        <v>3320</v>
      </c>
      <c r="ARU45" s="318" t="s">
        <v>3319</v>
      </c>
      <c r="ARV45" s="319" t="s">
        <v>3320</v>
      </c>
      <c r="ARW45" s="318" t="s">
        <v>3319</v>
      </c>
      <c r="ARX45" s="319" t="s">
        <v>3320</v>
      </c>
      <c r="ARY45" s="318" t="s">
        <v>3319</v>
      </c>
      <c r="ARZ45" s="319" t="s">
        <v>3320</v>
      </c>
      <c r="ASA45" s="318" t="s">
        <v>3319</v>
      </c>
      <c r="ASB45" s="319" t="s">
        <v>3320</v>
      </c>
      <c r="ASC45" s="318" t="s">
        <v>3319</v>
      </c>
      <c r="ASD45" s="319" t="s">
        <v>3320</v>
      </c>
      <c r="ASE45" s="318" t="s">
        <v>3319</v>
      </c>
      <c r="ASF45" s="319" t="s">
        <v>3320</v>
      </c>
      <c r="ASG45" s="318" t="s">
        <v>3319</v>
      </c>
      <c r="ASH45" s="319" t="s">
        <v>3320</v>
      </c>
      <c r="ASI45" s="318" t="s">
        <v>3319</v>
      </c>
      <c r="ASJ45" s="319" t="s">
        <v>3320</v>
      </c>
      <c r="ASK45" s="318" t="s">
        <v>3319</v>
      </c>
      <c r="ASL45" s="319" t="s">
        <v>3320</v>
      </c>
      <c r="ASM45" s="318" t="s">
        <v>3319</v>
      </c>
      <c r="ASN45" s="319" t="s">
        <v>3320</v>
      </c>
      <c r="ASO45" s="318" t="s">
        <v>3319</v>
      </c>
      <c r="ASP45" s="319" t="s">
        <v>3320</v>
      </c>
      <c r="ASQ45" s="318" t="s">
        <v>3319</v>
      </c>
      <c r="ASR45" s="319" t="s">
        <v>3320</v>
      </c>
      <c r="ASS45" s="318" t="s">
        <v>3319</v>
      </c>
      <c r="AST45" s="319" t="s">
        <v>3320</v>
      </c>
      <c r="ASU45" s="318" t="s">
        <v>3319</v>
      </c>
      <c r="ASV45" s="319" t="s">
        <v>3320</v>
      </c>
      <c r="ASW45" s="318" t="s">
        <v>3319</v>
      </c>
      <c r="ASX45" s="319" t="s">
        <v>3320</v>
      </c>
      <c r="ASY45" s="318" t="s">
        <v>3319</v>
      </c>
      <c r="ASZ45" s="319" t="s">
        <v>3320</v>
      </c>
      <c r="ATA45" s="318" t="s">
        <v>3319</v>
      </c>
      <c r="ATB45" s="319" t="s">
        <v>3320</v>
      </c>
      <c r="ATC45" s="318" t="s">
        <v>3319</v>
      </c>
      <c r="ATD45" s="319" t="s">
        <v>3320</v>
      </c>
      <c r="ATE45" s="318" t="s">
        <v>3319</v>
      </c>
      <c r="ATF45" s="319" t="s">
        <v>3320</v>
      </c>
      <c r="ATG45" s="318" t="s">
        <v>3319</v>
      </c>
      <c r="ATH45" s="319" t="s">
        <v>3320</v>
      </c>
      <c r="ATI45" s="318" t="s">
        <v>3319</v>
      </c>
      <c r="ATJ45" s="319" t="s">
        <v>3320</v>
      </c>
      <c r="ATK45" s="318" t="s">
        <v>3319</v>
      </c>
      <c r="ATL45" s="319" t="s">
        <v>3320</v>
      </c>
      <c r="ATM45" s="318" t="s">
        <v>3319</v>
      </c>
      <c r="ATN45" s="319" t="s">
        <v>3320</v>
      </c>
      <c r="ATO45" s="318" t="s">
        <v>3319</v>
      </c>
      <c r="ATP45" s="319" t="s">
        <v>3320</v>
      </c>
      <c r="ATQ45" s="318" t="s">
        <v>3319</v>
      </c>
      <c r="ATR45" s="319" t="s">
        <v>3320</v>
      </c>
      <c r="ATS45" s="318" t="s">
        <v>3319</v>
      </c>
      <c r="ATT45" s="319" t="s">
        <v>3320</v>
      </c>
      <c r="ATU45" s="318" t="s">
        <v>3319</v>
      </c>
      <c r="ATV45" s="319" t="s">
        <v>3320</v>
      </c>
      <c r="ATW45" s="318" t="s">
        <v>3319</v>
      </c>
      <c r="ATX45" s="319" t="s">
        <v>3320</v>
      </c>
      <c r="ATY45" s="318" t="s">
        <v>3319</v>
      </c>
      <c r="ATZ45" s="319" t="s">
        <v>3320</v>
      </c>
      <c r="AUA45" s="318" t="s">
        <v>3319</v>
      </c>
      <c r="AUB45" s="319" t="s">
        <v>3320</v>
      </c>
      <c r="AUC45" s="318" t="s">
        <v>3319</v>
      </c>
      <c r="AUD45" s="319" t="s">
        <v>3320</v>
      </c>
      <c r="AUE45" s="318" t="s">
        <v>3319</v>
      </c>
      <c r="AUF45" s="319" t="s">
        <v>3320</v>
      </c>
      <c r="AUG45" s="318" t="s">
        <v>3319</v>
      </c>
      <c r="AUH45" s="319" t="s">
        <v>3320</v>
      </c>
      <c r="AUI45" s="318" t="s">
        <v>3319</v>
      </c>
      <c r="AUJ45" s="319" t="s">
        <v>3320</v>
      </c>
      <c r="AUK45" s="318" t="s">
        <v>3319</v>
      </c>
      <c r="AUL45" s="319" t="s">
        <v>3320</v>
      </c>
      <c r="AUM45" s="318" t="s">
        <v>3319</v>
      </c>
      <c r="AUN45" s="319" t="s">
        <v>3320</v>
      </c>
      <c r="AUO45" s="318" t="s">
        <v>3319</v>
      </c>
      <c r="AUP45" s="319" t="s">
        <v>3320</v>
      </c>
      <c r="AUQ45" s="318" t="s">
        <v>3319</v>
      </c>
      <c r="AUR45" s="319" t="s">
        <v>3320</v>
      </c>
      <c r="AUS45" s="318" t="s">
        <v>3319</v>
      </c>
      <c r="AUT45" s="319" t="s">
        <v>3320</v>
      </c>
      <c r="AUU45" s="318" t="s">
        <v>3319</v>
      </c>
      <c r="AUV45" s="319" t="s">
        <v>3320</v>
      </c>
      <c r="AUW45" s="318" t="s">
        <v>3319</v>
      </c>
      <c r="AUX45" s="319" t="s">
        <v>3320</v>
      </c>
      <c r="AUY45" s="318" t="s">
        <v>3319</v>
      </c>
      <c r="AUZ45" s="319" t="s">
        <v>3320</v>
      </c>
      <c r="AVA45" s="318" t="s">
        <v>3319</v>
      </c>
      <c r="AVB45" s="319" t="s">
        <v>3320</v>
      </c>
      <c r="AVC45" s="318" t="s">
        <v>3319</v>
      </c>
      <c r="AVD45" s="319" t="s">
        <v>3320</v>
      </c>
      <c r="AVE45" s="318" t="s">
        <v>3319</v>
      </c>
      <c r="AVF45" s="319" t="s">
        <v>3320</v>
      </c>
      <c r="AVG45" s="318" t="s">
        <v>3319</v>
      </c>
      <c r="AVH45" s="319" t="s">
        <v>3320</v>
      </c>
      <c r="AVI45" s="318" t="s">
        <v>3319</v>
      </c>
      <c r="AVJ45" s="319" t="s">
        <v>3320</v>
      </c>
      <c r="AVK45" s="318" t="s">
        <v>3319</v>
      </c>
      <c r="AVL45" s="319" t="s">
        <v>3320</v>
      </c>
      <c r="AVM45" s="318" t="s">
        <v>3319</v>
      </c>
      <c r="AVN45" s="319" t="s">
        <v>3320</v>
      </c>
      <c r="AVO45" s="318" t="s">
        <v>3319</v>
      </c>
      <c r="AVP45" s="319" t="s">
        <v>3320</v>
      </c>
      <c r="AVQ45" s="318" t="s">
        <v>3319</v>
      </c>
      <c r="AVR45" s="319" t="s">
        <v>3320</v>
      </c>
      <c r="AVS45" s="318" t="s">
        <v>3319</v>
      </c>
      <c r="AVT45" s="319" t="s">
        <v>3320</v>
      </c>
      <c r="AVU45" s="318" t="s">
        <v>3319</v>
      </c>
      <c r="AVV45" s="319" t="s">
        <v>3320</v>
      </c>
      <c r="AVW45" s="318" t="s">
        <v>3319</v>
      </c>
      <c r="AVX45" s="319" t="s">
        <v>3320</v>
      </c>
      <c r="AVY45" s="318" t="s">
        <v>3319</v>
      </c>
      <c r="AVZ45" s="319" t="s">
        <v>3320</v>
      </c>
      <c r="AWA45" s="318" t="s">
        <v>3319</v>
      </c>
      <c r="AWB45" s="319" t="s">
        <v>3320</v>
      </c>
      <c r="AWC45" s="318" t="s">
        <v>3319</v>
      </c>
      <c r="AWD45" s="319" t="s">
        <v>3320</v>
      </c>
      <c r="AWE45" s="318" t="s">
        <v>3319</v>
      </c>
      <c r="AWF45" s="319" t="s">
        <v>3320</v>
      </c>
      <c r="AWG45" s="318" t="s">
        <v>3319</v>
      </c>
      <c r="AWH45" s="319" t="s">
        <v>3320</v>
      </c>
      <c r="AWI45" s="318" t="s">
        <v>3319</v>
      </c>
      <c r="AWJ45" s="319" t="s">
        <v>3320</v>
      </c>
      <c r="AWK45" s="318" t="s">
        <v>3319</v>
      </c>
      <c r="AWL45" s="319" t="s">
        <v>3320</v>
      </c>
      <c r="AWM45" s="318" t="s">
        <v>3319</v>
      </c>
      <c r="AWN45" s="319" t="s">
        <v>3320</v>
      </c>
      <c r="AWO45" s="318" t="s">
        <v>3319</v>
      </c>
      <c r="AWP45" s="319" t="s">
        <v>3320</v>
      </c>
      <c r="AWQ45" s="318" t="s">
        <v>3319</v>
      </c>
      <c r="AWR45" s="319" t="s">
        <v>3320</v>
      </c>
      <c r="AWS45" s="318" t="s">
        <v>3319</v>
      </c>
      <c r="AWT45" s="319" t="s">
        <v>3320</v>
      </c>
      <c r="AWU45" s="318" t="s">
        <v>3319</v>
      </c>
      <c r="AWV45" s="319" t="s">
        <v>3320</v>
      </c>
      <c r="AWW45" s="318" t="s">
        <v>3319</v>
      </c>
      <c r="AWX45" s="319" t="s">
        <v>3320</v>
      </c>
      <c r="AWY45" s="318" t="s">
        <v>3319</v>
      </c>
      <c r="AWZ45" s="319" t="s">
        <v>3320</v>
      </c>
      <c r="AXA45" s="318" t="s">
        <v>3319</v>
      </c>
      <c r="AXB45" s="319" t="s">
        <v>3320</v>
      </c>
      <c r="AXC45" s="318" t="s">
        <v>3319</v>
      </c>
      <c r="AXD45" s="319" t="s">
        <v>3320</v>
      </c>
      <c r="AXE45" s="318" t="s">
        <v>3319</v>
      </c>
      <c r="AXF45" s="319" t="s">
        <v>3320</v>
      </c>
      <c r="AXG45" s="318" t="s">
        <v>3319</v>
      </c>
      <c r="AXH45" s="319" t="s">
        <v>3320</v>
      </c>
      <c r="AXI45" s="318" t="s">
        <v>3319</v>
      </c>
      <c r="AXJ45" s="319" t="s">
        <v>3320</v>
      </c>
      <c r="AXK45" s="318" t="s">
        <v>3319</v>
      </c>
      <c r="AXL45" s="319" t="s">
        <v>3320</v>
      </c>
      <c r="AXM45" s="318" t="s">
        <v>3319</v>
      </c>
      <c r="AXN45" s="319" t="s">
        <v>3320</v>
      </c>
      <c r="AXO45" s="318" t="s">
        <v>3319</v>
      </c>
      <c r="AXP45" s="319" t="s">
        <v>3320</v>
      </c>
      <c r="AXQ45" s="318" t="s">
        <v>3319</v>
      </c>
      <c r="AXR45" s="319" t="s">
        <v>3320</v>
      </c>
      <c r="AXS45" s="318" t="s">
        <v>3319</v>
      </c>
      <c r="AXT45" s="319" t="s">
        <v>3320</v>
      </c>
      <c r="AXU45" s="318" t="s">
        <v>3319</v>
      </c>
      <c r="AXV45" s="319" t="s">
        <v>3320</v>
      </c>
      <c r="AXW45" s="318" t="s">
        <v>3319</v>
      </c>
      <c r="AXX45" s="319" t="s">
        <v>3320</v>
      </c>
      <c r="AXY45" s="318" t="s">
        <v>3319</v>
      </c>
      <c r="AXZ45" s="319" t="s">
        <v>3320</v>
      </c>
      <c r="AYA45" s="318" t="s">
        <v>3319</v>
      </c>
      <c r="AYB45" s="319" t="s">
        <v>3320</v>
      </c>
      <c r="AYC45" s="318" t="s">
        <v>3319</v>
      </c>
      <c r="AYD45" s="319" t="s">
        <v>3320</v>
      </c>
      <c r="AYE45" s="318" t="s">
        <v>3319</v>
      </c>
      <c r="AYF45" s="319" t="s">
        <v>3320</v>
      </c>
      <c r="AYG45" s="318" t="s">
        <v>3319</v>
      </c>
      <c r="AYH45" s="319" t="s">
        <v>3320</v>
      </c>
      <c r="AYI45" s="318" t="s">
        <v>3319</v>
      </c>
      <c r="AYJ45" s="319" t="s">
        <v>3320</v>
      </c>
      <c r="AYK45" s="318" t="s">
        <v>3319</v>
      </c>
      <c r="AYL45" s="319" t="s">
        <v>3320</v>
      </c>
      <c r="AYM45" s="318" t="s">
        <v>3319</v>
      </c>
      <c r="AYN45" s="319" t="s">
        <v>3320</v>
      </c>
      <c r="AYO45" s="318" t="s">
        <v>3319</v>
      </c>
      <c r="AYP45" s="319" t="s">
        <v>3320</v>
      </c>
      <c r="AYQ45" s="318" t="s">
        <v>3319</v>
      </c>
      <c r="AYR45" s="319" t="s">
        <v>3320</v>
      </c>
      <c r="AYS45" s="318" t="s">
        <v>3319</v>
      </c>
      <c r="AYT45" s="319" t="s">
        <v>3320</v>
      </c>
      <c r="AYU45" s="318" t="s">
        <v>3319</v>
      </c>
      <c r="AYV45" s="319" t="s">
        <v>3320</v>
      </c>
      <c r="AYW45" s="318" t="s">
        <v>3319</v>
      </c>
      <c r="AYX45" s="319" t="s">
        <v>3320</v>
      </c>
      <c r="AYY45" s="318" t="s">
        <v>3319</v>
      </c>
      <c r="AYZ45" s="319" t="s">
        <v>3320</v>
      </c>
      <c r="AZA45" s="318" t="s">
        <v>3319</v>
      </c>
      <c r="AZB45" s="319" t="s">
        <v>3320</v>
      </c>
      <c r="AZC45" s="318" t="s">
        <v>3319</v>
      </c>
      <c r="AZD45" s="319" t="s">
        <v>3320</v>
      </c>
      <c r="AZE45" s="318" t="s">
        <v>3319</v>
      </c>
      <c r="AZF45" s="319" t="s">
        <v>3320</v>
      </c>
      <c r="AZG45" s="318" t="s">
        <v>3319</v>
      </c>
      <c r="AZH45" s="319" t="s">
        <v>3320</v>
      </c>
      <c r="AZI45" s="318" t="s">
        <v>3319</v>
      </c>
      <c r="AZJ45" s="319" t="s">
        <v>3320</v>
      </c>
      <c r="AZK45" s="318" t="s">
        <v>3319</v>
      </c>
      <c r="AZL45" s="319" t="s">
        <v>3320</v>
      </c>
      <c r="AZM45" s="318" t="s">
        <v>3319</v>
      </c>
      <c r="AZN45" s="319" t="s">
        <v>3320</v>
      </c>
      <c r="AZO45" s="318" t="s">
        <v>3319</v>
      </c>
      <c r="AZP45" s="319" t="s">
        <v>3320</v>
      </c>
      <c r="AZQ45" s="318" t="s">
        <v>3319</v>
      </c>
      <c r="AZR45" s="319" t="s">
        <v>3320</v>
      </c>
      <c r="AZS45" s="318" t="s">
        <v>3319</v>
      </c>
      <c r="AZT45" s="319" t="s">
        <v>3320</v>
      </c>
      <c r="AZU45" s="318" t="s">
        <v>3319</v>
      </c>
      <c r="AZV45" s="319" t="s">
        <v>3320</v>
      </c>
      <c r="AZW45" s="318" t="s">
        <v>3319</v>
      </c>
      <c r="AZX45" s="319" t="s">
        <v>3320</v>
      </c>
      <c r="AZY45" s="318" t="s">
        <v>3319</v>
      </c>
      <c r="AZZ45" s="319" t="s">
        <v>3320</v>
      </c>
      <c r="BAA45" s="318" t="s">
        <v>3319</v>
      </c>
      <c r="BAB45" s="319" t="s">
        <v>3320</v>
      </c>
      <c r="BAC45" s="318" t="s">
        <v>3319</v>
      </c>
      <c r="BAD45" s="319" t="s">
        <v>3320</v>
      </c>
      <c r="BAE45" s="318" t="s">
        <v>3319</v>
      </c>
      <c r="BAF45" s="319" t="s">
        <v>3320</v>
      </c>
      <c r="BAG45" s="318" t="s">
        <v>3319</v>
      </c>
      <c r="BAH45" s="319" t="s">
        <v>3320</v>
      </c>
      <c r="BAI45" s="318" t="s">
        <v>3319</v>
      </c>
      <c r="BAJ45" s="319" t="s">
        <v>3320</v>
      </c>
      <c r="BAK45" s="318" t="s">
        <v>3319</v>
      </c>
      <c r="BAL45" s="319" t="s">
        <v>3320</v>
      </c>
      <c r="BAM45" s="318" t="s">
        <v>3319</v>
      </c>
      <c r="BAN45" s="319" t="s">
        <v>3320</v>
      </c>
      <c r="BAO45" s="318" t="s">
        <v>3319</v>
      </c>
      <c r="BAP45" s="319" t="s">
        <v>3320</v>
      </c>
      <c r="BAQ45" s="318" t="s">
        <v>3319</v>
      </c>
      <c r="BAR45" s="319" t="s">
        <v>3320</v>
      </c>
      <c r="BAS45" s="318" t="s">
        <v>3319</v>
      </c>
      <c r="BAT45" s="319" t="s">
        <v>3320</v>
      </c>
      <c r="BAU45" s="318" t="s">
        <v>3319</v>
      </c>
      <c r="BAV45" s="319" t="s">
        <v>3320</v>
      </c>
      <c r="BAW45" s="318" t="s">
        <v>3319</v>
      </c>
      <c r="BAX45" s="319" t="s">
        <v>3320</v>
      </c>
      <c r="BAY45" s="318" t="s">
        <v>3319</v>
      </c>
      <c r="BAZ45" s="319" t="s">
        <v>3320</v>
      </c>
      <c r="BBA45" s="318" t="s">
        <v>3319</v>
      </c>
      <c r="BBB45" s="319" t="s">
        <v>3320</v>
      </c>
      <c r="BBC45" s="318" t="s">
        <v>3319</v>
      </c>
      <c r="BBD45" s="319" t="s">
        <v>3320</v>
      </c>
      <c r="BBE45" s="318" t="s">
        <v>3319</v>
      </c>
      <c r="BBF45" s="319" t="s">
        <v>3320</v>
      </c>
      <c r="BBG45" s="318" t="s">
        <v>3319</v>
      </c>
      <c r="BBH45" s="319" t="s">
        <v>3320</v>
      </c>
      <c r="BBI45" s="318" t="s">
        <v>3319</v>
      </c>
      <c r="BBJ45" s="319" t="s">
        <v>3320</v>
      </c>
      <c r="BBK45" s="318" t="s">
        <v>3319</v>
      </c>
      <c r="BBL45" s="319" t="s">
        <v>3320</v>
      </c>
      <c r="BBM45" s="318" t="s">
        <v>3319</v>
      </c>
      <c r="BBN45" s="319" t="s">
        <v>3320</v>
      </c>
      <c r="BBO45" s="318" t="s">
        <v>3319</v>
      </c>
      <c r="BBP45" s="319" t="s">
        <v>3320</v>
      </c>
      <c r="BBQ45" s="318" t="s">
        <v>3319</v>
      </c>
      <c r="BBR45" s="319" t="s">
        <v>3320</v>
      </c>
      <c r="BBS45" s="318" t="s">
        <v>3319</v>
      </c>
      <c r="BBT45" s="319" t="s">
        <v>3320</v>
      </c>
      <c r="BBU45" s="318" t="s">
        <v>3319</v>
      </c>
      <c r="BBV45" s="319" t="s">
        <v>3320</v>
      </c>
      <c r="BBW45" s="318" t="s">
        <v>3319</v>
      </c>
      <c r="BBX45" s="319" t="s">
        <v>3320</v>
      </c>
      <c r="BBY45" s="318" t="s">
        <v>3319</v>
      </c>
      <c r="BBZ45" s="319" t="s">
        <v>3320</v>
      </c>
      <c r="BCA45" s="318" t="s">
        <v>3319</v>
      </c>
      <c r="BCB45" s="319" t="s">
        <v>3320</v>
      </c>
      <c r="BCC45" s="318" t="s">
        <v>3319</v>
      </c>
      <c r="BCD45" s="319" t="s">
        <v>3320</v>
      </c>
      <c r="BCE45" s="318" t="s">
        <v>3319</v>
      </c>
      <c r="BCF45" s="319" t="s">
        <v>3320</v>
      </c>
      <c r="BCG45" s="318" t="s">
        <v>3319</v>
      </c>
      <c r="BCH45" s="319" t="s">
        <v>3320</v>
      </c>
      <c r="BCI45" s="318" t="s">
        <v>3319</v>
      </c>
      <c r="BCJ45" s="319" t="s">
        <v>3320</v>
      </c>
      <c r="BCK45" s="318" t="s">
        <v>3319</v>
      </c>
      <c r="BCL45" s="319" t="s">
        <v>3320</v>
      </c>
      <c r="BCM45" s="318" t="s">
        <v>3319</v>
      </c>
      <c r="BCN45" s="319" t="s">
        <v>3320</v>
      </c>
      <c r="BCO45" s="318" t="s">
        <v>3319</v>
      </c>
      <c r="BCP45" s="319" t="s">
        <v>3320</v>
      </c>
      <c r="BCQ45" s="318" t="s">
        <v>3319</v>
      </c>
      <c r="BCR45" s="319" t="s">
        <v>3320</v>
      </c>
      <c r="BCS45" s="318" t="s">
        <v>3319</v>
      </c>
      <c r="BCT45" s="319" t="s">
        <v>3320</v>
      </c>
      <c r="BCU45" s="318" t="s">
        <v>3319</v>
      </c>
      <c r="BCV45" s="319" t="s">
        <v>3320</v>
      </c>
      <c r="BCW45" s="318" t="s">
        <v>3319</v>
      </c>
      <c r="BCX45" s="319" t="s">
        <v>3320</v>
      </c>
      <c r="BCY45" s="318" t="s">
        <v>3319</v>
      </c>
      <c r="BCZ45" s="319" t="s">
        <v>3320</v>
      </c>
      <c r="BDA45" s="318" t="s">
        <v>3319</v>
      </c>
      <c r="BDB45" s="319" t="s">
        <v>3320</v>
      </c>
      <c r="BDC45" s="318" t="s">
        <v>3319</v>
      </c>
      <c r="BDD45" s="319" t="s">
        <v>3320</v>
      </c>
      <c r="BDE45" s="318" t="s">
        <v>3319</v>
      </c>
      <c r="BDF45" s="319" t="s">
        <v>3320</v>
      </c>
      <c r="BDG45" s="318" t="s">
        <v>3319</v>
      </c>
      <c r="BDH45" s="319" t="s">
        <v>3320</v>
      </c>
      <c r="BDI45" s="318" t="s">
        <v>3319</v>
      </c>
      <c r="BDJ45" s="319" t="s">
        <v>3320</v>
      </c>
      <c r="BDK45" s="318" t="s">
        <v>3319</v>
      </c>
      <c r="BDL45" s="319" t="s">
        <v>3320</v>
      </c>
      <c r="BDM45" s="318" t="s">
        <v>3319</v>
      </c>
      <c r="BDN45" s="319" t="s">
        <v>3320</v>
      </c>
      <c r="BDO45" s="318" t="s">
        <v>3319</v>
      </c>
      <c r="BDP45" s="319" t="s">
        <v>3320</v>
      </c>
      <c r="BDQ45" s="318" t="s">
        <v>3319</v>
      </c>
      <c r="BDR45" s="319" t="s">
        <v>3320</v>
      </c>
      <c r="BDS45" s="318" t="s">
        <v>3319</v>
      </c>
      <c r="BDT45" s="319" t="s">
        <v>3320</v>
      </c>
      <c r="BDU45" s="318" t="s">
        <v>3319</v>
      </c>
      <c r="BDV45" s="319" t="s">
        <v>3320</v>
      </c>
      <c r="BDW45" s="318" t="s">
        <v>3319</v>
      </c>
      <c r="BDX45" s="319" t="s">
        <v>3320</v>
      </c>
      <c r="BDY45" s="318" t="s">
        <v>3319</v>
      </c>
      <c r="BDZ45" s="319" t="s">
        <v>3320</v>
      </c>
      <c r="BEA45" s="318" t="s">
        <v>3319</v>
      </c>
      <c r="BEB45" s="319" t="s">
        <v>3320</v>
      </c>
      <c r="BEC45" s="318" t="s">
        <v>3319</v>
      </c>
      <c r="BED45" s="319" t="s">
        <v>3320</v>
      </c>
      <c r="BEE45" s="318" t="s">
        <v>3319</v>
      </c>
      <c r="BEF45" s="319" t="s">
        <v>3320</v>
      </c>
      <c r="BEG45" s="318" t="s">
        <v>3319</v>
      </c>
      <c r="BEH45" s="319" t="s">
        <v>3320</v>
      </c>
      <c r="BEI45" s="318" t="s">
        <v>3319</v>
      </c>
      <c r="BEJ45" s="319" t="s">
        <v>3320</v>
      </c>
      <c r="BEK45" s="318" t="s">
        <v>3319</v>
      </c>
      <c r="BEL45" s="319" t="s">
        <v>3320</v>
      </c>
      <c r="BEM45" s="318" t="s">
        <v>3319</v>
      </c>
      <c r="BEN45" s="319" t="s">
        <v>3320</v>
      </c>
      <c r="BEO45" s="318" t="s">
        <v>3319</v>
      </c>
      <c r="BEP45" s="319" t="s">
        <v>3320</v>
      </c>
      <c r="BEQ45" s="318" t="s">
        <v>3319</v>
      </c>
      <c r="BER45" s="319" t="s">
        <v>3320</v>
      </c>
      <c r="BES45" s="318" t="s">
        <v>3319</v>
      </c>
      <c r="BET45" s="319" t="s">
        <v>3320</v>
      </c>
      <c r="BEU45" s="318" t="s">
        <v>3319</v>
      </c>
      <c r="BEV45" s="319" t="s">
        <v>3320</v>
      </c>
      <c r="BEW45" s="318" t="s">
        <v>3319</v>
      </c>
      <c r="BEX45" s="319" t="s">
        <v>3320</v>
      </c>
      <c r="BEY45" s="318" t="s">
        <v>3319</v>
      </c>
      <c r="BEZ45" s="319" t="s">
        <v>3320</v>
      </c>
      <c r="BFA45" s="318" t="s">
        <v>3319</v>
      </c>
      <c r="BFB45" s="319" t="s">
        <v>3320</v>
      </c>
      <c r="BFC45" s="318" t="s">
        <v>3319</v>
      </c>
      <c r="BFD45" s="319" t="s">
        <v>3320</v>
      </c>
      <c r="BFE45" s="318" t="s">
        <v>3319</v>
      </c>
      <c r="BFF45" s="319" t="s">
        <v>3320</v>
      </c>
      <c r="BFG45" s="318" t="s">
        <v>3319</v>
      </c>
      <c r="BFH45" s="319" t="s">
        <v>3320</v>
      </c>
      <c r="BFI45" s="318" t="s">
        <v>3319</v>
      </c>
      <c r="BFJ45" s="319" t="s">
        <v>3320</v>
      </c>
      <c r="BFK45" s="318" t="s">
        <v>3319</v>
      </c>
      <c r="BFL45" s="319" t="s">
        <v>3320</v>
      </c>
      <c r="BFM45" s="318" t="s">
        <v>3319</v>
      </c>
      <c r="BFN45" s="319" t="s">
        <v>3320</v>
      </c>
      <c r="BFO45" s="318" t="s">
        <v>3319</v>
      </c>
      <c r="BFP45" s="319" t="s">
        <v>3320</v>
      </c>
      <c r="BFQ45" s="318" t="s">
        <v>3319</v>
      </c>
      <c r="BFR45" s="319" t="s">
        <v>3320</v>
      </c>
      <c r="BFS45" s="318" t="s">
        <v>3319</v>
      </c>
      <c r="BFT45" s="319" t="s">
        <v>3320</v>
      </c>
      <c r="BFU45" s="318" t="s">
        <v>3319</v>
      </c>
      <c r="BFV45" s="319" t="s">
        <v>3320</v>
      </c>
      <c r="BFW45" s="318" t="s">
        <v>3319</v>
      </c>
      <c r="BFX45" s="319" t="s">
        <v>3320</v>
      </c>
      <c r="BFY45" s="318" t="s">
        <v>3319</v>
      </c>
      <c r="BFZ45" s="319" t="s">
        <v>3320</v>
      </c>
      <c r="BGA45" s="318" t="s">
        <v>3319</v>
      </c>
      <c r="BGB45" s="319" t="s">
        <v>3320</v>
      </c>
      <c r="BGC45" s="318" t="s">
        <v>3319</v>
      </c>
      <c r="BGD45" s="319" t="s">
        <v>3320</v>
      </c>
      <c r="BGE45" s="318" t="s">
        <v>3319</v>
      </c>
      <c r="BGF45" s="319" t="s">
        <v>3320</v>
      </c>
      <c r="BGG45" s="318" t="s">
        <v>3319</v>
      </c>
      <c r="BGH45" s="319" t="s">
        <v>3320</v>
      </c>
      <c r="BGI45" s="318" t="s">
        <v>3319</v>
      </c>
      <c r="BGJ45" s="319" t="s">
        <v>3320</v>
      </c>
      <c r="BGK45" s="318" t="s">
        <v>3319</v>
      </c>
      <c r="BGL45" s="319" t="s">
        <v>3320</v>
      </c>
      <c r="BGM45" s="318" t="s">
        <v>3319</v>
      </c>
      <c r="BGN45" s="319" t="s">
        <v>3320</v>
      </c>
      <c r="BGO45" s="318" t="s">
        <v>3319</v>
      </c>
      <c r="BGP45" s="319" t="s">
        <v>3320</v>
      </c>
      <c r="BGQ45" s="318" t="s">
        <v>3319</v>
      </c>
      <c r="BGR45" s="319" t="s">
        <v>3320</v>
      </c>
      <c r="BGS45" s="318" t="s">
        <v>3319</v>
      </c>
      <c r="BGT45" s="319" t="s">
        <v>3320</v>
      </c>
      <c r="BGU45" s="318" t="s">
        <v>3319</v>
      </c>
      <c r="BGV45" s="319" t="s">
        <v>3320</v>
      </c>
      <c r="BGW45" s="318" t="s">
        <v>3319</v>
      </c>
      <c r="BGX45" s="319" t="s">
        <v>3320</v>
      </c>
      <c r="BGY45" s="318" t="s">
        <v>3319</v>
      </c>
      <c r="BGZ45" s="319" t="s">
        <v>3320</v>
      </c>
      <c r="BHA45" s="318" t="s">
        <v>3319</v>
      </c>
      <c r="BHB45" s="319" t="s">
        <v>3320</v>
      </c>
      <c r="BHC45" s="318" t="s">
        <v>3319</v>
      </c>
      <c r="BHD45" s="319" t="s">
        <v>3320</v>
      </c>
      <c r="BHE45" s="318" t="s">
        <v>3319</v>
      </c>
      <c r="BHF45" s="319" t="s">
        <v>3320</v>
      </c>
      <c r="BHG45" s="318" t="s">
        <v>3319</v>
      </c>
      <c r="BHH45" s="319" t="s">
        <v>3320</v>
      </c>
      <c r="BHI45" s="318" t="s">
        <v>3319</v>
      </c>
      <c r="BHJ45" s="319" t="s">
        <v>3320</v>
      </c>
      <c r="BHK45" s="318" t="s">
        <v>3319</v>
      </c>
      <c r="BHL45" s="319" t="s">
        <v>3320</v>
      </c>
      <c r="BHM45" s="318" t="s">
        <v>3319</v>
      </c>
      <c r="BHN45" s="319" t="s">
        <v>3320</v>
      </c>
      <c r="BHO45" s="318" t="s">
        <v>3319</v>
      </c>
      <c r="BHP45" s="319" t="s">
        <v>3320</v>
      </c>
      <c r="BHQ45" s="318" t="s">
        <v>3319</v>
      </c>
      <c r="BHR45" s="319" t="s">
        <v>3320</v>
      </c>
      <c r="BHS45" s="318" t="s">
        <v>3319</v>
      </c>
      <c r="BHT45" s="319" t="s">
        <v>3320</v>
      </c>
      <c r="BHU45" s="318" t="s">
        <v>3319</v>
      </c>
      <c r="BHV45" s="319" t="s">
        <v>3320</v>
      </c>
      <c r="BHW45" s="318" t="s">
        <v>3319</v>
      </c>
      <c r="BHX45" s="319" t="s">
        <v>3320</v>
      </c>
      <c r="BHY45" s="318" t="s">
        <v>3319</v>
      </c>
      <c r="BHZ45" s="319" t="s">
        <v>3320</v>
      </c>
      <c r="BIA45" s="318" t="s">
        <v>3319</v>
      </c>
      <c r="BIB45" s="319" t="s">
        <v>3320</v>
      </c>
      <c r="BIC45" s="318" t="s">
        <v>3319</v>
      </c>
      <c r="BID45" s="319" t="s">
        <v>3320</v>
      </c>
      <c r="BIE45" s="318" t="s">
        <v>3319</v>
      </c>
      <c r="BIF45" s="319" t="s">
        <v>3320</v>
      </c>
      <c r="BIG45" s="318" t="s">
        <v>3319</v>
      </c>
      <c r="BIH45" s="319" t="s">
        <v>3320</v>
      </c>
      <c r="BII45" s="318" t="s">
        <v>3319</v>
      </c>
      <c r="BIJ45" s="319" t="s">
        <v>3320</v>
      </c>
      <c r="BIK45" s="318" t="s">
        <v>3319</v>
      </c>
      <c r="BIL45" s="319" t="s">
        <v>3320</v>
      </c>
      <c r="BIM45" s="318" t="s">
        <v>3319</v>
      </c>
      <c r="BIN45" s="319" t="s">
        <v>3320</v>
      </c>
      <c r="BIO45" s="318" t="s">
        <v>3319</v>
      </c>
      <c r="BIP45" s="319" t="s">
        <v>3320</v>
      </c>
      <c r="BIQ45" s="318" t="s">
        <v>3319</v>
      </c>
      <c r="BIR45" s="319" t="s">
        <v>3320</v>
      </c>
      <c r="BIS45" s="318" t="s">
        <v>3319</v>
      </c>
      <c r="BIT45" s="319" t="s">
        <v>3320</v>
      </c>
      <c r="BIU45" s="318" t="s">
        <v>3319</v>
      </c>
      <c r="BIV45" s="319" t="s">
        <v>3320</v>
      </c>
      <c r="BIW45" s="318" t="s">
        <v>3319</v>
      </c>
      <c r="BIX45" s="319" t="s">
        <v>3320</v>
      </c>
      <c r="BIY45" s="318" t="s">
        <v>3319</v>
      </c>
      <c r="BIZ45" s="319" t="s">
        <v>3320</v>
      </c>
      <c r="BJA45" s="318" t="s">
        <v>3319</v>
      </c>
      <c r="BJB45" s="319" t="s">
        <v>3320</v>
      </c>
      <c r="BJC45" s="318" t="s">
        <v>3319</v>
      </c>
      <c r="BJD45" s="319" t="s">
        <v>3320</v>
      </c>
      <c r="BJE45" s="318" t="s">
        <v>3319</v>
      </c>
      <c r="BJF45" s="319" t="s">
        <v>3320</v>
      </c>
      <c r="BJG45" s="318" t="s">
        <v>3319</v>
      </c>
      <c r="BJH45" s="319" t="s">
        <v>3320</v>
      </c>
      <c r="BJI45" s="318" t="s">
        <v>3319</v>
      </c>
      <c r="BJJ45" s="319" t="s">
        <v>3320</v>
      </c>
      <c r="BJK45" s="318" t="s">
        <v>3319</v>
      </c>
      <c r="BJL45" s="319" t="s">
        <v>3320</v>
      </c>
      <c r="BJM45" s="318" t="s">
        <v>3319</v>
      </c>
      <c r="BJN45" s="319" t="s">
        <v>3320</v>
      </c>
      <c r="BJO45" s="318" t="s">
        <v>3319</v>
      </c>
      <c r="BJP45" s="319" t="s">
        <v>3320</v>
      </c>
      <c r="BJQ45" s="318" t="s">
        <v>3319</v>
      </c>
      <c r="BJR45" s="319" t="s">
        <v>3320</v>
      </c>
      <c r="BJS45" s="318" t="s">
        <v>3319</v>
      </c>
      <c r="BJT45" s="319" t="s">
        <v>3320</v>
      </c>
      <c r="BJU45" s="318" t="s">
        <v>3319</v>
      </c>
      <c r="BJV45" s="319" t="s">
        <v>3320</v>
      </c>
      <c r="BJW45" s="318" t="s">
        <v>3319</v>
      </c>
      <c r="BJX45" s="319" t="s">
        <v>3320</v>
      </c>
      <c r="BJY45" s="318" t="s">
        <v>3319</v>
      </c>
      <c r="BJZ45" s="319" t="s">
        <v>3320</v>
      </c>
      <c r="BKA45" s="318" t="s">
        <v>3319</v>
      </c>
      <c r="BKB45" s="319" t="s">
        <v>3320</v>
      </c>
      <c r="BKC45" s="318" t="s">
        <v>3319</v>
      </c>
      <c r="BKD45" s="319" t="s">
        <v>3320</v>
      </c>
      <c r="BKE45" s="318" t="s">
        <v>3319</v>
      </c>
      <c r="BKF45" s="319" t="s">
        <v>3320</v>
      </c>
      <c r="BKG45" s="318" t="s">
        <v>3319</v>
      </c>
      <c r="BKH45" s="319" t="s">
        <v>3320</v>
      </c>
      <c r="BKI45" s="318" t="s">
        <v>3319</v>
      </c>
      <c r="BKJ45" s="319" t="s">
        <v>3320</v>
      </c>
      <c r="BKK45" s="318" t="s">
        <v>3319</v>
      </c>
      <c r="BKL45" s="319" t="s">
        <v>3320</v>
      </c>
      <c r="BKM45" s="318" t="s">
        <v>3319</v>
      </c>
      <c r="BKN45" s="319" t="s">
        <v>3320</v>
      </c>
      <c r="BKO45" s="318" t="s">
        <v>3319</v>
      </c>
      <c r="BKP45" s="319" t="s">
        <v>3320</v>
      </c>
      <c r="BKQ45" s="318" t="s">
        <v>3319</v>
      </c>
      <c r="BKR45" s="319" t="s">
        <v>3320</v>
      </c>
      <c r="BKS45" s="318" t="s">
        <v>3319</v>
      </c>
      <c r="BKT45" s="319" t="s">
        <v>3320</v>
      </c>
      <c r="BKU45" s="318" t="s">
        <v>3319</v>
      </c>
      <c r="BKV45" s="319" t="s">
        <v>3320</v>
      </c>
      <c r="BKW45" s="318" t="s">
        <v>3319</v>
      </c>
      <c r="BKX45" s="319" t="s">
        <v>3320</v>
      </c>
      <c r="BKY45" s="318" t="s">
        <v>3319</v>
      </c>
      <c r="BKZ45" s="319" t="s">
        <v>3320</v>
      </c>
      <c r="BLA45" s="318" t="s">
        <v>3319</v>
      </c>
      <c r="BLB45" s="319" t="s">
        <v>3320</v>
      </c>
      <c r="BLC45" s="318" t="s">
        <v>3319</v>
      </c>
      <c r="BLD45" s="319" t="s">
        <v>3320</v>
      </c>
      <c r="BLE45" s="318" t="s">
        <v>3319</v>
      </c>
      <c r="BLF45" s="319" t="s">
        <v>3320</v>
      </c>
      <c r="BLG45" s="318" t="s">
        <v>3319</v>
      </c>
      <c r="BLH45" s="319" t="s">
        <v>3320</v>
      </c>
      <c r="BLI45" s="318" t="s">
        <v>3319</v>
      </c>
      <c r="BLJ45" s="319" t="s">
        <v>3320</v>
      </c>
      <c r="BLK45" s="318" t="s">
        <v>3319</v>
      </c>
      <c r="BLL45" s="319" t="s">
        <v>3320</v>
      </c>
      <c r="BLM45" s="318" t="s">
        <v>3319</v>
      </c>
      <c r="BLN45" s="319" t="s">
        <v>3320</v>
      </c>
      <c r="BLO45" s="318" t="s">
        <v>3319</v>
      </c>
      <c r="BLP45" s="319" t="s">
        <v>3320</v>
      </c>
      <c r="BLQ45" s="318" t="s">
        <v>3319</v>
      </c>
      <c r="BLR45" s="319" t="s">
        <v>3320</v>
      </c>
      <c r="BLS45" s="318" t="s">
        <v>3319</v>
      </c>
      <c r="BLT45" s="319" t="s">
        <v>3320</v>
      </c>
      <c r="BLU45" s="318" t="s">
        <v>3319</v>
      </c>
      <c r="BLV45" s="319" t="s">
        <v>3320</v>
      </c>
      <c r="BLW45" s="318" t="s">
        <v>3319</v>
      </c>
      <c r="BLX45" s="319" t="s">
        <v>3320</v>
      </c>
      <c r="BLY45" s="318" t="s">
        <v>3319</v>
      </c>
      <c r="BLZ45" s="319" t="s">
        <v>3320</v>
      </c>
      <c r="BMA45" s="318" t="s">
        <v>3319</v>
      </c>
      <c r="BMB45" s="319" t="s">
        <v>3320</v>
      </c>
      <c r="BMC45" s="318" t="s">
        <v>3319</v>
      </c>
      <c r="BMD45" s="319" t="s">
        <v>3320</v>
      </c>
      <c r="BME45" s="318" t="s">
        <v>3319</v>
      </c>
      <c r="BMF45" s="319" t="s">
        <v>3320</v>
      </c>
      <c r="BMG45" s="318" t="s">
        <v>3319</v>
      </c>
      <c r="BMH45" s="319" t="s">
        <v>3320</v>
      </c>
      <c r="BMI45" s="318" t="s">
        <v>3319</v>
      </c>
      <c r="BMJ45" s="319" t="s">
        <v>3320</v>
      </c>
      <c r="BMK45" s="318" t="s">
        <v>3319</v>
      </c>
      <c r="BML45" s="319" t="s">
        <v>3320</v>
      </c>
      <c r="BMM45" s="318" t="s">
        <v>3319</v>
      </c>
      <c r="BMN45" s="319" t="s">
        <v>3320</v>
      </c>
      <c r="BMO45" s="318" t="s">
        <v>3319</v>
      </c>
      <c r="BMP45" s="319" t="s">
        <v>3320</v>
      </c>
      <c r="BMQ45" s="318" t="s">
        <v>3319</v>
      </c>
      <c r="BMR45" s="319" t="s">
        <v>3320</v>
      </c>
      <c r="BMS45" s="318" t="s">
        <v>3319</v>
      </c>
      <c r="BMT45" s="319" t="s">
        <v>3320</v>
      </c>
      <c r="BMU45" s="318" t="s">
        <v>3319</v>
      </c>
      <c r="BMV45" s="319" t="s">
        <v>3320</v>
      </c>
      <c r="BMW45" s="318" t="s">
        <v>3319</v>
      </c>
      <c r="BMX45" s="319" t="s">
        <v>3320</v>
      </c>
      <c r="BMY45" s="318" t="s">
        <v>3319</v>
      </c>
      <c r="BMZ45" s="319" t="s">
        <v>3320</v>
      </c>
      <c r="BNA45" s="318" t="s">
        <v>3319</v>
      </c>
      <c r="BNB45" s="319" t="s">
        <v>3320</v>
      </c>
      <c r="BNC45" s="318" t="s">
        <v>3319</v>
      </c>
      <c r="BND45" s="319" t="s">
        <v>3320</v>
      </c>
      <c r="BNE45" s="318" t="s">
        <v>3319</v>
      </c>
      <c r="BNF45" s="319" t="s">
        <v>3320</v>
      </c>
      <c r="BNG45" s="318" t="s">
        <v>3319</v>
      </c>
      <c r="BNH45" s="319" t="s">
        <v>3320</v>
      </c>
      <c r="BNI45" s="318" t="s">
        <v>3319</v>
      </c>
      <c r="BNJ45" s="319" t="s">
        <v>3320</v>
      </c>
      <c r="BNK45" s="318" t="s">
        <v>3319</v>
      </c>
      <c r="BNL45" s="319" t="s">
        <v>3320</v>
      </c>
      <c r="BNM45" s="318" t="s">
        <v>3319</v>
      </c>
      <c r="BNN45" s="319" t="s">
        <v>3320</v>
      </c>
      <c r="BNO45" s="318" t="s">
        <v>3319</v>
      </c>
      <c r="BNP45" s="319" t="s">
        <v>3320</v>
      </c>
      <c r="BNQ45" s="318" t="s">
        <v>3319</v>
      </c>
      <c r="BNR45" s="319" t="s">
        <v>3320</v>
      </c>
      <c r="BNS45" s="318" t="s">
        <v>3319</v>
      </c>
      <c r="BNT45" s="319" t="s">
        <v>3320</v>
      </c>
      <c r="BNU45" s="318" t="s">
        <v>3319</v>
      </c>
      <c r="BNV45" s="319" t="s">
        <v>3320</v>
      </c>
      <c r="BNW45" s="318" t="s">
        <v>3319</v>
      </c>
      <c r="BNX45" s="319" t="s">
        <v>3320</v>
      </c>
      <c r="BNY45" s="318" t="s">
        <v>3319</v>
      </c>
      <c r="BNZ45" s="319" t="s">
        <v>3320</v>
      </c>
      <c r="BOA45" s="318" t="s">
        <v>3319</v>
      </c>
      <c r="BOB45" s="319" t="s">
        <v>3320</v>
      </c>
      <c r="BOC45" s="318" t="s">
        <v>3319</v>
      </c>
      <c r="BOD45" s="319" t="s">
        <v>3320</v>
      </c>
      <c r="BOE45" s="318" t="s">
        <v>3319</v>
      </c>
      <c r="BOF45" s="319" t="s">
        <v>3320</v>
      </c>
      <c r="BOG45" s="318" t="s">
        <v>3319</v>
      </c>
      <c r="BOH45" s="319" t="s">
        <v>3320</v>
      </c>
      <c r="BOI45" s="318" t="s">
        <v>3319</v>
      </c>
      <c r="BOJ45" s="319" t="s">
        <v>3320</v>
      </c>
      <c r="BOK45" s="318" t="s">
        <v>3319</v>
      </c>
      <c r="BOL45" s="319" t="s">
        <v>3320</v>
      </c>
      <c r="BOM45" s="318" t="s">
        <v>3319</v>
      </c>
      <c r="BON45" s="319" t="s">
        <v>3320</v>
      </c>
      <c r="BOO45" s="318" t="s">
        <v>3319</v>
      </c>
      <c r="BOP45" s="319" t="s">
        <v>3320</v>
      </c>
      <c r="BOQ45" s="318" t="s">
        <v>3319</v>
      </c>
      <c r="BOR45" s="319" t="s">
        <v>3320</v>
      </c>
      <c r="BOS45" s="318" t="s">
        <v>3319</v>
      </c>
      <c r="BOT45" s="319" t="s">
        <v>3320</v>
      </c>
      <c r="BOU45" s="318" t="s">
        <v>3319</v>
      </c>
      <c r="BOV45" s="319" t="s">
        <v>3320</v>
      </c>
      <c r="BOW45" s="318" t="s">
        <v>3319</v>
      </c>
      <c r="BOX45" s="319" t="s">
        <v>3320</v>
      </c>
      <c r="BOY45" s="318" t="s">
        <v>3319</v>
      </c>
      <c r="BOZ45" s="319" t="s">
        <v>3320</v>
      </c>
      <c r="BPA45" s="318" t="s">
        <v>3319</v>
      </c>
      <c r="BPB45" s="319" t="s">
        <v>3320</v>
      </c>
      <c r="BPC45" s="318" t="s">
        <v>3319</v>
      </c>
      <c r="BPD45" s="319" t="s">
        <v>3320</v>
      </c>
      <c r="BPE45" s="318" t="s">
        <v>3319</v>
      </c>
      <c r="BPF45" s="319" t="s">
        <v>3320</v>
      </c>
      <c r="BPG45" s="318" t="s">
        <v>3319</v>
      </c>
      <c r="BPH45" s="319" t="s">
        <v>3320</v>
      </c>
      <c r="BPI45" s="318" t="s">
        <v>3319</v>
      </c>
      <c r="BPJ45" s="319" t="s">
        <v>3320</v>
      </c>
      <c r="BPK45" s="318" t="s">
        <v>3319</v>
      </c>
      <c r="BPL45" s="319" t="s">
        <v>3320</v>
      </c>
      <c r="BPM45" s="318" t="s">
        <v>3319</v>
      </c>
      <c r="BPN45" s="319" t="s">
        <v>3320</v>
      </c>
      <c r="BPO45" s="318" t="s">
        <v>3319</v>
      </c>
      <c r="BPP45" s="319" t="s">
        <v>3320</v>
      </c>
      <c r="BPQ45" s="318" t="s">
        <v>3319</v>
      </c>
      <c r="BPR45" s="319" t="s">
        <v>3320</v>
      </c>
      <c r="BPS45" s="318" t="s">
        <v>3319</v>
      </c>
      <c r="BPT45" s="319" t="s">
        <v>3320</v>
      </c>
      <c r="BPU45" s="318" t="s">
        <v>3319</v>
      </c>
      <c r="BPV45" s="319" t="s">
        <v>3320</v>
      </c>
      <c r="BPW45" s="318" t="s">
        <v>3319</v>
      </c>
      <c r="BPX45" s="319" t="s">
        <v>3320</v>
      </c>
      <c r="BPY45" s="318" t="s">
        <v>3319</v>
      </c>
      <c r="BPZ45" s="319" t="s">
        <v>3320</v>
      </c>
      <c r="BQA45" s="318" t="s">
        <v>3319</v>
      </c>
      <c r="BQB45" s="319" t="s">
        <v>3320</v>
      </c>
      <c r="BQC45" s="318" t="s">
        <v>3319</v>
      </c>
      <c r="BQD45" s="319" t="s">
        <v>3320</v>
      </c>
      <c r="BQE45" s="318" t="s">
        <v>3319</v>
      </c>
      <c r="BQF45" s="319" t="s">
        <v>3320</v>
      </c>
      <c r="BQG45" s="318" t="s">
        <v>3319</v>
      </c>
      <c r="BQH45" s="319" t="s">
        <v>3320</v>
      </c>
      <c r="BQI45" s="318" t="s">
        <v>3319</v>
      </c>
      <c r="BQJ45" s="319" t="s">
        <v>3320</v>
      </c>
      <c r="BQK45" s="318" t="s">
        <v>3319</v>
      </c>
      <c r="BQL45" s="319" t="s">
        <v>3320</v>
      </c>
      <c r="BQM45" s="318" t="s">
        <v>3319</v>
      </c>
      <c r="BQN45" s="319" t="s">
        <v>3320</v>
      </c>
      <c r="BQO45" s="318" t="s">
        <v>3319</v>
      </c>
      <c r="BQP45" s="319" t="s">
        <v>3320</v>
      </c>
      <c r="BQQ45" s="318" t="s">
        <v>3319</v>
      </c>
      <c r="BQR45" s="319" t="s">
        <v>3320</v>
      </c>
      <c r="BQS45" s="318" t="s">
        <v>3319</v>
      </c>
      <c r="BQT45" s="319" t="s">
        <v>3320</v>
      </c>
      <c r="BQU45" s="318" t="s">
        <v>3319</v>
      </c>
      <c r="BQV45" s="319" t="s">
        <v>3320</v>
      </c>
      <c r="BQW45" s="318" t="s">
        <v>3319</v>
      </c>
      <c r="BQX45" s="319" t="s">
        <v>3320</v>
      </c>
      <c r="BQY45" s="318" t="s">
        <v>3319</v>
      </c>
      <c r="BQZ45" s="319" t="s">
        <v>3320</v>
      </c>
      <c r="BRA45" s="318" t="s">
        <v>3319</v>
      </c>
      <c r="BRB45" s="319" t="s">
        <v>3320</v>
      </c>
      <c r="BRC45" s="318" t="s">
        <v>3319</v>
      </c>
      <c r="BRD45" s="319" t="s">
        <v>3320</v>
      </c>
      <c r="BRE45" s="318" t="s">
        <v>3319</v>
      </c>
      <c r="BRF45" s="319" t="s">
        <v>3320</v>
      </c>
      <c r="BRG45" s="318" t="s">
        <v>3319</v>
      </c>
      <c r="BRH45" s="319" t="s">
        <v>3320</v>
      </c>
      <c r="BRI45" s="318" t="s">
        <v>3319</v>
      </c>
      <c r="BRJ45" s="319" t="s">
        <v>3320</v>
      </c>
      <c r="BRK45" s="318" t="s">
        <v>3319</v>
      </c>
      <c r="BRL45" s="319" t="s">
        <v>3320</v>
      </c>
      <c r="BRM45" s="318" t="s">
        <v>3319</v>
      </c>
      <c r="BRN45" s="319" t="s">
        <v>3320</v>
      </c>
      <c r="BRO45" s="318" t="s">
        <v>3319</v>
      </c>
      <c r="BRP45" s="319" t="s">
        <v>3320</v>
      </c>
      <c r="BRQ45" s="318" t="s">
        <v>3319</v>
      </c>
      <c r="BRR45" s="319" t="s">
        <v>3320</v>
      </c>
      <c r="BRS45" s="318" t="s">
        <v>3319</v>
      </c>
      <c r="BRT45" s="319" t="s">
        <v>3320</v>
      </c>
      <c r="BRU45" s="318" t="s">
        <v>3319</v>
      </c>
      <c r="BRV45" s="319" t="s">
        <v>3320</v>
      </c>
      <c r="BRW45" s="318" t="s">
        <v>3319</v>
      </c>
      <c r="BRX45" s="319" t="s">
        <v>3320</v>
      </c>
      <c r="BRY45" s="318" t="s">
        <v>3319</v>
      </c>
      <c r="BRZ45" s="319" t="s">
        <v>3320</v>
      </c>
      <c r="BSA45" s="318" t="s">
        <v>3319</v>
      </c>
      <c r="BSB45" s="319" t="s">
        <v>3320</v>
      </c>
      <c r="BSC45" s="318" t="s">
        <v>3319</v>
      </c>
      <c r="BSD45" s="319" t="s">
        <v>3320</v>
      </c>
      <c r="BSE45" s="318" t="s">
        <v>3319</v>
      </c>
      <c r="BSF45" s="319" t="s">
        <v>3320</v>
      </c>
      <c r="BSG45" s="318" t="s">
        <v>3319</v>
      </c>
      <c r="BSH45" s="319" t="s">
        <v>3320</v>
      </c>
      <c r="BSI45" s="318" t="s">
        <v>3319</v>
      </c>
      <c r="BSJ45" s="319" t="s">
        <v>3320</v>
      </c>
      <c r="BSK45" s="318" t="s">
        <v>3319</v>
      </c>
      <c r="BSL45" s="319" t="s">
        <v>3320</v>
      </c>
      <c r="BSM45" s="318" t="s">
        <v>3319</v>
      </c>
      <c r="BSN45" s="319" t="s">
        <v>3320</v>
      </c>
      <c r="BSO45" s="318" t="s">
        <v>3319</v>
      </c>
      <c r="BSP45" s="319" t="s">
        <v>3320</v>
      </c>
      <c r="BSQ45" s="318" t="s">
        <v>3319</v>
      </c>
      <c r="BSR45" s="319" t="s">
        <v>3320</v>
      </c>
      <c r="BSS45" s="318" t="s">
        <v>3319</v>
      </c>
      <c r="BST45" s="319" t="s">
        <v>3320</v>
      </c>
      <c r="BSU45" s="318" t="s">
        <v>3319</v>
      </c>
      <c r="BSV45" s="319" t="s">
        <v>3320</v>
      </c>
      <c r="BSW45" s="318" t="s">
        <v>3319</v>
      </c>
      <c r="BSX45" s="319" t="s">
        <v>3320</v>
      </c>
      <c r="BSY45" s="318" t="s">
        <v>3319</v>
      </c>
      <c r="BSZ45" s="319" t="s">
        <v>3320</v>
      </c>
      <c r="BTA45" s="318" t="s">
        <v>3319</v>
      </c>
      <c r="BTB45" s="319" t="s">
        <v>3320</v>
      </c>
      <c r="BTC45" s="318" t="s">
        <v>3319</v>
      </c>
      <c r="BTD45" s="319" t="s">
        <v>3320</v>
      </c>
      <c r="BTE45" s="318" t="s">
        <v>3319</v>
      </c>
      <c r="BTF45" s="319" t="s">
        <v>3320</v>
      </c>
      <c r="BTG45" s="318" t="s">
        <v>3319</v>
      </c>
      <c r="BTH45" s="319" t="s">
        <v>3320</v>
      </c>
      <c r="BTI45" s="318" t="s">
        <v>3319</v>
      </c>
      <c r="BTJ45" s="319" t="s">
        <v>3320</v>
      </c>
      <c r="BTK45" s="318" t="s">
        <v>3319</v>
      </c>
      <c r="BTL45" s="319" t="s">
        <v>3320</v>
      </c>
      <c r="BTM45" s="318" t="s">
        <v>3319</v>
      </c>
      <c r="BTN45" s="319" t="s">
        <v>3320</v>
      </c>
      <c r="BTO45" s="318" t="s">
        <v>3319</v>
      </c>
      <c r="BTP45" s="319" t="s">
        <v>3320</v>
      </c>
      <c r="BTQ45" s="318" t="s">
        <v>3319</v>
      </c>
      <c r="BTR45" s="319" t="s">
        <v>3320</v>
      </c>
      <c r="BTS45" s="318" t="s">
        <v>3319</v>
      </c>
      <c r="BTT45" s="319" t="s">
        <v>3320</v>
      </c>
      <c r="BTU45" s="318" t="s">
        <v>3319</v>
      </c>
      <c r="BTV45" s="319" t="s">
        <v>3320</v>
      </c>
      <c r="BTW45" s="318" t="s">
        <v>3319</v>
      </c>
      <c r="BTX45" s="319" t="s">
        <v>3320</v>
      </c>
      <c r="BTY45" s="318" t="s">
        <v>3319</v>
      </c>
      <c r="BTZ45" s="319" t="s">
        <v>3320</v>
      </c>
      <c r="BUA45" s="318" t="s">
        <v>3319</v>
      </c>
      <c r="BUB45" s="319" t="s">
        <v>3320</v>
      </c>
      <c r="BUC45" s="318" t="s">
        <v>3319</v>
      </c>
      <c r="BUD45" s="319" t="s">
        <v>3320</v>
      </c>
      <c r="BUE45" s="318" t="s">
        <v>3319</v>
      </c>
      <c r="BUF45" s="319" t="s">
        <v>3320</v>
      </c>
      <c r="BUG45" s="318" t="s">
        <v>3319</v>
      </c>
      <c r="BUH45" s="319" t="s">
        <v>3320</v>
      </c>
      <c r="BUI45" s="318" t="s">
        <v>3319</v>
      </c>
      <c r="BUJ45" s="319" t="s">
        <v>3320</v>
      </c>
      <c r="BUK45" s="318" t="s">
        <v>3319</v>
      </c>
      <c r="BUL45" s="319" t="s">
        <v>3320</v>
      </c>
      <c r="BUM45" s="318" t="s">
        <v>3319</v>
      </c>
      <c r="BUN45" s="319" t="s">
        <v>3320</v>
      </c>
      <c r="BUO45" s="318" t="s">
        <v>3319</v>
      </c>
      <c r="BUP45" s="319" t="s">
        <v>3320</v>
      </c>
      <c r="BUQ45" s="318" t="s">
        <v>3319</v>
      </c>
      <c r="BUR45" s="319" t="s">
        <v>3320</v>
      </c>
      <c r="BUS45" s="318" t="s">
        <v>3319</v>
      </c>
      <c r="BUT45" s="319" t="s">
        <v>3320</v>
      </c>
      <c r="BUU45" s="318" t="s">
        <v>3319</v>
      </c>
      <c r="BUV45" s="319" t="s">
        <v>3320</v>
      </c>
      <c r="BUW45" s="318" t="s">
        <v>3319</v>
      </c>
      <c r="BUX45" s="319" t="s">
        <v>3320</v>
      </c>
      <c r="BUY45" s="318" t="s">
        <v>3319</v>
      </c>
      <c r="BUZ45" s="319" t="s">
        <v>3320</v>
      </c>
      <c r="BVA45" s="318" t="s">
        <v>3319</v>
      </c>
      <c r="BVB45" s="319" t="s">
        <v>3320</v>
      </c>
      <c r="BVC45" s="318" t="s">
        <v>3319</v>
      </c>
      <c r="BVD45" s="319" t="s">
        <v>3320</v>
      </c>
      <c r="BVE45" s="318" t="s">
        <v>3319</v>
      </c>
      <c r="BVF45" s="319" t="s">
        <v>3320</v>
      </c>
      <c r="BVG45" s="318" t="s">
        <v>3319</v>
      </c>
      <c r="BVH45" s="319" t="s">
        <v>3320</v>
      </c>
      <c r="BVI45" s="318" t="s">
        <v>3319</v>
      </c>
      <c r="BVJ45" s="319" t="s">
        <v>3320</v>
      </c>
      <c r="BVK45" s="318" t="s">
        <v>3319</v>
      </c>
      <c r="BVL45" s="319" t="s">
        <v>3320</v>
      </c>
      <c r="BVM45" s="318" t="s">
        <v>3319</v>
      </c>
      <c r="BVN45" s="319" t="s">
        <v>3320</v>
      </c>
      <c r="BVO45" s="318" t="s">
        <v>3319</v>
      </c>
      <c r="BVP45" s="319" t="s">
        <v>3320</v>
      </c>
      <c r="BVQ45" s="318" t="s">
        <v>3319</v>
      </c>
      <c r="BVR45" s="319" t="s">
        <v>3320</v>
      </c>
      <c r="BVS45" s="318" t="s">
        <v>3319</v>
      </c>
      <c r="BVT45" s="319" t="s">
        <v>3320</v>
      </c>
      <c r="BVU45" s="318" t="s">
        <v>3319</v>
      </c>
      <c r="BVV45" s="319" t="s">
        <v>3320</v>
      </c>
      <c r="BVW45" s="318" t="s">
        <v>3319</v>
      </c>
      <c r="BVX45" s="319" t="s">
        <v>3320</v>
      </c>
      <c r="BVY45" s="318" t="s">
        <v>3319</v>
      </c>
      <c r="BVZ45" s="319" t="s">
        <v>3320</v>
      </c>
      <c r="BWA45" s="318" t="s">
        <v>3319</v>
      </c>
      <c r="BWB45" s="319" t="s">
        <v>3320</v>
      </c>
      <c r="BWC45" s="318" t="s">
        <v>3319</v>
      </c>
      <c r="BWD45" s="319" t="s">
        <v>3320</v>
      </c>
      <c r="BWE45" s="318" t="s">
        <v>3319</v>
      </c>
      <c r="BWF45" s="319" t="s">
        <v>3320</v>
      </c>
      <c r="BWG45" s="318" t="s">
        <v>3319</v>
      </c>
      <c r="BWH45" s="319" t="s">
        <v>3320</v>
      </c>
      <c r="BWI45" s="318" t="s">
        <v>3319</v>
      </c>
      <c r="BWJ45" s="319" t="s">
        <v>3320</v>
      </c>
      <c r="BWK45" s="318" t="s">
        <v>3319</v>
      </c>
      <c r="BWL45" s="319" t="s">
        <v>3320</v>
      </c>
      <c r="BWM45" s="318" t="s">
        <v>3319</v>
      </c>
      <c r="BWN45" s="319" t="s">
        <v>3320</v>
      </c>
      <c r="BWO45" s="318" t="s">
        <v>3319</v>
      </c>
      <c r="BWP45" s="319" t="s">
        <v>3320</v>
      </c>
      <c r="BWQ45" s="318" t="s">
        <v>3319</v>
      </c>
      <c r="BWR45" s="319" t="s">
        <v>3320</v>
      </c>
      <c r="BWS45" s="318" t="s">
        <v>3319</v>
      </c>
      <c r="BWT45" s="319" t="s">
        <v>3320</v>
      </c>
      <c r="BWU45" s="318" t="s">
        <v>3319</v>
      </c>
      <c r="BWV45" s="319" t="s">
        <v>3320</v>
      </c>
      <c r="BWW45" s="318" t="s">
        <v>3319</v>
      </c>
      <c r="BWX45" s="319" t="s">
        <v>3320</v>
      </c>
      <c r="BWY45" s="318" t="s">
        <v>3319</v>
      </c>
      <c r="BWZ45" s="319" t="s">
        <v>3320</v>
      </c>
      <c r="BXA45" s="318" t="s">
        <v>3319</v>
      </c>
      <c r="BXB45" s="319" t="s">
        <v>3320</v>
      </c>
      <c r="BXC45" s="318" t="s">
        <v>3319</v>
      </c>
      <c r="BXD45" s="319" t="s">
        <v>3320</v>
      </c>
      <c r="BXE45" s="318" t="s">
        <v>3319</v>
      </c>
      <c r="BXF45" s="319" t="s">
        <v>3320</v>
      </c>
      <c r="BXG45" s="318" t="s">
        <v>3319</v>
      </c>
      <c r="BXH45" s="319" t="s">
        <v>3320</v>
      </c>
      <c r="BXI45" s="318" t="s">
        <v>3319</v>
      </c>
      <c r="BXJ45" s="319" t="s">
        <v>3320</v>
      </c>
      <c r="BXK45" s="318" t="s">
        <v>3319</v>
      </c>
      <c r="BXL45" s="319" t="s">
        <v>3320</v>
      </c>
      <c r="BXM45" s="318" t="s">
        <v>3319</v>
      </c>
      <c r="BXN45" s="319" t="s">
        <v>3320</v>
      </c>
      <c r="BXO45" s="318" t="s">
        <v>3319</v>
      </c>
      <c r="BXP45" s="319" t="s">
        <v>3320</v>
      </c>
      <c r="BXQ45" s="318" t="s">
        <v>3319</v>
      </c>
      <c r="BXR45" s="319" t="s">
        <v>3320</v>
      </c>
      <c r="BXS45" s="318" t="s">
        <v>3319</v>
      </c>
      <c r="BXT45" s="319" t="s">
        <v>3320</v>
      </c>
      <c r="BXU45" s="318" t="s">
        <v>3319</v>
      </c>
      <c r="BXV45" s="319" t="s">
        <v>3320</v>
      </c>
      <c r="BXW45" s="318" t="s">
        <v>3319</v>
      </c>
      <c r="BXX45" s="319" t="s">
        <v>3320</v>
      </c>
      <c r="BXY45" s="318" t="s">
        <v>3319</v>
      </c>
      <c r="BXZ45" s="319" t="s">
        <v>3320</v>
      </c>
      <c r="BYA45" s="318" t="s">
        <v>3319</v>
      </c>
      <c r="BYB45" s="319" t="s">
        <v>3320</v>
      </c>
      <c r="BYC45" s="318" t="s">
        <v>3319</v>
      </c>
      <c r="BYD45" s="319" t="s">
        <v>3320</v>
      </c>
      <c r="BYE45" s="318" t="s">
        <v>3319</v>
      </c>
      <c r="BYF45" s="319" t="s">
        <v>3320</v>
      </c>
      <c r="BYG45" s="318" t="s">
        <v>3319</v>
      </c>
      <c r="BYH45" s="319" t="s">
        <v>3320</v>
      </c>
      <c r="BYI45" s="318" t="s">
        <v>3319</v>
      </c>
      <c r="BYJ45" s="319" t="s">
        <v>3320</v>
      </c>
      <c r="BYK45" s="318" t="s">
        <v>3319</v>
      </c>
      <c r="BYL45" s="319" t="s">
        <v>3320</v>
      </c>
      <c r="BYM45" s="318" t="s">
        <v>3319</v>
      </c>
      <c r="BYN45" s="319" t="s">
        <v>3320</v>
      </c>
      <c r="BYO45" s="318" t="s">
        <v>3319</v>
      </c>
      <c r="BYP45" s="319" t="s">
        <v>3320</v>
      </c>
      <c r="BYQ45" s="318" t="s">
        <v>3319</v>
      </c>
      <c r="BYR45" s="319" t="s">
        <v>3320</v>
      </c>
      <c r="BYS45" s="318" t="s">
        <v>3319</v>
      </c>
      <c r="BYT45" s="319" t="s">
        <v>3320</v>
      </c>
      <c r="BYU45" s="318" t="s">
        <v>3319</v>
      </c>
      <c r="BYV45" s="319" t="s">
        <v>3320</v>
      </c>
      <c r="BYW45" s="318" t="s">
        <v>3319</v>
      </c>
      <c r="BYX45" s="319" t="s">
        <v>3320</v>
      </c>
      <c r="BYY45" s="318" t="s">
        <v>3319</v>
      </c>
      <c r="BYZ45" s="319" t="s">
        <v>3320</v>
      </c>
      <c r="BZA45" s="318" t="s">
        <v>3319</v>
      </c>
      <c r="BZB45" s="319" t="s">
        <v>3320</v>
      </c>
      <c r="BZC45" s="318" t="s">
        <v>3319</v>
      </c>
      <c r="BZD45" s="319" t="s">
        <v>3320</v>
      </c>
      <c r="BZE45" s="318" t="s">
        <v>3319</v>
      </c>
      <c r="BZF45" s="319" t="s">
        <v>3320</v>
      </c>
      <c r="BZG45" s="318" t="s">
        <v>3319</v>
      </c>
      <c r="BZH45" s="319" t="s">
        <v>3320</v>
      </c>
      <c r="BZI45" s="318" t="s">
        <v>3319</v>
      </c>
      <c r="BZJ45" s="319" t="s">
        <v>3320</v>
      </c>
      <c r="BZK45" s="318" t="s">
        <v>3319</v>
      </c>
      <c r="BZL45" s="319" t="s">
        <v>3320</v>
      </c>
      <c r="BZM45" s="318" t="s">
        <v>3319</v>
      </c>
      <c r="BZN45" s="319" t="s">
        <v>3320</v>
      </c>
      <c r="BZO45" s="318" t="s">
        <v>3319</v>
      </c>
      <c r="BZP45" s="319" t="s">
        <v>3320</v>
      </c>
      <c r="BZQ45" s="318" t="s">
        <v>3319</v>
      </c>
      <c r="BZR45" s="319" t="s">
        <v>3320</v>
      </c>
      <c r="BZS45" s="318" t="s">
        <v>3319</v>
      </c>
      <c r="BZT45" s="319" t="s">
        <v>3320</v>
      </c>
      <c r="BZU45" s="318" t="s">
        <v>3319</v>
      </c>
      <c r="BZV45" s="319" t="s">
        <v>3320</v>
      </c>
      <c r="BZW45" s="318" t="s">
        <v>3319</v>
      </c>
      <c r="BZX45" s="319" t="s">
        <v>3320</v>
      </c>
      <c r="BZY45" s="318" t="s">
        <v>3319</v>
      </c>
      <c r="BZZ45" s="319" t="s">
        <v>3320</v>
      </c>
      <c r="CAA45" s="318" t="s">
        <v>3319</v>
      </c>
      <c r="CAB45" s="319" t="s">
        <v>3320</v>
      </c>
      <c r="CAC45" s="318" t="s">
        <v>3319</v>
      </c>
      <c r="CAD45" s="319" t="s">
        <v>3320</v>
      </c>
      <c r="CAE45" s="318" t="s">
        <v>3319</v>
      </c>
      <c r="CAF45" s="319" t="s">
        <v>3320</v>
      </c>
      <c r="CAG45" s="318" t="s">
        <v>3319</v>
      </c>
      <c r="CAH45" s="319" t="s">
        <v>3320</v>
      </c>
      <c r="CAI45" s="318" t="s">
        <v>3319</v>
      </c>
      <c r="CAJ45" s="319" t="s">
        <v>3320</v>
      </c>
      <c r="CAK45" s="318" t="s">
        <v>3319</v>
      </c>
      <c r="CAL45" s="319" t="s">
        <v>3320</v>
      </c>
      <c r="CAM45" s="318" t="s">
        <v>3319</v>
      </c>
      <c r="CAN45" s="319" t="s">
        <v>3320</v>
      </c>
      <c r="CAO45" s="318" t="s">
        <v>3319</v>
      </c>
      <c r="CAP45" s="319" t="s">
        <v>3320</v>
      </c>
      <c r="CAQ45" s="318" t="s">
        <v>3319</v>
      </c>
      <c r="CAR45" s="319" t="s">
        <v>3320</v>
      </c>
      <c r="CAS45" s="318" t="s">
        <v>3319</v>
      </c>
      <c r="CAT45" s="319" t="s">
        <v>3320</v>
      </c>
      <c r="CAU45" s="318" t="s">
        <v>3319</v>
      </c>
      <c r="CAV45" s="319" t="s">
        <v>3320</v>
      </c>
      <c r="CAW45" s="318" t="s">
        <v>3319</v>
      </c>
      <c r="CAX45" s="319" t="s">
        <v>3320</v>
      </c>
      <c r="CAY45" s="318" t="s">
        <v>3319</v>
      </c>
      <c r="CAZ45" s="319" t="s">
        <v>3320</v>
      </c>
      <c r="CBA45" s="318" t="s">
        <v>3319</v>
      </c>
      <c r="CBB45" s="319" t="s">
        <v>3320</v>
      </c>
      <c r="CBC45" s="318" t="s">
        <v>3319</v>
      </c>
      <c r="CBD45" s="319" t="s">
        <v>3320</v>
      </c>
      <c r="CBE45" s="318" t="s">
        <v>3319</v>
      </c>
      <c r="CBF45" s="319" t="s">
        <v>3320</v>
      </c>
      <c r="CBG45" s="318" t="s">
        <v>3319</v>
      </c>
      <c r="CBH45" s="319" t="s">
        <v>3320</v>
      </c>
      <c r="CBI45" s="318" t="s">
        <v>3319</v>
      </c>
      <c r="CBJ45" s="319" t="s">
        <v>3320</v>
      </c>
      <c r="CBK45" s="318" t="s">
        <v>3319</v>
      </c>
      <c r="CBL45" s="319" t="s">
        <v>3320</v>
      </c>
      <c r="CBM45" s="318" t="s">
        <v>3319</v>
      </c>
      <c r="CBN45" s="319" t="s">
        <v>3320</v>
      </c>
      <c r="CBO45" s="318" t="s">
        <v>3319</v>
      </c>
      <c r="CBP45" s="319" t="s">
        <v>3320</v>
      </c>
      <c r="CBQ45" s="318" t="s">
        <v>3319</v>
      </c>
      <c r="CBR45" s="319" t="s">
        <v>3320</v>
      </c>
      <c r="CBS45" s="318" t="s">
        <v>3319</v>
      </c>
      <c r="CBT45" s="319" t="s">
        <v>3320</v>
      </c>
      <c r="CBU45" s="318" t="s">
        <v>3319</v>
      </c>
      <c r="CBV45" s="319" t="s">
        <v>3320</v>
      </c>
      <c r="CBW45" s="318" t="s">
        <v>3319</v>
      </c>
      <c r="CBX45" s="319" t="s">
        <v>3320</v>
      </c>
      <c r="CBY45" s="318" t="s">
        <v>3319</v>
      </c>
      <c r="CBZ45" s="319" t="s">
        <v>3320</v>
      </c>
      <c r="CCA45" s="318" t="s">
        <v>3319</v>
      </c>
      <c r="CCB45" s="319" t="s">
        <v>3320</v>
      </c>
      <c r="CCC45" s="318" t="s">
        <v>3319</v>
      </c>
      <c r="CCD45" s="319" t="s">
        <v>3320</v>
      </c>
      <c r="CCE45" s="318" t="s">
        <v>3319</v>
      </c>
      <c r="CCF45" s="319" t="s">
        <v>3320</v>
      </c>
      <c r="CCG45" s="318" t="s">
        <v>3319</v>
      </c>
      <c r="CCH45" s="319" t="s">
        <v>3320</v>
      </c>
      <c r="CCI45" s="318" t="s">
        <v>3319</v>
      </c>
      <c r="CCJ45" s="319" t="s">
        <v>3320</v>
      </c>
      <c r="CCK45" s="318" t="s">
        <v>3319</v>
      </c>
      <c r="CCL45" s="319" t="s">
        <v>3320</v>
      </c>
      <c r="CCM45" s="318" t="s">
        <v>3319</v>
      </c>
      <c r="CCN45" s="319" t="s">
        <v>3320</v>
      </c>
      <c r="CCO45" s="318" t="s">
        <v>3319</v>
      </c>
      <c r="CCP45" s="319" t="s">
        <v>3320</v>
      </c>
      <c r="CCQ45" s="318" t="s">
        <v>3319</v>
      </c>
      <c r="CCR45" s="319" t="s">
        <v>3320</v>
      </c>
      <c r="CCS45" s="318" t="s">
        <v>3319</v>
      </c>
      <c r="CCT45" s="319" t="s">
        <v>3320</v>
      </c>
      <c r="CCU45" s="318" t="s">
        <v>3319</v>
      </c>
      <c r="CCV45" s="319" t="s">
        <v>3320</v>
      </c>
      <c r="CCW45" s="318" t="s">
        <v>3319</v>
      </c>
      <c r="CCX45" s="319" t="s">
        <v>3320</v>
      </c>
      <c r="CCY45" s="318" t="s">
        <v>3319</v>
      </c>
      <c r="CCZ45" s="319" t="s">
        <v>3320</v>
      </c>
      <c r="CDA45" s="318" t="s">
        <v>3319</v>
      </c>
      <c r="CDB45" s="319" t="s">
        <v>3320</v>
      </c>
      <c r="CDC45" s="318" t="s">
        <v>3319</v>
      </c>
      <c r="CDD45" s="319" t="s">
        <v>3320</v>
      </c>
      <c r="CDE45" s="318" t="s">
        <v>3319</v>
      </c>
      <c r="CDF45" s="319" t="s">
        <v>3320</v>
      </c>
      <c r="CDG45" s="318" t="s">
        <v>3319</v>
      </c>
      <c r="CDH45" s="319" t="s">
        <v>3320</v>
      </c>
      <c r="CDI45" s="318" t="s">
        <v>3319</v>
      </c>
      <c r="CDJ45" s="319" t="s">
        <v>3320</v>
      </c>
      <c r="CDK45" s="318" t="s">
        <v>3319</v>
      </c>
      <c r="CDL45" s="319" t="s">
        <v>3320</v>
      </c>
      <c r="CDM45" s="318" t="s">
        <v>3319</v>
      </c>
      <c r="CDN45" s="319" t="s">
        <v>3320</v>
      </c>
      <c r="CDO45" s="318" t="s">
        <v>3319</v>
      </c>
      <c r="CDP45" s="319" t="s">
        <v>3320</v>
      </c>
      <c r="CDQ45" s="318" t="s">
        <v>3319</v>
      </c>
      <c r="CDR45" s="319" t="s">
        <v>3320</v>
      </c>
      <c r="CDS45" s="318" t="s">
        <v>3319</v>
      </c>
      <c r="CDT45" s="319" t="s">
        <v>3320</v>
      </c>
      <c r="CDU45" s="318" t="s">
        <v>3319</v>
      </c>
      <c r="CDV45" s="319" t="s">
        <v>3320</v>
      </c>
      <c r="CDW45" s="318" t="s">
        <v>3319</v>
      </c>
      <c r="CDX45" s="319" t="s">
        <v>3320</v>
      </c>
      <c r="CDY45" s="318" t="s">
        <v>3319</v>
      </c>
      <c r="CDZ45" s="319" t="s">
        <v>3320</v>
      </c>
      <c r="CEA45" s="318" t="s">
        <v>3319</v>
      </c>
      <c r="CEB45" s="319" t="s">
        <v>3320</v>
      </c>
      <c r="CEC45" s="318" t="s">
        <v>3319</v>
      </c>
      <c r="CED45" s="319" t="s">
        <v>3320</v>
      </c>
      <c r="CEE45" s="318" t="s">
        <v>3319</v>
      </c>
      <c r="CEF45" s="319" t="s">
        <v>3320</v>
      </c>
      <c r="CEG45" s="318" t="s">
        <v>3319</v>
      </c>
      <c r="CEH45" s="319" t="s">
        <v>3320</v>
      </c>
      <c r="CEI45" s="318" t="s">
        <v>3319</v>
      </c>
      <c r="CEJ45" s="319" t="s">
        <v>3320</v>
      </c>
      <c r="CEK45" s="318" t="s">
        <v>3319</v>
      </c>
      <c r="CEL45" s="319" t="s">
        <v>3320</v>
      </c>
      <c r="CEM45" s="318" t="s">
        <v>3319</v>
      </c>
      <c r="CEN45" s="319" t="s">
        <v>3320</v>
      </c>
      <c r="CEO45" s="318" t="s">
        <v>3319</v>
      </c>
      <c r="CEP45" s="319" t="s">
        <v>3320</v>
      </c>
      <c r="CEQ45" s="318" t="s">
        <v>3319</v>
      </c>
      <c r="CER45" s="319" t="s">
        <v>3320</v>
      </c>
      <c r="CES45" s="318" t="s">
        <v>3319</v>
      </c>
      <c r="CET45" s="319" t="s">
        <v>3320</v>
      </c>
      <c r="CEU45" s="318" t="s">
        <v>3319</v>
      </c>
      <c r="CEV45" s="319" t="s">
        <v>3320</v>
      </c>
      <c r="CEW45" s="318" t="s">
        <v>3319</v>
      </c>
      <c r="CEX45" s="319" t="s">
        <v>3320</v>
      </c>
      <c r="CEY45" s="318" t="s">
        <v>3319</v>
      </c>
      <c r="CEZ45" s="319" t="s">
        <v>3320</v>
      </c>
      <c r="CFA45" s="318" t="s">
        <v>3319</v>
      </c>
      <c r="CFB45" s="319" t="s">
        <v>3320</v>
      </c>
      <c r="CFC45" s="318" t="s">
        <v>3319</v>
      </c>
      <c r="CFD45" s="319" t="s">
        <v>3320</v>
      </c>
      <c r="CFE45" s="318" t="s">
        <v>3319</v>
      </c>
      <c r="CFF45" s="319" t="s">
        <v>3320</v>
      </c>
      <c r="CFG45" s="318" t="s">
        <v>3319</v>
      </c>
      <c r="CFH45" s="319" t="s">
        <v>3320</v>
      </c>
      <c r="CFI45" s="318" t="s">
        <v>3319</v>
      </c>
      <c r="CFJ45" s="319" t="s">
        <v>3320</v>
      </c>
      <c r="CFK45" s="318" t="s">
        <v>3319</v>
      </c>
      <c r="CFL45" s="319" t="s">
        <v>3320</v>
      </c>
      <c r="CFM45" s="318" t="s">
        <v>3319</v>
      </c>
      <c r="CFN45" s="319" t="s">
        <v>3320</v>
      </c>
      <c r="CFO45" s="318" t="s">
        <v>3319</v>
      </c>
      <c r="CFP45" s="319" t="s">
        <v>3320</v>
      </c>
      <c r="CFQ45" s="318" t="s">
        <v>3319</v>
      </c>
      <c r="CFR45" s="319" t="s">
        <v>3320</v>
      </c>
      <c r="CFS45" s="318" t="s">
        <v>3319</v>
      </c>
      <c r="CFT45" s="319" t="s">
        <v>3320</v>
      </c>
      <c r="CFU45" s="318" t="s">
        <v>3319</v>
      </c>
      <c r="CFV45" s="319" t="s">
        <v>3320</v>
      </c>
      <c r="CFW45" s="318" t="s">
        <v>3319</v>
      </c>
      <c r="CFX45" s="319" t="s">
        <v>3320</v>
      </c>
      <c r="CFY45" s="318" t="s">
        <v>3319</v>
      </c>
      <c r="CFZ45" s="319" t="s">
        <v>3320</v>
      </c>
      <c r="CGA45" s="318" t="s">
        <v>3319</v>
      </c>
      <c r="CGB45" s="319" t="s">
        <v>3320</v>
      </c>
      <c r="CGC45" s="318" t="s">
        <v>3319</v>
      </c>
      <c r="CGD45" s="319" t="s">
        <v>3320</v>
      </c>
      <c r="CGE45" s="318" t="s">
        <v>3319</v>
      </c>
      <c r="CGF45" s="319" t="s">
        <v>3320</v>
      </c>
      <c r="CGG45" s="318" t="s">
        <v>3319</v>
      </c>
      <c r="CGH45" s="319" t="s">
        <v>3320</v>
      </c>
      <c r="CGI45" s="318" t="s">
        <v>3319</v>
      </c>
      <c r="CGJ45" s="319" t="s">
        <v>3320</v>
      </c>
      <c r="CGK45" s="318" t="s">
        <v>3319</v>
      </c>
      <c r="CGL45" s="319" t="s">
        <v>3320</v>
      </c>
      <c r="CGM45" s="318" t="s">
        <v>3319</v>
      </c>
      <c r="CGN45" s="319" t="s">
        <v>3320</v>
      </c>
      <c r="CGO45" s="318" t="s">
        <v>3319</v>
      </c>
      <c r="CGP45" s="319" t="s">
        <v>3320</v>
      </c>
      <c r="CGQ45" s="318" t="s">
        <v>3319</v>
      </c>
      <c r="CGR45" s="319" t="s">
        <v>3320</v>
      </c>
      <c r="CGS45" s="318" t="s">
        <v>3319</v>
      </c>
      <c r="CGT45" s="319" t="s">
        <v>3320</v>
      </c>
      <c r="CGU45" s="318" t="s">
        <v>3319</v>
      </c>
      <c r="CGV45" s="319" t="s">
        <v>3320</v>
      </c>
      <c r="CGW45" s="318" t="s">
        <v>3319</v>
      </c>
      <c r="CGX45" s="319" t="s">
        <v>3320</v>
      </c>
      <c r="CGY45" s="318" t="s">
        <v>3319</v>
      </c>
      <c r="CGZ45" s="319" t="s">
        <v>3320</v>
      </c>
      <c r="CHA45" s="318" t="s">
        <v>3319</v>
      </c>
      <c r="CHB45" s="319" t="s">
        <v>3320</v>
      </c>
      <c r="CHC45" s="318" t="s">
        <v>3319</v>
      </c>
      <c r="CHD45" s="319" t="s">
        <v>3320</v>
      </c>
      <c r="CHE45" s="318" t="s">
        <v>3319</v>
      </c>
      <c r="CHF45" s="319" t="s">
        <v>3320</v>
      </c>
      <c r="CHG45" s="318" t="s">
        <v>3319</v>
      </c>
      <c r="CHH45" s="319" t="s">
        <v>3320</v>
      </c>
      <c r="CHI45" s="318" t="s">
        <v>3319</v>
      </c>
      <c r="CHJ45" s="319" t="s">
        <v>3320</v>
      </c>
      <c r="CHK45" s="318" t="s">
        <v>3319</v>
      </c>
      <c r="CHL45" s="319" t="s">
        <v>3320</v>
      </c>
      <c r="CHM45" s="318" t="s">
        <v>3319</v>
      </c>
      <c r="CHN45" s="319" t="s">
        <v>3320</v>
      </c>
      <c r="CHO45" s="318" t="s">
        <v>3319</v>
      </c>
      <c r="CHP45" s="319" t="s">
        <v>3320</v>
      </c>
      <c r="CHQ45" s="318" t="s">
        <v>3319</v>
      </c>
      <c r="CHR45" s="319" t="s">
        <v>3320</v>
      </c>
      <c r="CHS45" s="318" t="s">
        <v>3319</v>
      </c>
      <c r="CHT45" s="319" t="s">
        <v>3320</v>
      </c>
      <c r="CHU45" s="318" t="s">
        <v>3319</v>
      </c>
      <c r="CHV45" s="319" t="s">
        <v>3320</v>
      </c>
      <c r="CHW45" s="318" t="s">
        <v>3319</v>
      </c>
      <c r="CHX45" s="319" t="s">
        <v>3320</v>
      </c>
      <c r="CHY45" s="318" t="s">
        <v>3319</v>
      </c>
      <c r="CHZ45" s="319" t="s">
        <v>3320</v>
      </c>
      <c r="CIA45" s="318" t="s">
        <v>3319</v>
      </c>
      <c r="CIB45" s="319" t="s">
        <v>3320</v>
      </c>
      <c r="CIC45" s="318" t="s">
        <v>3319</v>
      </c>
      <c r="CID45" s="319" t="s">
        <v>3320</v>
      </c>
      <c r="CIE45" s="318" t="s">
        <v>3319</v>
      </c>
      <c r="CIF45" s="319" t="s">
        <v>3320</v>
      </c>
      <c r="CIG45" s="318" t="s">
        <v>3319</v>
      </c>
      <c r="CIH45" s="319" t="s">
        <v>3320</v>
      </c>
      <c r="CII45" s="318" t="s">
        <v>3319</v>
      </c>
      <c r="CIJ45" s="319" t="s">
        <v>3320</v>
      </c>
      <c r="CIK45" s="318" t="s">
        <v>3319</v>
      </c>
      <c r="CIL45" s="319" t="s">
        <v>3320</v>
      </c>
      <c r="CIM45" s="318" t="s">
        <v>3319</v>
      </c>
      <c r="CIN45" s="319" t="s">
        <v>3320</v>
      </c>
      <c r="CIO45" s="318" t="s">
        <v>3319</v>
      </c>
      <c r="CIP45" s="319" t="s">
        <v>3320</v>
      </c>
      <c r="CIQ45" s="318" t="s">
        <v>3319</v>
      </c>
      <c r="CIR45" s="319" t="s">
        <v>3320</v>
      </c>
      <c r="CIS45" s="318" t="s">
        <v>3319</v>
      </c>
      <c r="CIT45" s="319" t="s">
        <v>3320</v>
      </c>
      <c r="CIU45" s="318" t="s">
        <v>3319</v>
      </c>
      <c r="CIV45" s="319" t="s">
        <v>3320</v>
      </c>
      <c r="CIW45" s="318" t="s">
        <v>3319</v>
      </c>
      <c r="CIX45" s="319" t="s">
        <v>3320</v>
      </c>
      <c r="CIY45" s="318" t="s">
        <v>3319</v>
      </c>
      <c r="CIZ45" s="319" t="s">
        <v>3320</v>
      </c>
      <c r="CJA45" s="318" t="s">
        <v>3319</v>
      </c>
      <c r="CJB45" s="319" t="s">
        <v>3320</v>
      </c>
      <c r="CJC45" s="318" t="s">
        <v>3319</v>
      </c>
      <c r="CJD45" s="319" t="s">
        <v>3320</v>
      </c>
      <c r="CJE45" s="318" t="s">
        <v>3319</v>
      </c>
      <c r="CJF45" s="319" t="s">
        <v>3320</v>
      </c>
      <c r="CJG45" s="318" t="s">
        <v>3319</v>
      </c>
      <c r="CJH45" s="319" t="s">
        <v>3320</v>
      </c>
      <c r="CJI45" s="318" t="s">
        <v>3319</v>
      </c>
      <c r="CJJ45" s="319" t="s">
        <v>3320</v>
      </c>
      <c r="CJK45" s="318" t="s">
        <v>3319</v>
      </c>
      <c r="CJL45" s="319" t="s">
        <v>3320</v>
      </c>
      <c r="CJM45" s="318" t="s">
        <v>3319</v>
      </c>
      <c r="CJN45" s="319" t="s">
        <v>3320</v>
      </c>
      <c r="CJO45" s="318" t="s">
        <v>3319</v>
      </c>
      <c r="CJP45" s="319" t="s">
        <v>3320</v>
      </c>
      <c r="CJQ45" s="318" t="s">
        <v>3319</v>
      </c>
      <c r="CJR45" s="319" t="s">
        <v>3320</v>
      </c>
      <c r="CJS45" s="318" t="s">
        <v>3319</v>
      </c>
      <c r="CJT45" s="319" t="s">
        <v>3320</v>
      </c>
      <c r="CJU45" s="318" t="s">
        <v>3319</v>
      </c>
      <c r="CJV45" s="319" t="s">
        <v>3320</v>
      </c>
      <c r="CJW45" s="318" t="s">
        <v>3319</v>
      </c>
      <c r="CJX45" s="319" t="s">
        <v>3320</v>
      </c>
      <c r="CJY45" s="318" t="s">
        <v>3319</v>
      </c>
      <c r="CJZ45" s="319" t="s">
        <v>3320</v>
      </c>
      <c r="CKA45" s="318" t="s">
        <v>3319</v>
      </c>
      <c r="CKB45" s="319" t="s">
        <v>3320</v>
      </c>
      <c r="CKC45" s="318" t="s">
        <v>3319</v>
      </c>
      <c r="CKD45" s="319" t="s">
        <v>3320</v>
      </c>
      <c r="CKE45" s="318" t="s">
        <v>3319</v>
      </c>
      <c r="CKF45" s="319" t="s">
        <v>3320</v>
      </c>
      <c r="CKG45" s="318" t="s">
        <v>3319</v>
      </c>
      <c r="CKH45" s="319" t="s">
        <v>3320</v>
      </c>
      <c r="CKI45" s="318" t="s">
        <v>3319</v>
      </c>
      <c r="CKJ45" s="319" t="s">
        <v>3320</v>
      </c>
      <c r="CKK45" s="318" t="s">
        <v>3319</v>
      </c>
      <c r="CKL45" s="319" t="s">
        <v>3320</v>
      </c>
      <c r="CKM45" s="318" t="s">
        <v>3319</v>
      </c>
      <c r="CKN45" s="319" t="s">
        <v>3320</v>
      </c>
      <c r="CKO45" s="318" t="s">
        <v>3319</v>
      </c>
      <c r="CKP45" s="319" t="s">
        <v>3320</v>
      </c>
      <c r="CKQ45" s="318" t="s">
        <v>3319</v>
      </c>
      <c r="CKR45" s="319" t="s">
        <v>3320</v>
      </c>
      <c r="CKS45" s="318" t="s">
        <v>3319</v>
      </c>
      <c r="CKT45" s="319" t="s">
        <v>3320</v>
      </c>
      <c r="CKU45" s="318" t="s">
        <v>3319</v>
      </c>
      <c r="CKV45" s="319" t="s">
        <v>3320</v>
      </c>
      <c r="CKW45" s="318" t="s">
        <v>3319</v>
      </c>
      <c r="CKX45" s="319" t="s">
        <v>3320</v>
      </c>
      <c r="CKY45" s="318" t="s">
        <v>3319</v>
      </c>
      <c r="CKZ45" s="319" t="s">
        <v>3320</v>
      </c>
      <c r="CLA45" s="318" t="s">
        <v>3319</v>
      </c>
      <c r="CLB45" s="319" t="s">
        <v>3320</v>
      </c>
      <c r="CLC45" s="318" t="s">
        <v>3319</v>
      </c>
      <c r="CLD45" s="319" t="s">
        <v>3320</v>
      </c>
      <c r="CLE45" s="318" t="s">
        <v>3319</v>
      </c>
      <c r="CLF45" s="319" t="s">
        <v>3320</v>
      </c>
      <c r="CLG45" s="318" t="s">
        <v>3319</v>
      </c>
      <c r="CLH45" s="319" t="s">
        <v>3320</v>
      </c>
      <c r="CLI45" s="318" t="s">
        <v>3319</v>
      </c>
      <c r="CLJ45" s="319" t="s">
        <v>3320</v>
      </c>
      <c r="CLK45" s="318" t="s">
        <v>3319</v>
      </c>
      <c r="CLL45" s="319" t="s">
        <v>3320</v>
      </c>
      <c r="CLM45" s="318" t="s">
        <v>3319</v>
      </c>
      <c r="CLN45" s="319" t="s">
        <v>3320</v>
      </c>
      <c r="CLO45" s="318" t="s">
        <v>3319</v>
      </c>
      <c r="CLP45" s="319" t="s">
        <v>3320</v>
      </c>
      <c r="CLQ45" s="318" t="s">
        <v>3319</v>
      </c>
      <c r="CLR45" s="319" t="s">
        <v>3320</v>
      </c>
      <c r="CLS45" s="318" t="s">
        <v>3319</v>
      </c>
      <c r="CLT45" s="319" t="s">
        <v>3320</v>
      </c>
      <c r="CLU45" s="318" t="s">
        <v>3319</v>
      </c>
      <c r="CLV45" s="319" t="s">
        <v>3320</v>
      </c>
      <c r="CLW45" s="318" t="s">
        <v>3319</v>
      </c>
      <c r="CLX45" s="319" t="s">
        <v>3320</v>
      </c>
      <c r="CLY45" s="318" t="s">
        <v>3319</v>
      </c>
      <c r="CLZ45" s="319" t="s">
        <v>3320</v>
      </c>
      <c r="CMA45" s="318" t="s">
        <v>3319</v>
      </c>
      <c r="CMB45" s="319" t="s">
        <v>3320</v>
      </c>
      <c r="CMC45" s="318" t="s">
        <v>3319</v>
      </c>
      <c r="CMD45" s="319" t="s">
        <v>3320</v>
      </c>
      <c r="CME45" s="318" t="s">
        <v>3319</v>
      </c>
      <c r="CMF45" s="319" t="s">
        <v>3320</v>
      </c>
      <c r="CMG45" s="318" t="s">
        <v>3319</v>
      </c>
      <c r="CMH45" s="319" t="s">
        <v>3320</v>
      </c>
      <c r="CMI45" s="318" t="s">
        <v>3319</v>
      </c>
      <c r="CMJ45" s="319" t="s">
        <v>3320</v>
      </c>
      <c r="CMK45" s="318" t="s">
        <v>3319</v>
      </c>
      <c r="CML45" s="319" t="s">
        <v>3320</v>
      </c>
      <c r="CMM45" s="318" t="s">
        <v>3319</v>
      </c>
      <c r="CMN45" s="319" t="s">
        <v>3320</v>
      </c>
      <c r="CMO45" s="318" t="s">
        <v>3319</v>
      </c>
      <c r="CMP45" s="319" t="s">
        <v>3320</v>
      </c>
      <c r="CMQ45" s="318" t="s">
        <v>3319</v>
      </c>
      <c r="CMR45" s="319" t="s">
        <v>3320</v>
      </c>
      <c r="CMS45" s="318" t="s">
        <v>3319</v>
      </c>
      <c r="CMT45" s="319" t="s">
        <v>3320</v>
      </c>
      <c r="CMU45" s="318" t="s">
        <v>3319</v>
      </c>
      <c r="CMV45" s="319" t="s">
        <v>3320</v>
      </c>
      <c r="CMW45" s="318" t="s">
        <v>3319</v>
      </c>
      <c r="CMX45" s="319" t="s">
        <v>3320</v>
      </c>
      <c r="CMY45" s="318" t="s">
        <v>3319</v>
      </c>
      <c r="CMZ45" s="319" t="s">
        <v>3320</v>
      </c>
      <c r="CNA45" s="318" t="s">
        <v>3319</v>
      </c>
      <c r="CNB45" s="319" t="s">
        <v>3320</v>
      </c>
      <c r="CNC45" s="318" t="s">
        <v>3319</v>
      </c>
      <c r="CND45" s="319" t="s">
        <v>3320</v>
      </c>
      <c r="CNE45" s="318" t="s">
        <v>3319</v>
      </c>
      <c r="CNF45" s="319" t="s">
        <v>3320</v>
      </c>
      <c r="CNG45" s="318" t="s">
        <v>3319</v>
      </c>
      <c r="CNH45" s="319" t="s">
        <v>3320</v>
      </c>
      <c r="CNI45" s="318" t="s">
        <v>3319</v>
      </c>
      <c r="CNJ45" s="319" t="s">
        <v>3320</v>
      </c>
      <c r="CNK45" s="318" t="s">
        <v>3319</v>
      </c>
      <c r="CNL45" s="319" t="s">
        <v>3320</v>
      </c>
      <c r="CNM45" s="318" t="s">
        <v>3319</v>
      </c>
      <c r="CNN45" s="319" t="s">
        <v>3320</v>
      </c>
      <c r="CNO45" s="318" t="s">
        <v>3319</v>
      </c>
      <c r="CNP45" s="319" t="s">
        <v>3320</v>
      </c>
      <c r="CNQ45" s="318" t="s">
        <v>3319</v>
      </c>
      <c r="CNR45" s="319" t="s">
        <v>3320</v>
      </c>
      <c r="CNS45" s="318" t="s">
        <v>3319</v>
      </c>
      <c r="CNT45" s="319" t="s">
        <v>3320</v>
      </c>
      <c r="CNU45" s="318" t="s">
        <v>3319</v>
      </c>
      <c r="CNV45" s="319" t="s">
        <v>3320</v>
      </c>
      <c r="CNW45" s="318" t="s">
        <v>3319</v>
      </c>
      <c r="CNX45" s="319" t="s">
        <v>3320</v>
      </c>
      <c r="CNY45" s="318" t="s">
        <v>3319</v>
      </c>
      <c r="CNZ45" s="319" t="s">
        <v>3320</v>
      </c>
      <c r="COA45" s="318" t="s">
        <v>3319</v>
      </c>
      <c r="COB45" s="319" t="s">
        <v>3320</v>
      </c>
      <c r="COC45" s="318" t="s">
        <v>3319</v>
      </c>
      <c r="COD45" s="319" t="s">
        <v>3320</v>
      </c>
      <c r="COE45" s="318" t="s">
        <v>3319</v>
      </c>
      <c r="COF45" s="319" t="s">
        <v>3320</v>
      </c>
      <c r="COG45" s="318" t="s">
        <v>3319</v>
      </c>
      <c r="COH45" s="319" t="s">
        <v>3320</v>
      </c>
      <c r="COI45" s="318" t="s">
        <v>3319</v>
      </c>
      <c r="COJ45" s="319" t="s">
        <v>3320</v>
      </c>
      <c r="COK45" s="318" t="s">
        <v>3319</v>
      </c>
      <c r="COL45" s="319" t="s">
        <v>3320</v>
      </c>
      <c r="COM45" s="318" t="s">
        <v>3319</v>
      </c>
      <c r="CON45" s="319" t="s">
        <v>3320</v>
      </c>
      <c r="COO45" s="318" t="s">
        <v>3319</v>
      </c>
      <c r="COP45" s="319" t="s">
        <v>3320</v>
      </c>
      <c r="COQ45" s="318" t="s">
        <v>3319</v>
      </c>
      <c r="COR45" s="319" t="s">
        <v>3320</v>
      </c>
      <c r="COS45" s="318" t="s">
        <v>3319</v>
      </c>
      <c r="COT45" s="319" t="s">
        <v>3320</v>
      </c>
      <c r="COU45" s="318" t="s">
        <v>3319</v>
      </c>
      <c r="COV45" s="319" t="s">
        <v>3320</v>
      </c>
      <c r="COW45" s="318" t="s">
        <v>3319</v>
      </c>
      <c r="COX45" s="319" t="s">
        <v>3320</v>
      </c>
      <c r="COY45" s="318" t="s">
        <v>3319</v>
      </c>
      <c r="COZ45" s="319" t="s">
        <v>3320</v>
      </c>
      <c r="CPA45" s="318" t="s">
        <v>3319</v>
      </c>
      <c r="CPB45" s="319" t="s">
        <v>3320</v>
      </c>
      <c r="CPC45" s="318" t="s">
        <v>3319</v>
      </c>
      <c r="CPD45" s="319" t="s">
        <v>3320</v>
      </c>
      <c r="CPE45" s="318" t="s">
        <v>3319</v>
      </c>
      <c r="CPF45" s="319" t="s">
        <v>3320</v>
      </c>
      <c r="CPG45" s="318" t="s">
        <v>3319</v>
      </c>
      <c r="CPH45" s="319" t="s">
        <v>3320</v>
      </c>
      <c r="CPI45" s="318" t="s">
        <v>3319</v>
      </c>
      <c r="CPJ45" s="319" t="s">
        <v>3320</v>
      </c>
      <c r="CPK45" s="318" t="s">
        <v>3319</v>
      </c>
      <c r="CPL45" s="319" t="s">
        <v>3320</v>
      </c>
      <c r="CPM45" s="318" t="s">
        <v>3319</v>
      </c>
      <c r="CPN45" s="319" t="s">
        <v>3320</v>
      </c>
      <c r="CPO45" s="318" t="s">
        <v>3319</v>
      </c>
      <c r="CPP45" s="319" t="s">
        <v>3320</v>
      </c>
      <c r="CPQ45" s="318" t="s">
        <v>3319</v>
      </c>
      <c r="CPR45" s="319" t="s">
        <v>3320</v>
      </c>
      <c r="CPS45" s="318" t="s">
        <v>3319</v>
      </c>
      <c r="CPT45" s="319" t="s">
        <v>3320</v>
      </c>
      <c r="CPU45" s="318" t="s">
        <v>3319</v>
      </c>
      <c r="CPV45" s="319" t="s">
        <v>3320</v>
      </c>
      <c r="CPW45" s="318" t="s">
        <v>3319</v>
      </c>
      <c r="CPX45" s="319" t="s">
        <v>3320</v>
      </c>
      <c r="CPY45" s="318" t="s">
        <v>3319</v>
      </c>
      <c r="CPZ45" s="319" t="s">
        <v>3320</v>
      </c>
      <c r="CQA45" s="318" t="s">
        <v>3319</v>
      </c>
      <c r="CQB45" s="319" t="s">
        <v>3320</v>
      </c>
      <c r="CQC45" s="318" t="s">
        <v>3319</v>
      </c>
      <c r="CQD45" s="319" t="s">
        <v>3320</v>
      </c>
      <c r="CQE45" s="318" t="s">
        <v>3319</v>
      </c>
      <c r="CQF45" s="319" t="s">
        <v>3320</v>
      </c>
      <c r="CQG45" s="318" t="s">
        <v>3319</v>
      </c>
      <c r="CQH45" s="319" t="s">
        <v>3320</v>
      </c>
      <c r="CQI45" s="318" t="s">
        <v>3319</v>
      </c>
      <c r="CQJ45" s="319" t="s">
        <v>3320</v>
      </c>
      <c r="CQK45" s="318" t="s">
        <v>3319</v>
      </c>
      <c r="CQL45" s="319" t="s">
        <v>3320</v>
      </c>
      <c r="CQM45" s="318" t="s">
        <v>3319</v>
      </c>
      <c r="CQN45" s="319" t="s">
        <v>3320</v>
      </c>
      <c r="CQO45" s="318" t="s">
        <v>3319</v>
      </c>
      <c r="CQP45" s="319" t="s">
        <v>3320</v>
      </c>
      <c r="CQQ45" s="318" t="s">
        <v>3319</v>
      </c>
      <c r="CQR45" s="319" t="s">
        <v>3320</v>
      </c>
      <c r="CQS45" s="318" t="s">
        <v>3319</v>
      </c>
      <c r="CQT45" s="319" t="s">
        <v>3320</v>
      </c>
      <c r="CQU45" s="318" t="s">
        <v>3319</v>
      </c>
      <c r="CQV45" s="319" t="s">
        <v>3320</v>
      </c>
      <c r="CQW45" s="318" t="s">
        <v>3319</v>
      </c>
      <c r="CQX45" s="319" t="s">
        <v>3320</v>
      </c>
      <c r="CQY45" s="318" t="s">
        <v>3319</v>
      </c>
      <c r="CQZ45" s="319" t="s">
        <v>3320</v>
      </c>
      <c r="CRA45" s="318" t="s">
        <v>3319</v>
      </c>
      <c r="CRB45" s="319" t="s">
        <v>3320</v>
      </c>
      <c r="CRC45" s="318" t="s">
        <v>3319</v>
      </c>
      <c r="CRD45" s="319" t="s">
        <v>3320</v>
      </c>
      <c r="CRE45" s="318" t="s">
        <v>3319</v>
      </c>
      <c r="CRF45" s="319" t="s">
        <v>3320</v>
      </c>
      <c r="CRG45" s="318" t="s">
        <v>3319</v>
      </c>
      <c r="CRH45" s="319" t="s">
        <v>3320</v>
      </c>
      <c r="CRI45" s="318" t="s">
        <v>3319</v>
      </c>
      <c r="CRJ45" s="319" t="s">
        <v>3320</v>
      </c>
      <c r="CRK45" s="318" t="s">
        <v>3319</v>
      </c>
      <c r="CRL45" s="319" t="s">
        <v>3320</v>
      </c>
      <c r="CRM45" s="318" t="s">
        <v>3319</v>
      </c>
      <c r="CRN45" s="319" t="s">
        <v>3320</v>
      </c>
      <c r="CRO45" s="318" t="s">
        <v>3319</v>
      </c>
      <c r="CRP45" s="319" t="s">
        <v>3320</v>
      </c>
      <c r="CRQ45" s="318" t="s">
        <v>3319</v>
      </c>
      <c r="CRR45" s="319" t="s">
        <v>3320</v>
      </c>
      <c r="CRS45" s="318" t="s">
        <v>3319</v>
      </c>
      <c r="CRT45" s="319" t="s">
        <v>3320</v>
      </c>
      <c r="CRU45" s="318" t="s">
        <v>3319</v>
      </c>
      <c r="CRV45" s="319" t="s">
        <v>3320</v>
      </c>
      <c r="CRW45" s="318" t="s">
        <v>3319</v>
      </c>
      <c r="CRX45" s="319" t="s">
        <v>3320</v>
      </c>
      <c r="CRY45" s="318" t="s">
        <v>3319</v>
      </c>
      <c r="CRZ45" s="319" t="s">
        <v>3320</v>
      </c>
      <c r="CSA45" s="318" t="s">
        <v>3319</v>
      </c>
      <c r="CSB45" s="319" t="s">
        <v>3320</v>
      </c>
      <c r="CSC45" s="318" t="s">
        <v>3319</v>
      </c>
      <c r="CSD45" s="319" t="s">
        <v>3320</v>
      </c>
      <c r="CSE45" s="318" t="s">
        <v>3319</v>
      </c>
      <c r="CSF45" s="319" t="s">
        <v>3320</v>
      </c>
      <c r="CSG45" s="318" t="s">
        <v>3319</v>
      </c>
      <c r="CSH45" s="319" t="s">
        <v>3320</v>
      </c>
      <c r="CSI45" s="318" t="s">
        <v>3319</v>
      </c>
      <c r="CSJ45" s="319" t="s">
        <v>3320</v>
      </c>
      <c r="CSK45" s="318" t="s">
        <v>3319</v>
      </c>
      <c r="CSL45" s="319" t="s">
        <v>3320</v>
      </c>
      <c r="CSM45" s="318" t="s">
        <v>3319</v>
      </c>
      <c r="CSN45" s="319" t="s">
        <v>3320</v>
      </c>
      <c r="CSO45" s="318" t="s">
        <v>3319</v>
      </c>
      <c r="CSP45" s="319" t="s">
        <v>3320</v>
      </c>
      <c r="CSQ45" s="318" t="s">
        <v>3319</v>
      </c>
      <c r="CSR45" s="319" t="s">
        <v>3320</v>
      </c>
      <c r="CSS45" s="318" t="s">
        <v>3319</v>
      </c>
      <c r="CST45" s="319" t="s">
        <v>3320</v>
      </c>
      <c r="CSU45" s="318" t="s">
        <v>3319</v>
      </c>
      <c r="CSV45" s="319" t="s">
        <v>3320</v>
      </c>
      <c r="CSW45" s="318" t="s">
        <v>3319</v>
      </c>
      <c r="CSX45" s="319" t="s">
        <v>3320</v>
      </c>
      <c r="CSY45" s="318" t="s">
        <v>3319</v>
      </c>
      <c r="CSZ45" s="319" t="s">
        <v>3320</v>
      </c>
      <c r="CTA45" s="318" t="s">
        <v>3319</v>
      </c>
      <c r="CTB45" s="319" t="s">
        <v>3320</v>
      </c>
      <c r="CTC45" s="318" t="s">
        <v>3319</v>
      </c>
      <c r="CTD45" s="319" t="s">
        <v>3320</v>
      </c>
      <c r="CTE45" s="318" t="s">
        <v>3319</v>
      </c>
      <c r="CTF45" s="319" t="s">
        <v>3320</v>
      </c>
      <c r="CTG45" s="318" t="s">
        <v>3319</v>
      </c>
      <c r="CTH45" s="319" t="s">
        <v>3320</v>
      </c>
      <c r="CTI45" s="318" t="s">
        <v>3319</v>
      </c>
      <c r="CTJ45" s="319" t="s">
        <v>3320</v>
      </c>
      <c r="CTK45" s="318" t="s">
        <v>3319</v>
      </c>
      <c r="CTL45" s="319" t="s">
        <v>3320</v>
      </c>
      <c r="CTM45" s="318" t="s">
        <v>3319</v>
      </c>
      <c r="CTN45" s="319" t="s">
        <v>3320</v>
      </c>
      <c r="CTO45" s="318" t="s">
        <v>3319</v>
      </c>
      <c r="CTP45" s="319" t="s">
        <v>3320</v>
      </c>
      <c r="CTQ45" s="318" t="s">
        <v>3319</v>
      </c>
      <c r="CTR45" s="319" t="s">
        <v>3320</v>
      </c>
      <c r="CTS45" s="318" t="s">
        <v>3319</v>
      </c>
      <c r="CTT45" s="319" t="s">
        <v>3320</v>
      </c>
      <c r="CTU45" s="318" t="s">
        <v>3319</v>
      </c>
      <c r="CTV45" s="319" t="s">
        <v>3320</v>
      </c>
      <c r="CTW45" s="318" t="s">
        <v>3319</v>
      </c>
      <c r="CTX45" s="319" t="s">
        <v>3320</v>
      </c>
      <c r="CTY45" s="318" t="s">
        <v>3319</v>
      </c>
      <c r="CTZ45" s="319" t="s">
        <v>3320</v>
      </c>
      <c r="CUA45" s="318" t="s">
        <v>3319</v>
      </c>
      <c r="CUB45" s="319" t="s">
        <v>3320</v>
      </c>
      <c r="CUC45" s="318" t="s">
        <v>3319</v>
      </c>
      <c r="CUD45" s="319" t="s">
        <v>3320</v>
      </c>
      <c r="CUE45" s="318" t="s">
        <v>3319</v>
      </c>
      <c r="CUF45" s="319" t="s">
        <v>3320</v>
      </c>
      <c r="CUG45" s="318" t="s">
        <v>3319</v>
      </c>
      <c r="CUH45" s="319" t="s">
        <v>3320</v>
      </c>
      <c r="CUI45" s="318" t="s">
        <v>3319</v>
      </c>
      <c r="CUJ45" s="319" t="s">
        <v>3320</v>
      </c>
      <c r="CUK45" s="318" t="s">
        <v>3319</v>
      </c>
      <c r="CUL45" s="319" t="s">
        <v>3320</v>
      </c>
      <c r="CUM45" s="318" t="s">
        <v>3319</v>
      </c>
      <c r="CUN45" s="319" t="s">
        <v>3320</v>
      </c>
      <c r="CUO45" s="318" t="s">
        <v>3319</v>
      </c>
      <c r="CUP45" s="319" t="s">
        <v>3320</v>
      </c>
      <c r="CUQ45" s="318" t="s">
        <v>3319</v>
      </c>
      <c r="CUR45" s="319" t="s">
        <v>3320</v>
      </c>
      <c r="CUS45" s="318" t="s">
        <v>3319</v>
      </c>
      <c r="CUT45" s="319" t="s">
        <v>3320</v>
      </c>
      <c r="CUU45" s="318" t="s">
        <v>3319</v>
      </c>
      <c r="CUV45" s="319" t="s">
        <v>3320</v>
      </c>
      <c r="CUW45" s="318" t="s">
        <v>3319</v>
      </c>
      <c r="CUX45" s="319" t="s">
        <v>3320</v>
      </c>
      <c r="CUY45" s="318" t="s">
        <v>3319</v>
      </c>
      <c r="CUZ45" s="319" t="s">
        <v>3320</v>
      </c>
      <c r="CVA45" s="318" t="s">
        <v>3319</v>
      </c>
      <c r="CVB45" s="319" t="s">
        <v>3320</v>
      </c>
      <c r="CVC45" s="318" t="s">
        <v>3319</v>
      </c>
      <c r="CVD45" s="319" t="s">
        <v>3320</v>
      </c>
      <c r="CVE45" s="318" t="s">
        <v>3319</v>
      </c>
      <c r="CVF45" s="319" t="s">
        <v>3320</v>
      </c>
      <c r="CVG45" s="318" t="s">
        <v>3319</v>
      </c>
      <c r="CVH45" s="319" t="s">
        <v>3320</v>
      </c>
      <c r="CVI45" s="318" t="s">
        <v>3319</v>
      </c>
      <c r="CVJ45" s="319" t="s">
        <v>3320</v>
      </c>
      <c r="CVK45" s="318" t="s">
        <v>3319</v>
      </c>
      <c r="CVL45" s="319" t="s">
        <v>3320</v>
      </c>
      <c r="CVM45" s="318" t="s">
        <v>3319</v>
      </c>
      <c r="CVN45" s="319" t="s">
        <v>3320</v>
      </c>
      <c r="CVO45" s="318" t="s">
        <v>3319</v>
      </c>
      <c r="CVP45" s="319" t="s">
        <v>3320</v>
      </c>
      <c r="CVQ45" s="318" t="s">
        <v>3319</v>
      </c>
      <c r="CVR45" s="319" t="s">
        <v>3320</v>
      </c>
      <c r="CVS45" s="318" t="s">
        <v>3319</v>
      </c>
      <c r="CVT45" s="319" t="s">
        <v>3320</v>
      </c>
      <c r="CVU45" s="318" t="s">
        <v>3319</v>
      </c>
      <c r="CVV45" s="319" t="s">
        <v>3320</v>
      </c>
      <c r="CVW45" s="318" t="s">
        <v>3319</v>
      </c>
      <c r="CVX45" s="319" t="s">
        <v>3320</v>
      </c>
      <c r="CVY45" s="318" t="s">
        <v>3319</v>
      </c>
      <c r="CVZ45" s="319" t="s">
        <v>3320</v>
      </c>
      <c r="CWA45" s="318" t="s">
        <v>3319</v>
      </c>
      <c r="CWB45" s="319" t="s">
        <v>3320</v>
      </c>
      <c r="CWC45" s="318" t="s">
        <v>3319</v>
      </c>
      <c r="CWD45" s="319" t="s">
        <v>3320</v>
      </c>
      <c r="CWE45" s="318" t="s">
        <v>3319</v>
      </c>
      <c r="CWF45" s="319" t="s">
        <v>3320</v>
      </c>
      <c r="CWG45" s="318" t="s">
        <v>3319</v>
      </c>
      <c r="CWH45" s="319" t="s">
        <v>3320</v>
      </c>
      <c r="CWI45" s="318" t="s">
        <v>3319</v>
      </c>
      <c r="CWJ45" s="319" t="s">
        <v>3320</v>
      </c>
      <c r="CWK45" s="318" t="s">
        <v>3319</v>
      </c>
      <c r="CWL45" s="319" t="s">
        <v>3320</v>
      </c>
      <c r="CWM45" s="318" t="s">
        <v>3319</v>
      </c>
      <c r="CWN45" s="319" t="s">
        <v>3320</v>
      </c>
      <c r="CWO45" s="318" t="s">
        <v>3319</v>
      </c>
      <c r="CWP45" s="319" t="s">
        <v>3320</v>
      </c>
      <c r="CWQ45" s="318" t="s">
        <v>3319</v>
      </c>
      <c r="CWR45" s="319" t="s">
        <v>3320</v>
      </c>
      <c r="CWS45" s="318" t="s">
        <v>3319</v>
      </c>
      <c r="CWT45" s="319" t="s">
        <v>3320</v>
      </c>
      <c r="CWU45" s="318" t="s">
        <v>3319</v>
      </c>
      <c r="CWV45" s="319" t="s">
        <v>3320</v>
      </c>
      <c r="CWW45" s="318" t="s">
        <v>3319</v>
      </c>
      <c r="CWX45" s="319" t="s">
        <v>3320</v>
      </c>
      <c r="CWY45" s="318" t="s">
        <v>3319</v>
      </c>
      <c r="CWZ45" s="319" t="s">
        <v>3320</v>
      </c>
      <c r="CXA45" s="318" t="s">
        <v>3319</v>
      </c>
      <c r="CXB45" s="319" t="s">
        <v>3320</v>
      </c>
      <c r="CXC45" s="318" t="s">
        <v>3319</v>
      </c>
      <c r="CXD45" s="319" t="s">
        <v>3320</v>
      </c>
      <c r="CXE45" s="318" t="s">
        <v>3319</v>
      </c>
      <c r="CXF45" s="319" t="s">
        <v>3320</v>
      </c>
      <c r="CXG45" s="318" t="s">
        <v>3319</v>
      </c>
      <c r="CXH45" s="319" t="s">
        <v>3320</v>
      </c>
      <c r="CXI45" s="318" t="s">
        <v>3319</v>
      </c>
      <c r="CXJ45" s="319" t="s">
        <v>3320</v>
      </c>
      <c r="CXK45" s="318" t="s">
        <v>3319</v>
      </c>
      <c r="CXL45" s="319" t="s">
        <v>3320</v>
      </c>
      <c r="CXM45" s="318" t="s">
        <v>3319</v>
      </c>
      <c r="CXN45" s="319" t="s">
        <v>3320</v>
      </c>
      <c r="CXO45" s="318" t="s">
        <v>3319</v>
      </c>
      <c r="CXP45" s="319" t="s">
        <v>3320</v>
      </c>
      <c r="CXQ45" s="318" t="s">
        <v>3319</v>
      </c>
      <c r="CXR45" s="319" t="s">
        <v>3320</v>
      </c>
      <c r="CXS45" s="318" t="s">
        <v>3319</v>
      </c>
      <c r="CXT45" s="319" t="s">
        <v>3320</v>
      </c>
      <c r="CXU45" s="318" t="s">
        <v>3319</v>
      </c>
      <c r="CXV45" s="319" t="s">
        <v>3320</v>
      </c>
      <c r="CXW45" s="318" t="s">
        <v>3319</v>
      </c>
      <c r="CXX45" s="319" t="s">
        <v>3320</v>
      </c>
      <c r="CXY45" s="318" t="s">
        <v>3319</v>
      </c>
      <c r="CXZ45" s="319" t="s">
        <v>3320</v>
      </c>
      <c r="CYA45" s="318" t="s">
        <v>3319</v>
      </c>
      <c r="CYB45" s="319" t="s">
        <v>3320</v>
      </c>
      <c r="CYC45" s="318" t="s">
        <v>3319</v>
      </c>
      <c r="CYD45" s="319" t="s">
        <v>3320</v>
      </c>
      <c r="CYE45" s="318" t="s">
        <v>3319</v>
      </c>
      <c r="CYF45" s="319" t="s">
        <v>3320</v>
      </c>
      <c r="CYG45" s="318" t="s">
        <v>3319</v>
      </c>
      <c r="CYH45" s="319" t="s">
        <v>3320</v>
      </c>
      <c r="CYI45" s="318" t="s">
        <v>3319</v>
      </c>
      <c r="CYJ45" s="319" t="s">
        <v>3320</v>
      </c>
      <c r="CYK45" s="318" t="s">
        <v>3319</v>
      </c>
      <c r="CYL45" s="319" t="s">
        <v>3320</v>
      </c>
      <c r="CYM45" s="318" t="s">
        <v>3319</v>
      </c>
      <c r="CYN45" s="319" t="s">
        <v>3320</v>
      </c>
      <c r="CYO45" s="318" t="s">
        <v>3319</v>
      </c>
      <c r="CYP45" s="319" t="s">
        <v>3320</v>
      </c>
      <c r="CYQ45" s="318" t="s">
        <v>3319</v>
      </c>
      <c r="CYR45" s="319" t="s">
        <v>3320</v>
      </c>
      <c r="CYS45" s="318" t="s">
        <v>3319</v>
      </c>
      <c r="CYT45" s="319" t="s">
        <v>3320</v>
      </c>
      <c r="CYU45" s="318" t="s">
        <v>3319</v>
      </c>
      <c r="CYV45" s="319" t="s">
        <v>3320</v>
      </c>
      <c r="CYW45" s="318" t="s">
        <v>3319</v>
      </c>
      <c r="CYX45" s="319" t="s">
        <v>3320</v>
      </c>
      <c r="CYY45" s="318" t="s">
        <v>3319</v>
      </c>
      <c r="CYZ45" s="319" t="s">
        <v>3320</v>
      </c>
      <c r="CZA45" s="318" t="s">
        <v>3319</v>
      </c>
      <c r="CZB45" s="319" t="s">
        <v>3320</v>
      </c>
      <c r="CZC45" s="318" t="s">
        <v>3319</v>
      </c>
      <c r="CZD45" s="319" t="s">
        <v>3320</v>
      </c>
      <c r="CZE45" s="318" t="s">
        <v>3319</v>
      </c>
      <c r="CZF45" s="319" t="s">
        <v>3320</v>
      </c>
      <c r="CZG45" s="318" t="s">
        <v>3319</v>
      </c>
      <c r="CZH45" s="319" t="s">
        <v>3320</v>
      </c>
      <c r="CZI45" s="318" t="s">
        <v>3319</v>
      </c>
      <c r="CZJ45" s="319" t="s">
        <v>3320</v>
      </c>
      <c r="CZK45" s="318" t="s">
        <v>3319</v>
      </c>
      <c r="CZL45" s="319" t="s">
        <v>3320</v>
      </c>
      <c r="CZM45" s="318" t="s">
        <v>3319</v>
      </c>
      <c r="CZN45" s="319" t="s">
        <v>3320</v>
      </c>
      <c r="CZO45" s="318" t="s">
        <v>3319</v>
      </c>
      <c r="CZP45" s="319" t="s">
        <v>3320</v>
      </c>
      <c r="CZQ45" s="318" t="s">
        <v>3319</v>
      </c>
      <c r="CZR45" s="319" t="s">
        <v>3320</v>
      </c>
      <c r="CZS45" s="318" t="s">
        <v>3319</v>
      </c>
      <c r="CZT45" s="319" t="s">
        <v>3320</v>
      </c>
      <c r="CZU45" s="318" t="s">
        <v>3319</v>
      </c>
      <c r="CZV45" s="319" t="s">
        <v>3320</v>
      </c>
      <c r="CZW45" s="318" t="s">
        <v>3319</v>
      </c>
      <c r="CZX45" s="319" t="s">
        <v>3320</v>
      </c>
      <c r="CZY45" s="318" t="s">
        <v>3319</v>
      </c>
      <c r="CZZ45" s="319" t="s">
        <v>3320</v>
      </c>
      <c r="DAA45" s="318" t="s">
        <v>3319</v>
      </c>
      <c r="DAB45" s="319" t="s">
        <v>3320</v>
      </c>
      <c r="DAC45" s="318" t="s">
        <v>3319</v>
      </c>
      <c r="DAD45" s="319" t="s">
        <v>3320</v>
      </c>
      <c r="DAE45" s="318" t="s">
        <v>3319</v>
      </c>
      <c r="DAF45" s="319" t="s">
        <v>3320</v>
      </c>
      <c r="DAG45" s="318" t="s">
        <v>3319</v>
      </c>
      <c r="DAH45" s="319" t="s">
        <v>3320</v>
      </c>
      <c r="DAI45" s="318" t="s">
        <v>3319</v>
      </c>
      <c r="DAJ45" s="319" t="s">
        <v>3320</v>
      </c>
      <c r="DAK45" s="318" t="s">
        <v>3319</v>
      </c>
      <c r="DAL45" s="319" t="s">
        <v>3320</v>
      </c>
      <c r="DAM45" s="318" t="s">
        <v>3319</v>
      </c>
      <c r="DAN45" s="319" t="s">
        <v>3320</v>
      </c>
      <c r="DAO45" s="318" t="s">
        <v>3319</v>
      </c>
      <c r="DAP45" s="319" t="s">
        <v>3320</v>
      </c>
      <c r="DAQ45" s="318" t="s">
        <v>3319</v>
      </c>
      <c r="DAR45" s="319" t="s">
        <v>3320</v>
      </c>
      <c r="DAS45" s="318" t="s">
        <v>3319</v>
      </c>
      <c r="DAT45" s="319" t="s">
        <v>3320</v>
      </c>
      <c r="DAU45" s="318" t="s">
        <v>3319</v>
      </c>
      <c r="DAV45" s="319" t="s">
        <v>3320</v>
      </c>
      <c r="DAW45" s="318" t="s">
        <v>3319</v>
      </c>
      <c r="DAX45" s="319" t="s">
        <v>3320</v>
      </c>
      <c r="DAY45" s="318" t="s">
        <v>3319</v>
      </c>
      <c r="DAZ45" s="319" t="s">
        <v>3320</v>
      </c>
      <c r="DBA45" s="318" t="s">
        <v>3319</v>
      </c>
      <c r="DBB45" s="319" t="s">
        <v>3320</v>
      </c>
      <c r="DBC45" s="318" t="s">
        <v>3319</v>
      </c>
      <c r="DBD45" s="319" t="s">
        <v>3320</v>
      </c>
      <c r="DBE45" s="318" t="s">
        <v>3319</v>
      </c>
      <c r="DBF45" s="319" t="s">
        <v>3320</v>
      </c>
      <c r="DBG45" s="318" t="s">
        <v>3319</v>
      </c>
      <c r="DBH45" s="319" t="s">
        <v>3320</v>
      </c>
      <c r="DBI45" s="318" t="s">
        <v>3319</v>
      </c>
      <c r="DBJ45" s="319" t="s">
        <v>3320</v>
      </c>
      <c r="DBK45" s="318" t="s">
        <v>3319</v>
      </c>
      <c r="DBL45" s="319" t="s">
        <v>3320</v>
      </c>
      <c r="DBM45" s="318" t="s">
        <v>3319</v>
      </c>
      <c r="DBN45" s="319" t="s">
        <v>3320</v>
      </c>
      <c r="DBO45" s="318" t="s">
        <v>3319</v>
      </c>
      <c r="DBP45" s="319" t="s">
        <v>3320</v>
      </c>
      <c r="DBQ45" s="318" t="s">
        <v>3319</v>
      </c>
      <c r="DBR45" s="319" t="s">
        <v>3320</v>
      </c>
      <c r="DBS45" s="318" t="s">
        <v>3319</v>
      </c>
      <c r="DBT45" s="319" t="s">
        <v>3320</v>
      </c>
      <c r="DBU45" s="318" t="s">
        <v>3319</v>
      </c>
      <c r="DBV45" s="319" t="s">
        <v>3320</v>
      </c>
      <c r="DBW45" s="318" t="s">
        <v>3319</v>
      </c>
      <c r="DBX45" s="319" t="s">
        <v>3320</v>
      </c>
      <c r="DBY45" s="318" t="s">
        <v>3319</v>
      </c>
      <c r="DBZ45" s="319" t="s">
        <v>3320</v>
      </c>
      <c r="DCA45" s="318" t="s">
        <v>3319</v>
      </c>
      <c r="DCB45" s="319" t="s">
        <v>3320</v>
      </c>
      <c r="DCC45" s="318" t="s">
        <v>3319</v>
      </c>
      <c r="DCD45" s="319" t="s">
        <v>3320</v>
      </c>
      <c r="DCE45" s="318" t="s">
        <v>3319</v>
      </c>
      <c r="DCF45" s="319" t="s">
        <v>3320</v>
      </c>
      <c r="DCG45" s="318" t="s">
        <v>3319</v>
      </c>
      <c r="DCH45" s="319" t="s">
        <v>3320</v>
      </c>
      <c r="DCI45" s="318" t="s">
        <v>3319</v>
      </c>
      <c r="DCJ45" s="319" t="s">
        <v>3320</v>
      </c>
      <c r="DCK45" s="318" t="s">
        <v>3319</v>
      </c>
      <c r="DCL45" s="319" t="s">
        <v>3320</v>
      </c>
      <c r="DCM45" s="318" t="s">
        <v>3319</v>
      </c>
      <c r="DCN45" s="319" t="s">
        <v>3320</v>
      </c>
      <c r="DCO45" s="318" t="s">
        <v>3319</v>
      </c>
      <c r="DCP45" s="319" t="s">
        <v>3320</v>
      </c>
      <c r="DCQ45" s="318" t="s">
        <v>3319</v>
      </c>
      <c r="DCR45" s="319" t="s">
        <v>3320</v>
      </c>
      <c r="DCS45" s="318" t="s">
        <v>3319</v>
      </c>
      <c r="DCT45" s="319" t="s">
        <v>3320</v>
      </c>
      <c r="DCU45" s="318" t="s">
        <v>3319</v>
      </c>
      <c r="DCV45" s="319" t="s">
        <v>3320</v>
      </c>
      <c r="DCW45" s="318" t="s">
        <v>3319</v>
      </c>
      <c r="DCX45" s="319" t="s">
        <v>3320</v>
      </c>
      <c r="DCY45" s="318" t="s">
        <v>3319</v>
      </c>
      <c r="DCZ45" s="319" t="s">
        <v>3320</v>
      </c>
      <c r="DDA45" s="318" t="s">
        <v>3319</v>
      </c>
      <c r="DDB45" s="319" t="s">
        <v>3320</v>
      </c>
      <c r="DDC45" s="318" t="s">
        <v>3319</v>
      </c>
      <c r="DDD45" s="319" t="s">
        <v>3320</v>
      </c>
      <c r="DDE45" s="318" t="s">
        <v>3319</v>
      </c>
      <c r="DDF45" s="319" t="s">
        <v>3320</v>
      </c>
      <c r="DDG45" s="318" t="s">
        <v>3319</v>
      </c>
      <c r="DDH45" s="319" t="s">
        <v>3320</v>
      </c>
      <c r="DDI45" s="318" t="s">
        <v>3319</v>
      </c>
      <c r="DDJ45" s="319" t="s">
        <v>3320</v>
      </c>
      <c r="DDK45" s="318" t="s">
        <v>3319</v>
      </c>
      <c r="DDL45" s="319" t="s">
        <v>3320</v>
      </c>
      <c r="DDM45" s="318" t="s">
        <v>3319</v>
      </c>
      <c r="DDN45" s="319" t="s">
        <v>3320</v>
      </c>
      <c r="DDO45" s="318" t="s">
        <v>3319</v>
      </c>
      <c r="DDP45" s="319" t="s">
        <v>3320</v>
      </c>
      <c r="DDQ45" s="318" t="s">
        <v>3319</v>
      </c>
      <c r="DDR45" s="319" t="s">
        <v>3320</v>
      </c>
      <c r="DDS45" s="318" t="s">
        <v>3319</v>
      </c>
      <c r="DDT45" s="319" t="s">
        <v>3320</v>
      </c>
      <c r="DDU45" s="318" t="s">
        <v>3319</v>
      </c>
      <c r="DDV45" s="319" t="s">
        <v>3320</v>
      </c>
      <c r="DDW45" s="318" t="s">
        <v>3319</v>
      </c>
      <c r="DDX45" s="319" t="s">
        <v>3320</v>
      </c>
      <c r="DDY45" s="318" t="s">
        <v>3319</v>
      </c>
      <c r="DDZ45" s="319" t="s">
        <v>3320</v>
      </c>
      <c r="DEA45" s="318" t="s">
        <v>3319</v>
      </c>
      <c r="DEB45" s="319" t="s">
        <v>3320</v>
      </c>
      <c r="DEC45" s="318" t="s">
        <v>3319</v>
      </c>
      <c r="DED45" s="319" t="s">
        <v>3320</v>
      </c>
      <c r="DEE45" s="318" t="s">
        <v>3319</v>
      </c>
      <c r="DEF45" s="319" t="s">
        <v>3320</v>
      </c>
      <c r="DEG45" s="318" t="s">
        <v>3319</v>
      </c>
      <c r="DEH45" s="319" t="s">
        <v>3320</v>
      </c>
      <c r="DEI45" s="318" t="s">
        <v>3319</v>
      </c>
      <c r="DEJ45" s="319" t="s">
        <v>3320</v>
      </c>
      <c r="DEK45" s="318" t="s">
        <v>3319</v>
      </c>
      <c r="DEL45" s="319" t="s">
        <v>3320</v>
      </c>
      <c r="DEM45" s="318" t="s">
        <v>3319</v>
      </c>
      <c r="DEN45" s="319" t="s">
        <v>3320</v>
      </c>
      <c r="DEO45" s="318" t="s">
        <v>3319</v>
      </c>
      <c r="DEP45" s="319" t="s">
        <v>3320</v>
      </c>
      <c r="DEQ45" s="318" t="s">
        <v>3319</v>
      </c>
      <c r="DER45" s="319" t="s">
        <v>3320</v>
      </c>
      <c r="DES45" s="318" t="s">
        <v>3319</v>
      </c>
      <c r="DET45" s="319" t="s">
        <v>3320</v>
      </c>
      <c r="DEU45" s="318" t="s">
        <v>3319</v>
      </c>
      <c r="DEV45" s="319" t="s">
        <v>3320</v>
      </c>
      <c r="DEW45" s="318" t="s">
        <v>3319</v>
      </c>
      <c r="DEX45" s="319" t="s">
        <v>3320</v>
      </c>
      <c r="DEY45" s="318" t="s">
        <v>3319</v>
      </c>
      <c r="DEZ45" s="319" t="s">
        <v>3320</v>
      </c>
      <c r="DFA45" s="318" t="s">
        <v>3319</v>
      </c>
      <c r="DFB45" s="319" t="s">
        <v>3320</v>
      </c>
      <c r="DFC45" s="318" t="s">
        <v>3319</v>
      </c>
      <c r="DFD45" s="319" t="s">
        <v>3320</v>
      </c>
      <c r="DFE45" s="318" t="s">
        <v>3319</v>
      </c>
      <c r="DFF45" s="319" t="s">
        <v>3320</v>
      </c>
      <c r="DFG45" s="318" t="s">
        <v>3319</v>
      </c>
      <c r="DFH45" s="319" t="s">
        <v>3320</v>
      </c>
      <c r="DFI45" s="318" t="s">
        <v>3319</v>
      </c>
      <c r="DFJ45" s="319" t="s">
        <v>3320</v>
      </c>
      <c r="DFK45" s="318" t="s">
        <v>3319</v>
      </c>
      <c r="DFL45" s="319" t="s">
        <v>3320</v>
      </c>
      <c r="DFM45" s="318" t="s">
        <v>3319</v>
      </c>
      <c r="DFN45" s="319" t="s">
        <v>3320</v>
      </c>
      <c r="DFO45" s="318" t="s">
        <v>3319</v>
      </c>
      <c r="DFP45" s="319" t="s">
        <v>3320</v>
      </c>
      <c r="DFQ45" s="318" t="s">
        <v>3319</v>
      </c>
      <c r="DFR45" s="319" t="s">
        <v>3320</v>
      </c>
      <c r="DFS45" s="318" t="s">
        <v>3319</v>
      </c>
      <c r="DFT45" s="319" t="s">
        <v>3320</v>
      </c>
      <c r="DFU45" s="318" t="s">
        <v>3319</v>
      </c>
      <c r="DFV45" s="319" t="s">
        <v>3320</v>
      </c>
      <c r="DFW45" s="318" t="s">
        <v>3319</v>
      </c>
      <c r="DFX45" s="319" t="s">
        <v>3320</v>
      </c>
      <c r="DFY45" s="318" t="s">
        <v>3319</v>
      </c>
      <c r="DFZ45" s="319" t="s">
        <v>3320</v>
      </c>
      <c r="DGA45" s="318" t="s">
        <v>3319</v>
      </c>
      <c r="DGB45" s="319" t="s">
        <v>3320</v>
      </c>
      <c r="DGC45" s="318" t="s">
        <v>3319</v>
      </c>
      <c r="DGD45" s="319" t="s">
        <v>3320</v>
      </c>
      <c r="DGE45" s="318" t="s">
        <v>3319</v>
      </c>
      <c r="DGF45" s="319" t="s">
        <v>3320</v>
      </c>
      <c r="DGG45" s="318" t="s">
        <v>3319</v>
      </c>
      <c r="DGH45" s="319" t="s">
        <v>3320</v>
      </c>
      <c r="DGI45" s="318" t="s">
        <v>3319</v>
      </c>
      <c r="DGJ45" s="319" t="s">
        <v>3320</v>
      </c>
      <c r="DGK45" s="318" t="s">
        <v>3319</v>
      </c>
      <c r="DGL45" s="319" t="s">
        <v>3320</v>
      </c>
      <c r="DGM45" s="318" t="s">
        <v>3319</v>
      </c>
      <c r="DGN45" s="319" t="s">
        <v>3320</v>
      </c>
      <c r="DGO45" s="318" t="s">
        <v>3319</v>
      </c>
      <c r="DGP45" s="319" t="s">
        <v>3320</v>
      </c>
      <c r="DGQ45" s="318" t="s">
        <v>3319</v>
      </c>
      <c r="DGR45" s="319" t="s">
        <v>3320</v>
      </c>
      <c r="DGS45" s="318" t="s">
        <v>3319</v>
      </c>
      <c r="DGT45" s="319" t="s">
        <v>3320</v>
      </c>
      <c r="DGU45" s="318" t="s">
        <v>3319</v>
      </c>
      <c r="DGV45" s="319" t="s">
        <v>3320</v>
      </c>
      <c r="DGW45" s="318" t="s">
        <v>3319</v>
      </c>
      <c r="DGX45" s="319" t="s">
        <v>3320</v>
      </c>
      <c r="DGY45" s="318" t="s">
        <v>3319</v>
      </c>
      <c r="DGZ45" s="319" t="s">
        <v>3320</v>
      </c>
      <c r="DHA45" s="318" t="s">
        <v>3319</v>
      </c>
      <c r="DHB45" s="319" t="s">
        <v>3320</v>
      </c>
      <c r="DHC45" s="318" t="s">
        <v>3319</v>
      </c>
      <c r="DHD45" s="319" t="s">
        <v>3320</v>
      </c>
      <c r="DHE45" s="318" t="s">
        <v>3319</v>
      </c>
      <c r="DHF45" s="319" t="s">
        <v>3320</v>
      </c>
      <c r="DHG45" s="318" t="s">
        <v>3319</v>
      </c>
      <c r="DHH45" s="319" t="s">
        <v>3320</v>
      </c>
      <c r="DHI45" s="318" t="s">
        <v>3319</v>
      </c>
      <c r="DHJ45" s="319" t="s">
        <v>3320</v>
      </c>
      <c r="DHK45" s="318" t="s">
        <v>3319</v>
      </c>
      <c r="DHL45" s="319" t="s">
        <v>3320</v>
      </c>
      <c r="DHM45" s="318" t="s">
        <v>3319</v>
      </c>
      <c r="DHN45" s="319" t="s">
        <v>3320</v>
      </c>
      <c r="DHO45" s="318" t="s">
        <v>3319</v>
      </c>
      <c r="DHP45" s="319" t="s">
        <v>3320</v>
      </c>
      <c r="DHQ45" s="318" t="s">
        <v>3319</v>
      </c>
      <c r="DHR45" s="319" t="s">
        <v>3320</v>
      </c>
      <c r="DHS45" s="318" t="s">
        <v>3319</v>
      </c>
      <c r="DHT45" s="319" t="s">
        <v>3320</v>
      </c>
      <c r="DHU45" s="318" t="s">
        <v>3319</v>
      </c>
      <c r="DHV45" s="319" t="s">
        <v>3320</v>
      </c>
      <c r="DHW45" s="318" t="s">
        <v>3319</v>
      </c>
      <c r="DHX45" s="319" t="s">
        <v>3320</v>
      </c>
      <c r="DHY45" s="318" t="s">
        <v>3319</v>
      </c>
      <c r="DHZ45" s="319" t="s">
        <v>3320</v>
      </c>
      <c r="DIA45" s="318" t="s">
        <v>3319</v>
      </c>
      <c r="DIB45" s="319" t="s">
        <v>3320</v>
      </c>
      <c r="DIC45" s="318" t="s">
        <v>3319</v>
      </c>
      <c r="DID45" s="319" t="s">
        <v>3320</v>
      </c>
      <c r="DIE45" s="318" t="s">
        <v>3319</v>
      </c>
      <c r="DIF45" s="319" t="s">
        <v>3320</v>
      </c>
      <c r="DIG45" s="318" t="s">
        <v>3319</v>
      </c>
      <c r="DIH45" s="319" t="s">
        <v>3320</v>
      </c>
      <c r="DII45" s="318" t="s">
        <v>3319</v>
      </c>
      <c r="DIJ45" s="319" t="s">
        <v>3320</v>
      </c>
      <c r="DIK45" s="318" t="s">
        <v>3319</v>
      </c>
      <c r="DIL45" s="319" t="s">
        <v>3320</v>
      </c>
      <c r="DIM45" s="318" t="s">
        <v>3319</v>
      </c>
      <c r="DIN45" s="319" t="s">
        <v>3320</v>
      </c>
      <c r="DIO45" s="318" t="s">
        <v>3319</v>
      </c>
      <c r="DIP45" s="319" t="s">
        <v>3320</v>
      </c>
      <c r="DIQ45" s="318" t="s">
        <v>3319</v>
      </c>
      <c r="DIR45" s="319" t="s">
        <v>3320</v>
      </c>
      <c r="DIS45" s="318" t="s">
        <v>3319</v>
      </c>
      <c r="DIT45" s="319" t="s">
        <v>3320</v>
      </c>
      <c r="DIU45" s="318" t="s">
        <v>3319</v>
      </c>
      <c r="DIV45" s="319" t="s">
        <v>3320</v>
      </c>
      <c r="DIW45" s="318" t="s">
        <v>3319</v>
      </c>
      <c r="DIX45" s="319" t="s">
        <v>3320</v>
      </c>
      <c r="DIY45" s="318" t="s">
        <v>3319</v>
      </c>
      <c r="DIZ45" s="319" t="s">
        <v>3320</v>
      </c>
      <c r="DJA45" s="318" t="s">
        <v>3319</v>
      </c>
      <c r="DJB45" s="319" t="s">
        <v>3320</v>
      </c>
      <c r="DJC45" s="318" t="s">
        <v>3319</v>
      </c>
      <c r="DJD45" s="319" t="s">
        <v>3320</v>
      </c>
      <c r="DJE45" s="318" t="s">
        <v>3319</v>
      </c>
      <c r="DJF45" s="319" t="s">
        <v>3320</v>
      </c>
      <c r="DJG45" s="318" t="s">
        <v>3319</v>
      </c>
      <c r="DJH45" s="319" t="s">
        <v>3320</v>
      </c>
      <c r="DJI45" s="318" t="s">
        <v>3319</v>
      </c>
      <c r="DJJ45" s="319" t="s">
        <v>3320</v>
      </c>
      <c r="DJK45" s="318" t="s">
        <v>3319</v>
      </c>
      <c r="DJL45" s="319" t="s">
        <v>3320</v>
      </c>
      <c r="DJM45" s="318" t="s">
        <v>3319</v>
      </c>
      <c r="DJN45" s="319" t="s">
        <v>3320</v>
      </c>
      <c r="DJO45" s="318" t="s">
        <v>3319</v>
      </c>
      <c r="DJP45" s="319" t="s">
        <v>3320</v>
      </c>
      <c r="DJQ45" s="318" t="s">
        <v>3319</v>
      </c>
      <c r="DJR45" s="319" t="s">
        <v>3320</v>
      </c>
      <c r="DJS45" s="318" t="s">
        <v>3319</v>
      </c>
      <c r="DJT45" s="319" t="s">
        <v>3320</v>
      </c>
      <c r="DJU45" s="318" t="s">
        <v>3319</v>
      </c>
      <c r="DJV45" s="319" t="s">
        <v>3320</v>
      </c>
      <c r="DJW45" s="318" t="s">
        <v>3319</v>
      </c>
      <c r="DJX45" s="319" t="s">
        <v>3320</v>
      </c>
      <c r="DJY45" s="318" t="s">
        <v>3319</v>
      </c>
      <c r="DJZ45" s="319" t="s">
        <v>3320</v>
      </c>
      <c r="DKA45" s="318" t="s">
        <v>3319</v>
      </c>
      <c r="DKB45" s="319" t="s">
        <v>3320</v>
      </c>
      <c r="DKC45" s="318" t="s">
        <v>3319</v>
      </c>
      <c r="DKD45" s="319" t="s">
        <v>3320</v>
      </c>
      <c r="DKE45" s="318" t="s">
        <v>3319</v>
      </c>
      <c r="DKF45" s="319" t="s">
        <v>3320</v>
      </c>
      <c r="DKG45" s="318" t="s">
        <v>3319</v>
      </c>
      <c r="DKH45" s="319" t="s">
        <v>3320</v>
      </c>
      <c r="DKI45" s="318" t="s">
        <v>3319</v>
      </c>
      <c r="DKJ45" s="319" t="s">
        <v>3320</v>
      </c>
      <c r="DKK45" s="318" t="s">
        <v>3319</v>
      </c>
      <c r="DKL45" s="319" t="s">
        <v>3320</v>
      </c>
      <c r="DKM45" s="318" t="s">
        <v>3319</v>
      </c>
      <c r="DKN45" s="319" t="s">
        <v>3320</v>
      </c>
      <c r="DKO45" s="318" t="s">
        <v>3319</v>
      </c>
      <c r="DKP45" s="319" t="s">
        <v>3320</v>
      </c>
      <c r="DKQ45" s="318" t="s">
        <v>3319</v>
      </c>
      <c r="DKR45" s="319" t="s">
        <v>3320</v>
      </c>
      <c r="DKS45" s="318" t="s">
        <v>3319</v>
      </c>
      <c r="DKT45" s="319" t="s">
        <v>3320</v>
      </c>
      <c r="DKU45" s="318" t="s">
        <v>3319</v>
      </c>
      <c r="DKV45" s="319" t="s">
        <v>3320</v>
      </c>
      <c r="DKW45" s="318" t="s">
        <v>3319</v>
      </c>
      <c r="DKX45" s="319" t="s">
        <v>3320</v>
      </c>
      <c r="DKY45" s="318" t="s">
        <v>3319</v>
      </c>
      <c r="DKZ45" s="319" t="s">
        <v>3320</v>
      </c>
      <c r="DLA45" s="318" t="s">
        <v>3319</v>
      </c>
      <c r="DLB45" s="319" t="s">
        <v>3320</v>
      </c>
      <c r="DLC45" s="318" t="s">
        <v>3319</v>
      </c>
      <c r="DLD45" s="319" t="s">
        <v>3320</v>
      </c>
      <c r="DLE45" s="318" t="s">
        <v>3319</v>
      </c>
      <c r="DLF45" s="319" t="s">
        <v>3320</v>
      </c>
      <c r="DLG45" s="318" t="s">
        <v>3319</v>
      </c>
      <c r="DLH45" s="319" t="s">
        <v>3320</v>
      </c>
      <c r="DLI45" s="318" t="s">
        <v>3319</v>
      </c>
      <c r="DLJ45" s="319" t="s">
        <v>3320</v>
      </c>
      <c r="DLK45" s="318" t="s">
        <v>3319</v>
      </c>
      <c r="DLL45" s="319" t="s">
        <v>3320</v>
      </c>
      <c r="DLM45" s="318" t="s">
        <v>3319</v>
      </c>
      <c r="DLN45" s="319" t="s">
        <v>3320</v>
      </c>
      <c r="DLO45" s="318" t="s">
        <v>3319</v>
      </c>
      <c r="DLP45" s="319" t="s">
        <v>3320</v>
      </c>
      <c r="DLQ45" s="318" t="s">
        <v>3319</v>
      </c>
      <c r="DLR45" s="319" t="s">
        <v>3320</v>
      </c>
      <c r="DLS45" s="318" t="s">
        <v>3319</v>
      </c>
      <c r="DLT45" s="319" t="s">
        <v>3320</v>
      </c>
      <c r="DLU45" s="318" t="s">
        <v>3319</v>
      </c>
      <c r="DLV45" s="319" t="s">
        <v>3320</v>
      </c>
      <c r="DLW45" s="318" t="s">
        <v>3319</v>
      </c>
      <c r="DLX45" s="319" t="s">
        <v>3320</v>
      </c>
      <c r="DLY45" s="318" t="s">
        <v>3319</v>
      </c>
      <c r="DLZ45" s="319" t="s">
        <v>3320</v>
      </c>
      <c r="DMA45" s="318" t="s">
        <v>3319</v>
      </c>
      <c r="DMB45" s="319" t="s">
        <v>3320</v>
      </c>
      <c r="DMC45" s="318" t="s">
        <v>3319</v>
      </c>
      <c r="DMD45" s="319" t="s">
        <v>3320</v>
      </c>
      <c r="DME45" s="318" t="s">
        <v>3319</v>
      </c>
      <c r="DMF45" s="319" t="s">
        <v>3320</v>
      </c>
      <c r="DMG45" s="318" t="s">
        <v>3319</v>
      </c>
      <c r="DMH45" s="319" t="s">
        <v>3320</v>
      </c>
      <c r="DMI45" s="318" t="s">
        <v>3319</v>
      </c>
      <c r="DMJ45" s="319" t="s">
        <v>3320</v>
      </c>
      <c r="DMK45" s="318" t="s">
        <v>3319</v>
      </c>
      <c r="DML45" s="319" t="s">
        <v>3320</v>
      </c>
      <c r="DMM45" s="318" t="s">
        <v>3319</v>
      </c>
      <c r="DMN45" s="319" t="s">
        <v>3320</v>
      </c>
      <c r="DMO45" s="318" t="s">
        <v>3319</v>
      </c>
      <c r="DMP45" s="319" t="s">
        <v>3320</v>
      </c>
      <c r="DMQ45" s="318" t="s">
        <v>3319</v>
      </c>
      <c r="DMR45" s="319" t="s">
        <v>3320</v>
      </c>
      <c r="DMS45" s="318" t="s">
        <v>3319</v>
      </c>
      <c r="DMT45" s="319" t="s">
        <v>3320</v>
      </c>
      <c r="DMU45" s="318" t="s">
        <v>3319</v>
      </c>
      <c r="DMV45" s="319" t="s">
        <v>3320</v>
      </c>
      <c r="DMW45" s="318" t="s">
        <v>3319</v>
      </c>
      <c r="DMX45" s="319" t="s">
        <v>3320</v>
      </c>
      <c r="DMY45" s="318" t="s">
        <v>3319</v>
      </c>
      <c r="DMZ45" s="319" t="s">
        <v>3320</v>
      </c>
      <c r="DNA45" s="318" t="s">
        <v>3319</v>
      </c>
      <c r="DNB45" s="319" t="s">
        <v>3320</v>
      </c>
      <c r="DNC45" s="318" t="s">
        <v>3319</v>
      </c>
      <c r="DND45" s="319" t="s">
        <v>3320</v>
      </c>
      <c r="DNE45" s="318" t="s">
        <v>3319</v>
      </c>
      <c r="DNF45" s="319" t="s">
        <v>3320</v>
      </c>
      <c r="DNG45" s="318" t="s">
        <v>3319</v>
      </c>
      <c r="DNH45" s="319" t="s">
        <v>3320</v>
      </c>
      <c r="DNI45" s="318" t="s">
        <v>3319</v>
      </c>
      <c r="DNJ45" s="319" t="s">
        <v>3320</v>
      </c>
      <c r="DNK45" s="318" t="s">
        <v>3319</v>
      </c>
      <c r="DNL45" s="319" t="s">
        <v>3320</v>
      </c>
      <c r="DNM45" s="318" t="s">
        <v>3319</v>
      </c>
      <c r="DNN45" s="319" t="s">
        <v>3320</v>
      </c>
      <c r="DNO45" s="318" t="s">
        <v>3319</v>
      </c>
      <c r="DNP45" s="319" t="s">
        <v>3320</v>
      </c>
      <c r="DNQ45" s="318" t="s">
        <v>3319</v>
      </c>
      <c r="DNR45" s="319" t="s">
        <v>3320</v>
      </c>
      <c r="DNS45" s="318" t="s">
        <v>3319</v>
      </c>
      <c r="DNT45" s="319" t="s">
        <v>3320</v>
      </c>
      <c r="DNU45" s="318" t="s">
        <v>3319</v>
      </c>
      <c r="DNV45" s="319" t="s">
        <v>3320</v>
      </c>
      <c r="DNW45" s="318" t="s">
        <v>3319</v>
      </c>
      <c r="DNX45" s="319" t="s">
        <v>3320</v>
      </c>
      <c r="DNY45" s="318" t="s">
        <v>3319</v>
      </c>
      <c r="DNZ45" s="319" t="s">
        <v>3320</v>
      </c>
      <c r="DOA45" s="318" t="s">
        <v>3319</v>
      </c>
      <c r="DOB45" s="319" t="s">
        <v>3320</v>
      </c>
      <c r="DOC45" s="318" t="s">
        <v>3319</v>
      </c>
      <c r="DOD45" s="319" t="s">
        <v>3320</v>
      </c>
      <c r="DOE45" s="318" t="s">
        <v>3319</v>
      </c>
      <c r="DOF45" s="319" t="s">
        <v>3320</v>
      </c>
      <c r="DOG45" s="318" t="s">
        <v>3319</v>
      </c>
      <c r="DOH45" s="319" t="s">
        <v>3320</v>
      </c>
      <c r="DOI45" s="318" t="s">
        <v>3319</v>
      </c>
      <c r="DOJ45" s="319" t="s">
        <v>3320</v>
      </c>
      <c r="DOK45" s="318" t="s">
        <v>3319</v>
      </c>
      <c r="DOL45" s="319" t="s">
        <v>3320</v>
      </c>
      <c r="DOM45" s="318" t="s">
        <v>3319</v>
      </c>
      <c r="DON45" s="319" t="s">
        <v>3320</v>
      </c>
      <c r="DOO45" s="318" t="s">
        <v>3319</v>
      </c>
      <c r="DOP45" s="319" t="s">
        <v>3320</v>
      </c>
      <c r="DOQ45" s="318" t="s">
        <v>3319</v>
      </c>
      <c r="DOR45" s="319" t="s">
        <v>3320</v>
      </c>
      <c r="DOS45" s="318" t="s">
        <v>3319</v>
      </c>
      <c r="DOT45" s="319" t="s">
        <v>3320</v>
      </c>
      <c r="DOU45" s="318" t="s">
        <v>3319</v>
      </c>
      <c r="DOV45" s="319" t="s">
        <v>3320</v>
      </c>
      <c r="DOW45" s="318" t="s">
        <v>3319</v>
      </c>
      <c r="DOX45" s="319" t="s">
        <v>3320</v>
      </c>
      <c r="DOY45" s="318" t="s">
        <v>3319</v>
      </c>
      <c r="DOZ45" s="319" t="s">
        <v>3320</v>
      </c>
      <c r="DPA45" s="318" t="s">
        <v>3319</v>
      </c>
      <c r="DPB45" s="319" t="s">
        <v>3320</v>
      </c>
      <c r="DPC45" s="318" t="s">
        <v>3319</v>
      </c>
      <c r="DPD45" s="319" t="s">
        <v>3320</v>
      </c>
      <c r="DPE45" s="318" t="s">
        <v>3319</v>
      </c>
      <c r="DPF45" s="319" t="s">
        <v>3320</v>
      </c>
      <c r="DPG45" s="318" t="s">
        <v>3319</v>
      </c>
      <c r="DPH45" s="319" t="s">
        <v>3320</v>
      </c>
      <c r="DPI45" s="318" t="s">
        <v>3319</v>
      </c>
      <c r="DPJ45" s="319" t="s">
        <v>3320</v>
      </c>
      <c r="DPK45" s="318" t="s">
        <v>3319</v>
      </c>
      <c r="DPL45" s="319" t="s">
        <v>3320</v>
      </c>
      <c r="DPM45" s="318" t="s">
        <v>3319</v>
      </c>
      <c r="DPN45" s="319" t="s">
        <v>3320</v>
      </c>
      <c r="DPO45" s="318" t="s">
        <v>3319</v>
      </c>
      <c r="DPP45" s="319" t="s">
        <v>3320</v>
      </c>
      <c r="DPQ45" s="318" t="s">
        <v>3319</v>
      </c>
      <c r="DPR45" s="319" t="s">
        <v>3320</v>
      </c>
      <c r="DPS45" s="318" t="s">
        <v>3319</v>
      </c>
      <c r="DPT45" s="319" t="s">
        <v>3320</v>
      </c>
      <c r="DPU45" s="318" t="s">
        <v>3319</v>
      </c>
      <c r="DPV45" s="319" t="s">
        <v>3320</v>
      </c>
      <c r="DPW45" s="318" t="s">
        <v>3319</v>
      </c>
      <c r="DPX45" s="319" t="s">
        <v>3320</v>
      </c>
      <c r="DPY45" s="318" t="s">
        <v>3319</v>
      </c>
      <c r="DPZ45" s="319" t="s">
        <v>3320</v>
      </c>
      <c r="DQA45" s="318" t="s">
        <v>3319</v>
      </c>
      <c r="DQB45" s="319" t="s">
        <v>3320</v>
      </c>
      <c r="DQC45" s="318" t="s">
        <v>3319</v>
      </c>
      <c r="DQD45" s="319" t="s">
        <v>3320</v>
      </c>
      <c r="DQE45" s="318" t="s">
        <v>3319</v>
      </c>
      <c r="DQF45" s="319" t="s">
        <v>3320</v>
      </c>
      <c r="DQG45" s="318" t="s">
        <v>3319</v>
      </c>
      <c r="DQH45" s="319" t="s">
        <v>3320</v>
      </c>
      <c r="DQI45" s="318" t="s">
        <v>3319</v>
      </c>
      <c r="DQJ45" s="319" t="s">
        <v>3320</v>
      </c>
      <c r="DQK45" s="318" t="s">
        <v>3319</v>
      </c>
      <c r="DQL45" s="319" t="s">
        <v>3320</v>
      </c>
      <c r="DQM45" s="318" t="s">
        <v>3319</v>
      </c>
      <c r="DQN45" s="319" t="s">
        <v>3320</v>
      </c>
      <c r="DQO45" s="318" t="s">
        <v>3319</v>
      </c>
      <c r="DQP45" s="319" t="s">
        <v>3320</v>
      </c>
      <c r="DQQ45" s="318" t="s">
        <v>3319</v>
      </c>
      <c r="DQR45" s="319" t="s">
        <v>3320</v>
      </c>
      <c r="DQS45" s="318" t="s">
        <v>3319</v>
      </c>
      <c r="DQT45" s="319" t="s">
        <v>3320</v>
      </c>
      <c r="DQU45" s="318" t="s">
        <v>3319</v>
      </c>
      <c r="DQV45" s="319" t="s">
        <v>3320</v>
      </c>
      <c r="DQW45" s="318" t="s">
        <v>3319</v>
      </c>
      <c r="DQX45" s="319" t="s">
        <v>3320</v>
      </c>
      <c r="DQY45" s="318" t="s">
        <v>3319</v>
      </c>
      <c r="DQZ45" s="319" t="s">
        <v>3320</v>
      </c>
      <c r="DRA45" s="318" t="s">
        <v>3319</v>
      </c>
      <c r="DRB45" s="319" t="s">
        <v>3320</v>
      </c>
      <c r="DRC45" s="318" t="s">
        <v>3319</v>
      </c>
      <c r="DRD45" s="319" t="s">
        <v>3320</v>
      </c>
      <c r="DRE45" s="318" t="s">
        <v>3319</v>
      </c>
      <c r="DRF45" s="319" t="s">
        <v>3320</v>
      </c>
      <c r="DRG45" s="318" t="s">
        <v>3319</v>
      </c>
      <c r="DRH45" s="319" t="s">
        <v>3320</v>
      </c>
      <c r="DRI45" s="318" t="s">
        <v>3319</v>
      </c>
      <c r="DRJ45" s="319" t="s">
        <v>3320</v>
      </c>
      <c r="DRK45" s="318" t="s">
        <v>3319</v>
      </c>
      <c r="DRL45" s="319" t="s">
        <v>3320</v>
      </c>
      <c r="DRM45" s="318" t="s">
        <v>3319</v>
      </c>
      <c r="DRN45" s="319" t="s">
        <v>3320</v>
      </c>
      <c r="DRO45" s="318" t="s">
        <v>3319</v>
      </c>
      <c r="DRP45" s="319" t="s">
        <v>3320</v>
      </c>
      <c r="DRQ45" s="318" t="s">
        <v>3319</v>
      </c>
      <c r="DRR45" s="319" t="s">
        <v>3320</v>
      </c>
      <c r="DRS45" s="318" t="s">
        <v>3319</v>
      </c>
      <c r="DRT45" s="319" t="s">
        <v>3320</v>
      </c>
      <c r="DRU45" s="318" t="s">
        <v>3319</v>
      </c>
      <c r="DRV45" s="319" t="s">
        <v>3320</v>
      </c>
      <c r="DRW45" s="318" t="s">
        <v>3319</v>
      </c>
      <c r="DRX45" s="319" t="s">
        <v>3320</v>
      </c>
      <c r="DRY45" s="318" t="s">
        <v>3319</v>
      </c>
      <c r="DRZ45" s="319" t="s">
        <v>3320</v>
      </c>
      <c r="DSA45" s="318" t="s">
        <v>3319</v>
      </c>
      <c r="DSB45" s="319" t="s">
        <v>3320</v>
      </c>
      <c r="DSC45" s="318" t="s">
        <v>3319</v>
      </c>
      <c r="DSD45" s="319" t="s">
        <v>3320</v>
      </c>
      <c r="DSE45" s="318" t="s">
        <v>3319</v>
      </c>
      <c r="DSF45" s="319" t="s">
        <v>3320</v>
      </c>
      <c r="DSG45" s="318" t="s">
        <v>3319</v>
      </c>
      <c r="DSH45" s="319" t="s">
        <v>3320</v>
      </c>
      <c r="DSI45" s="318" t="s">
        <v>3319</v>
      </c>
      <c r="DSJ45" s="319" t="s">
        <v>3320</v>
      </c>
      <c r="DSK45" s="318" t="s">
        <v>3319</v>
      </c>
      <c r="DSL45" s="319" t="s">
        <v>3320</v>
      </c>
      <c r="DSM45" s="318" t="s">
        <v>3319</v>
      </c>
      <c r="DSN45" s="319" t="s">
        <v>3320</v>
      </c>
      <c r="DSO45" s="318" t="s">
        <v>3319</v>
      </c>
      <c r="DSP45" s="319" t="s">
        <v>3320</v>
      </c>
      <c r="DSQ45" s="318" t="s">
        <v>3319</v>
      </c>
      <c r="DSR45" s="319" t="s">
        <v>3320</v>
      </c>
      <c r="DSS45" s="318" t="s">
        <v>3319</v>
      </c>
      <c r="DST45" s="319" t="s">
        <v>3320</v>
      </c>
      <c r="DSU45" s="318" t="s">
        <v>3319</v>
      </c>
      <c r="DSV45" s="319" t="s">
        <v>3320</v>
      </c>
      <c r="DSW45" s="318" t="s">
        <v>3319</v>
      </c>
      <c r="DSX45" s="319" t="s">
        <v>3320</v>
      </c>
      <c r="DSY45" s="318" t="s">
        <v>3319</v>
      </c>
      <c r="DSZ45" s="319" t="s">
        <v>3320</v>
      </c>
      <c r="DTA45" s="318" t="s">
        <v>3319</v>
      </c>
      <c r="DTB45" s="319" t="s">
        <v>3320</v>
      </c>
      <c r="DTC45" s="318" t="s">
        <v>3319</v>
      </c>
      <c r="DTD45" s="319" t="s">
        <v>3320</v>
      </c>
      <c r="DTE45" s="318" t="s">
        <v>3319</v>
      </c>
      <c r="DTF45" s="319" t="s">
        <v>3320</v>
      </c>
      <c r="DTG45" s="318" t="s">
        <v>3319</v>
      </c>
      <c r="DTH45" s="319" t="s">
        <v>3320</v>
      </c>
      <c r="DTI45" s="318" t="s">
        <v>3319</v>
      </c>
      <c r="DTJ45" s="319" t="s">
        <v>3320</v>
      </c>
      <c r="DTK45" s="318" t="s">
        <v>3319</v>
      </c>
      <c r="DTL45" s="319" t="s">
        <v>3320</v>
      </c>
      <c r="DTM45" s="318" t="s">
        <v>3319</v>
      </c>
      <c r="DTN45" s="319" t="s">
        <v>3320</v>
      </c>
      <c r="DTO45" s="318" t="s">
        <v>3319</v>
      </c>
      <c r="DTP45" s="319" t="s">
        <v>3320</v>
      </c>
      <c r="DTQ45" s="318" t="s">
        <v>3319</v>
      </c>
      <c r="DTR45" s="319" t="s">
        <v>3320</v>
      </c>
      <c r="DTS45" s="318" t="s">
        <v>3319</v>
      </c>
      <c r="DTT45" s="319" t="s">
        <v>3320</v>
      </c>
      <c r="DTU45" s="318" t="s">
        <v>3319</v>
      </c>
      <c r="DTV45" s="319" t="s">
        <v>3320</v>
      </c>
      <c r="DTW45" s="318" t="s">
        <v>3319</v>
      </c>
      <c r="DTX45" s="319" t="s">
        <v>3320</v>
      </c>
      <c r="DTY45" s="318" t="s">
        <v>3319</v>
      </c>
      <c r="DTZ45" s="319" t="s">
        <v>3320</v>
      </c>
      <c r="DUA45" s="318" t="s">
        <v>3319</v>
      </c>
      <c r="DUB45" s="319" t="s">
        <v>3320</v>
      </c>
      <c r="DUC45" s="318" t="s">
        <v>3319</v>
      </c>
      <c r="DUD45" s="319" t="s">
        <v>3320</v>
      </c>
      <c r="DUE45" s="318" t="s">
        <v>3319</v>
      </c>
      <c r="DUF45" s="319" t="s">
        <v>3320</v>
      </c>
      <c r="DUG45" s="318" t="s">
        <v>3319</v>
      </c>
      <c r="DUH45" s="319" t="s">
        <v>3320</v>
      </c>
      <c r="DUI45" s="318" t="s">
        <v>3319</v>
      </c>
      <c r="DUJ45" s="319" t="s">
        <v>3320</v>
      </c>
      <c r="DUK45" s="318" t="s">
        <v>3319</v>
      </c>
      <c r="DUL45" s="319" t="s">
        <v>3320</v>
      </c>
      <c r="DUM45" s="318" t="s">
        <v>3319</v>
      </c>
      <c r="DUN45" s="319" t="s">
        <v>3320</v>
      </c>
      <c r="DUO45" s="318" t="s">
        <v>3319</v>
      </c>
      <c r="DUP45" s="319" t="s">
        <v>3320</v>
      </c>
      <c r="DUQ45" s="318" t="s">
        <v>3319</v>
      </c>
      <c r="DUR45" s="319" t="s">
        <v>3320</v>
      </c>
      <c r="DUS45" s="318" t="s">
        <v>3319</v>
      </c>
      <c r="DUT45" s="319" t="s">
        <v>3320</v>
      </c>
      <c r="DUU45" s="318" t="s">
        <v>3319</v>
      </c>
      <c r="DUV45" s="319" t="s">
        <v>3320</v>
      </c>
      <c r="DUW45" s="318" t="s">
        <v>3319</v>
      </c>
      <c r="DUX45" s="319" t="s">
        <v>3320</v>
      </c>
      <c r="DUY45" s="318" t="s">
        <v>3319</v>
      </c>
      <c r="DUZ45" s="319" t="s">
        <v>3320</v>
      </c>
      <c r="DVA45" s="318" t="s">
        <v>3319</v>
      </c>
      <c r="DVB45" s="319" t="s">
        <v>3320</v>
      </c>
      <c r="DVC45" s="318" t="s">
        <v>3319</v>
      </c>
      <c r="DVD45" s="319" t="s">
        <v>3320</v>
      </c>
      <c r="DVE45" s="318" t="s">
        <v>3319</v>
      </c>
      <c r="DVF45" s="319" t="s">
        <v>3320</v>
      </c>
      <c r="DVG45" s="318" t="s">
        <v>3319</v>
      </c>
      <c r="DVH45" s="319" t="s">
        <v>3320</v>
      </c>
      <c r="DVI45" s="318" t="s">
        <v>3319</v>
      </c>
      <c r="DVJ45" s="319" t="s">
        <v>3320</v>
      </c>
      <c r="DVK45" s="318" t="s">
        <v>3319</v>
      </c>
      <c r="DVL45" s="319" t="s">
        <v>3320</v>
      </c>
      <c r="DVM45" s="318" t="s">
        <v>3319</v>
      </c>
      <c r="DVN45" s="319" t="s">
        <v>3320</v>
      </c>
      <c r="DVO45" s="318" t="s">
        <v>3319</v>
      </c>
      <c r="DVP45" s="319" t="s">
        <v>3320</v>
      </c>
      <c r="DVQ45" s="318" t="s">
        <v>3319</v>
      </c>
      <c r="DVR45" s="319" t="s">
        <v>3320</v>
      </c>
      <c r="DVS45" s="318" t="s">
        <v>3319</v>
      </c>
      <c r="DVT45" s="319" t="s">
        <v>3320</v>
      </c>
      <c r="DVU45" s="318" t="s">
        <v>3319</v>
      </c>
      <c r="DVV45" s="319" t="s">
        <v>3320</v>
      </c>
      <c r="DVW45" s="318" t="s">
        <v>3319</v>
      </c>
      <c r="DVX45" s="319" t="s">
        <v>3320</v>
      </c>
      <c r="DVY45" s="318" t="s">
        <v>3319</v>
      </c>
      <c r="DVZ45" s="319" t="s">
        <v>3320</v>
      </c>
      <c r="DWA45" s="318" t="s">
        <v>3319</v>
      </c>
      <c r="DWB45" s="319" t="s">
        <v>3320</v>
      </c>
      <c r="DWC45" s="318" t="s">
        <v>3319</v>
      </c>
      <c r="DWD45" s="319" t="s">
        <v>3320</v>
      </c>
      <c r="DWE45" s="318" t="s">
        <v>3319</v>
      </c>
      <c r="DWF45" s="319" t="s">
        <v>3320</v>
      </c>
      <c r="DWG45" s="318" t="s">
        <v>3319</v>
      </c>
      <c r="DWH45" s="319" t="s">
        <v>3320</v>
      </c>
      <c r="DWI45" s="318" t="s">
        <v>3319</v>
      </c>
      <c r="DWJ45" s="319" t="s">
        <v>3320</v>
      </c>
      <c r="DWK45" s="318" t="s">
        <v>3319</v>
      </c>
      <c r="DWL45" s="319" t="s">
        <v>3320</v>
      </c>
      <c r="DWM45" s="318" t="s">
        <v>3319</v>
      </c>
      <c r="DWN45" s="319" t="s">
        <v>3320</v>
      </c>
      <c r="DWO45" s="318" t="s">
        <v>3319</v>
      </c>
      <c r="DWP45" s="319" t="s">
        <v>3320</v>
      </c>
      <c r="DWQ45" s="318" t="s">
        <v>3319</v>
      </c>
      <c r="DWR45" s="319" t="s">
        <v>3320</v>
      </c>
      <c r="DWS45" s="318" t="s">
        <v>3319</v>
      </c>
      <c r="DWT45" s="319" t="s">
        <v>3320</v>
      </c>
      <c r="DWU45" s="318" t="s">
        <v>3319</v>
      </c>
      <c r="DWV45" s="319" t="s">
        <v>3320</v>
      </c>
      <c r="DWW45" s="318" t="s">
        <v>3319</v>
      </c>
      <c r="DWX45" s="319" t="s">
        <v>3320</v>
      </c>
      <c r="DWY45" s="318" t="s">
        <v>3319</v>
      </c>
      <c r="DWZ45" s="319" t="s">
        <v>3320</v>
      </c>
      <c r="DXA45" s="318" t="s">
        <v>3319</v>
      </c>
      <c r="DXB45" s="319" t="s">
        <v>3320</v>
      </c>
      <c r="DXC45" s="318" t="s">
        <v>3319</v>
      </c>
      <c r="DXD45" s="319" t="s">
        <v>3320</v>
      </c>
      <c r="DXE45" s="318" t="s">
        <v>3319</v>
      </c>
      <c r="DXF45" s="319" t="s">
        <v>3320</v>
      </c>
      <c r="DXG45" s="318" t="s">
        <v>3319</v>
      </c>
      <c r="DXH45" s="319" t="s">
        <v>3320</v>
      </c>
      <c r="DXI45" s="318" t="s">
        <v>3319</v>
      </c>
      <c r="DXJ45" s="319" t="s">
        <v>3320</v>
      </c>
      <c r="DXK45" s="318" t="s">
        <v>3319</v>
      </c>
      <c r="DXL45" s="319" t="s">
        <v>3320</v>
      </c>
      <c r="DXM45" s="318" t="s">
        <v>3319</v>
      </c>
      <c r="DXN45" s="319" t="s">
        <v>3320</v>
      </c>
      <c r="DXO45" s="318" t="s">
        <v>3319</v>
      </c>
      <c r="DXP45" s="319" t="s">
        <v>3320</v>
      </c>
      <c r="DXQ45" s="318" t="s">
        <v>3319</v>
      </c>
      <c r="DXR45" s="319" t="s">
        <v>3320</v>
      </c>
      <c r="DXS45" s="318" t="s">
        <v>3319</v>
      </c>
      <c r="DXT45" s="319" t="s">
        <v>3320</v>
      </c>
      <c r="DXU45" s="318" t="s">
        <v>3319</v>
      </c>
      <c r="DXV45" s="319" t="s">
        <v>3320</v>
      </c>
      <c r="DXW45" s="318" t="s">
        <v>3319</v>
      </c>
      <c r="DXX45" s="319" t="s">
        <v>3320</v>
      </c>
      <c r="DXY45" s="318" t="s">
        <v>3319</v>
      </c>
      <c r="DXZ45" s="319" t="s">
        <v>3320</v>
      </c>
      <c r="DYA45" s="318" t="s">
        <v>3319</v>
      </c>
      <c r="DYB45" s="319" t="s">
        <v>3320</v>
      </c>
      <c r="DYC45" s="318" t="s">
        <v>3319</v>
      </c>
      <c r="DYD45" s="319" t="s">
        <v>3320</v>
      </c>
      <c r="DYE45" s="318" t="s">
        <v>3319</v>
      </c>
      <c r="DYF45" s="319" t="s">
        <v>3320</v>
      </c>
      <c r="DYG45" s="318" t="s">
        <v>3319</v>
      </c>
      <c r="DYH45" s="319" t="s">
        <v>3320</v>
      </c>
      <c r="DYI45" s="318" t="s">
        <v>3319</v>
      </c>
      <c r="DYJ45" s="319" t="s">
        <v>3320</v>
      </c>
      <c r="DYK45" s="318" t="s">
        <v>3319</v>
      </c>
      <c r="DYL45" s="319" t="s">
        <v>3320</v>
      </c>
      <c r="DYM45" s="318" t="s">
        <v>3319</v>
      </c>
      <c r="DYN45" s="319" t="s">
        <v>3320</v>
      </c>
      <c r="DYO45" s="318" t="s">
        <v>3319</v>
      </c>
      <c r="DYP45" s="319" t="s">
        <v>3320</v>
      </c>
      <c r="DYQ45" s="318" t="s">
        <v>3319</v>
      </c>
      <c r="DYR45" s="319" t="s">
        <v>3320</v>
      </c>
      <c r="DYS45" s="318" t="s">
        <v>3319</v>
      </c>
      <c r="DYT45" s="319" t="s">
        <v>3320</v>
      </c>
      <c r="DYU45" s="318" t="s">
        <v>3319</v>
      </c>
      <c r="DYV45" s="319" t="s">
        <v>3320</v>
      </c>
      <c r="DYW45" s="318" t="s">
        <v>3319</v>
      </c>
      <c r="DYX45" s="319" t="s">
        <v>3320</v>
      </c>
      <c r="DYY45" s="318" t="s">
        <v>3319</v>
      </c>
      <c r="DYZ45" s="319" t="s">
        <v>3320</v>
      </c>
      <c r="DZA45" s="318" t="s">
        <v>3319</v>
      </c>
      <c r="DZB45" s="319" t="s">
        <v>3320</v>
      </c>
      <c r="DZC45" s="318" t="s">
        <v>3319</v>
      </c>
      <c r="DZD45" s="319" t="s">
        <v>3320</v>
      </c>
      <c r="DZE45" s="318" t="s">
        <v>3319</v>
      </c>
      <c r="DZF45" s="319" t="s">
        <v>3320</v>
      </c>
      <c r="DZG45" s="318" t="s">
        <v>3319</v>
      </c>
      <c r="DZH45" s="319" t="s">
        <v>3320</v>
      </c>
      <c r="DZI45" s="318" t="s">
        <v>3319</v>
      </c>
      <c r="DZJ45" s="319" t="s">
        <v>3320</v>
      </c>
      <c r="DZK45" s="318" t="s">
        <v>3319</v>
      </c>
      <c r="DZL45" s="319" t="s">
        <v>3320</v>
      </c>
      <c r="DZM45" s="318" t="s">
        <v>3319</v>
      </c>
      <c r="DZN45" s="319" t="s">
        <v>3320</v>
      </c>
      <c r="DZO45" s="318" t="s">
        <v>3319</v>
      </c>
      <c r="DZP45" s="319" t="s">
        <v>3320</v>
      </c>
      <c r="DZQ45" s="318" t="s">
        <v>3319</v>
      </c>
      <c r="DZR45" s="319" t="s">
        <v>3320</v>
      </c>
      <c r="DZS45" s="318" t="s">
        <v>3319</v>
      </c>
      <c r="DZT45" s="319" t="s">
        <v>3320</v>
      </c>
      <c r="DZU45" s="318" t="s">
        <v>3319</v>
      </c>
      <c r="DZV45" s="319" t="s">
        <v>3320</v>
      </c>
      <c r="DZW45" s="318" t="s">
        <v>3319</v>
      </c>
      <c r="DZX45" s="319" t="s">
        <v>3320</v>
      </c>
      <c r="DZY45" s="318" t="s">
        <v>3319</v>
      </c>
      <c r="DZZ45" s="319" t="s">
        <v>3320</v>
      </c>
      <c r="EAA45" s="318" t="s">
        <v>3319</v>
      </c>
      <c r="EAB45" s="319" t="s">
        <v>3320</v>
      </c>
      <c r="EAC45" s="318" t="s">
        <v>3319</v>
      </c>
      <c r="EAD45" s="319" t="s">
        <v>3320</v>
      </c>
      <c r="EAE45" s="318" t="s">
        <v>3319</v>
      </c>
      <c r="EAF45" s="319" t="s">
        <v>3320</v>
      </c>
      <c r="EAG45" s="318" t="s">
        <v>3319</v>
      </c>
      <c r="EAH45" s="319" t="s">
        <v>3320</v>
      </c>
      <c r="EAI45" s="318" t="s">
        <v>3319</v>
      </c>
      <c r="EAJ45" s="319" t="s">
        <v>3320</v>
      </c>
      <c r="EAK45" s="318" t="s">
        <v>3319</v>
      </c>
      <c r="EAL45" s="319" t="s">
        <v>3320</v>
      </c>
      <c r="EAM45" s="318" t="s">
        <v>3319</v>
      </c>
      <c r="EAN45" s="319" t="s">
        <v>3320</v>
      </c>
      <c r="EAO45" s="318" t="s">
        <v>3319</v>
      </c>
      <c r="EAP45" s="319" t="s">
        <v>3320</v>
      </c>
      <c r="EAQ45" s="318" t="s">
        <v>3319</v>
      </c>
      <c r="EAR45" s="319" t="s">
        <v>3320</v>
      </c>
      <c r="EAS45" s="318" t="s">
        <v>3319</v>
      </c>
      <c r="EAT45" s="319" t="s">
        <v>3320</v>
      </c>
      <c r="EAU45" s="318" t="s">
        <v>3319</v>
      </c>
      <c r="EAV45" s="319" t="s">
        <v>3320</v>
      </c>
      <c r="EAW45" s="318" t="s">
        <v>3319</v>
      </c>
      <c r="EAX45" s="319" t="s">
        <v>3320</v>
      </c>
      <c r="EAY45" s="318" t="s">
        <v>3319</v>
      </c>
      <c r="EAZ45" s="319" t="s">
        <v>3320</v>
      </c>
      <c r="EBA45" s="318" t="s">
        <v>3319</v>
      </c>
      <c r="EBB45" s="319" t="s">
        <v>3320</v>
      </c>
      <c r="EBC45" s="318" t="s">
        <v>3319</v>
      </c>
      <c r="EBD45" s="319" t="s">
        <v>3320</v>
      </c>
      <c r="EBE45" s="318" t="s">
        <v>3319</v>
      </c>
      <c r="EBF45" s="319" t="s">
        <v>3320</v>
      </c>
      <c r="EBG45" s="318" t="s">
        <v>3319</v>
      </c>
      <c r="EBH45" s="319" t="s">
        <v>3320</v>
      </c>
      <c r="EBI45" s="318" t="s">
        <v>3319</v>
      </c>
      <c r="EBJ45" s="319" t="s">
        <v>3320</v>
      </c>
      <c r="EBK45" s="318" t="s">
        <v>3319</v>
      </c>
      <c r="EBL45" s="319" t="s">
        <v>3320</v>
      </c>
      <c r="EBM45" s="318" t="s">
        <v>3319</v>
      </c>
      <c r="EBN45" s="319" t="s">
        <v>3320</v>
      </c>
      <c r="EBO45" s="318" t="s">
        <v>3319</v>
      </c>
      <c r="EBP45" s="319" t="s">
        <v>3320</v>
      </c>
      <c r="EBQ45" s="318" t="s">
        <v>3319</v>
      </c>
      <c r="EBR45" s="319" t="s">
        <v>3320</v>
      </c>
      <c r="EBS45" s="318" t="s">
        <v>3319</v>
      </c>
      <c r="EBT45" s="319" t="s">
        <v>3320</v>
      </c>
      <c r="EBU45" s="318" t="s">
        <v>3319</v>
      </c>
      <c r="EBV45" s="319" t="s">
        <v>3320</v>
      </c>
      <c r="EBW45" s="318" t="s">
        <v>3319</v>
      </c>
      <c r="EBX45" s="319" t="s">
        <v>3320</v>
      </c>
      <c r="EBY45" s="318" t="s">
        <v>3319</v>
      </c>
      <c r="EBZ45" s="319" t="s">
        <v>3320</v>
      </c>
      <c r="ECA45" s="318" t="s">
        <v>3319</v>
      </c>
      <c r="ECB45" s="319" t="s">
        <v>3320</v>
      </c>
      <c r="ECC45" s="318" t="s">
        <v>3319</v>
      </c>
      <c r="ECD45" s="319" t="s">
        <v>3320</v>
      </c>
      <c r="ECE45" s="318" t="s">
        <v>3319</v>
      </c>
      <c r="ECF45" s="319" t="s">
        <v>3320</v>
      </c>
      <c r="ECG45" s="318" t="s">
        <v>3319</v>
      </c>
      <c r="ECH45" s="319" t="s">
        <v>3320</v>
      </c>
      <c r="ECI45" s="318" t="s">
        <v>3319</v>
      </c>
      <c r="ECJ45" s="319" t="s">
        <v>3320</v>
      </c>
      <c r="ECK45" s="318" t="s">
        <v>3319</v>
      </c>
      <c r="ECL45" s="319" t="s">
        <v>3320</v>
      </c>
      <c r="ECM45" s="318" t="s">
        <v>3319</v>
      </c>
      <c r="ECN45" s="319" t="s">
        <v>3320</v>
      </c>
      <c r="ECO45" s="318" t="s">
        <v>3319</v>
      </c>
      <c r="ECP45" s="319" t="s">
        <v>3320</v>
      </c>
      <c r="ECQ45" s="318" t="s">
        <v>3319</v>
      </c>
      <c r="ECR45" s="319" t="s">
        <v>3320</v>
      </c>
      <c r="ECS45" s="318" t="s">
        <v>3319</v>
      </c>
      <c r="ECT45" s="319" t="s">
        <v>3320</v>
      </c>
      <c r="ECU45" s="318" t="s">
        <v>3319</v>
      </c>
      <c r="ECV45" s="319" t="s">
        <v>3320</v>
      </c>
      <c r="ECW45" s="318" t="s">
        <v>3319</v>
      </c>
      <c r="ECX45" s="319" t="s">
        <v>3320</v>
      </c>
      <c r="ECY45" s="318" t="s">
        <v>3319</v>
      </c>
      <c r="ECZ45" s="319" t="s">
        <v>3320</v>
      </c>
      <c r="EDA45" s="318" t="s">
        <v>3319</v>
      </c>
      <c r="EDB45" s="319" t="s">
        <v>3320</v>
      </c>
      <c r="EDC45" s="318" t="s">
        <v>3319</v>
      </c>
      <c r="EDD45" s="319" t="s">
        <v>3320</v>
      </c>
      <c r="EDE45" s="318" t="s">
        <v>3319</v>
      </c>
      <c r="EDF45" s="319" t="s">
        <v>3320</v>
      </c>
      <c r="EDG45" s="318" t="s">
        <v>3319</v>
      </c>
      <c r="EDH45" s="319" t="s">
        <v>3320</v>
      </c>
      <c r="EDI45" s="318" t="s">
        <v>3319</v>
      </c>
      <c r="EDJ45" s="319" t="s">
        <v>3320</v>
      </c>
      <c r="EDK45" s="318" t="s">
        <v>3319</v>
      </c>
      <c r="EDL45" s="319" t="s">
        <v>3320</v>
      </c>
      <c r="EDM45" s="318" t="s">
        <v>3319</v>
      </c>
      <c r="EDN45" s="319" t="s">
        <v>3320</v>
      </c>
      <c r="EDO45" s="318" t="s">
        <v>3319</v>
      </c>
      <c r="EDP45" s="319" t="s">
        <v>3320</v>
      </c>
      <c r="EDQ45" s="318" t="s">
        <v>3319</v>
      </c>
      <c r="EDR45" s="319" t="s">
        <v>3320</v>
      </c>
      <c r="EDS45" s="318" t="s">
        <v>3319</v>
      </c>
      <c r="EDT45" s="319" t="s">
        <v>3320</v>
      </c>
      <c r="EDU45" s="318" t="s">
        <v>3319</v>
      </c>
      <c r="EDV45" s="319" t="s">
        <v>3320</v>
      </c>
      <c r="EDW45" s="318" t="s">
        <v>3319</v>
      </c>
      <c r="EDX45" s="319" t="s">
        <v>3320</v>
      </c>
      <c r="EDY45" s="318" t="s">
        <v>3319</v>
      </c>
      <c r="EDZ45" s="319" t="s">
        <v>3320</v>
      </c>
      <c r="EEA45" s="318" t="s">
        <v>3319</v>
      </c>
      <c r="EEB45" s="319" t="s">
        <v>3320</v>
      </c>
      <c r="EEC45" s="318" t="s">
        <v>3319</v>
      </c>
      <c r="EED45" s="319" t="s">
        <v>3320</v>
      </c>
      <c r="EEE45" s="318" t="s">
        <v>3319</v>
      </c>
      <c r="EEF45" s="319" t="s">
        <v>3320</v>
      </c>
      <c r="EEG45" s="318" t="s">
        <v>3319</v>
      </c>
      <c r="EEH45" s="319" t="s">
        <v>3320</v>
      </c>
      <c r="EEI45" s="318" t="s">
        <v>3319</v>
      </c>
      <c r="EEJ45" s="319" t="s">
        <v>3320</v>
      </c>
      <c r="EEK45" s="318" t="s">
        <v>3319</v>
      </c>
      <c r="EEL45" s="319" t="s">
        <v>3320</v>
      </c>
      <c r="EEM45" s="318" t="s">
        <v>3319</v>
      </c>
      <c r="EEN45" s="319" t="s">
        <v>3320</v>
      </c>
      <c r="EEO45" s="318" t="s">
        <v>3319</v>
      </c>
      <c r="EEP45" s="319" t="s">
        <v>3320</v>
      </c>
      <c r="EEQ45" s="318" t="s">
        <v>3319</v>
      </c>
      <c r="EER45" s="319" t="s">
        <v>3320</v>
      </c>
      <c r="EES45" s="318" t="s">
        <v>3319</v>
      </c>
      <c r="EET45" s="319" t="s">
        <v>3320</v>
      </c>
      <c r="EEU45" s="318" t="s">
        <v>3319</v>
      </c>
      <c r="EEV45" s="319" t="s">
        <v>3320</v>
      </c>
      <c r="EEW45" s="318" t="s">
        <v>3319</v>
      </c>
      <c r="EEX45" s="319" t="s">
        <v>3320</v>
      </c>
      <c r="EEY45" s="318" t="s">
        <v>3319</v>
      </c>
      <c r="EEZ45" s="319" t="s">
        <v>3320</v>
      </c>
      <c r="EFA45" s="318" t="s">
        <v>3319</v>
      </c>
      <c r="EFB45" s="319" t="s">
        <v>3320</v>
      </c>
      <c r="EFC45" s="318" t="s">
        <v>3319</v>
      </c>
      <c r="EFD45" s="319" t="s">
        <v>3320</v>
      </c>
      <c r="EFE45" s="318" t="s">
        <v>3319</v>
      </c>
      <c r="EFF45" s="319" t="s">
        <v>3320</v>
      </c>
      <c r="EFG45" s="318" t="s">
        <v>3319</v>
      </c>
      <c r="EFH45" s="319" t="s">
        <v>3320</v>
      </c>
      <c r="EFI45" s="318" t="s">
        <v>3319</v>
      </c>
      <c r="EFJ45" s="319" t="s">
        <v>3320</v>
      </c>
      <c r="EFK45" s="318" t="s">
        <v>3319</v>
      </c>
      <c r="EFL45" s="319" t="s">
        <v>3320</v>
      </c>
      <c r="EFM45" s="318" t="s">
        <v>3319</v>
      </c>
      <c r="EFN45" s="319" t="s">
        <v>3320</v>
      </c>
      <c r="EFO45" s="318" t="s">
        <v>3319</v>
      </c>
      <c r="EFP45" s="319" t="s">
        <v>3320</v>
      </c>
      <c r="EFQ45" s="318" t="s">
        <v>3319</v>
      </c>
      <c r="EFR45" s="319" t="s">
        <v>3320</v>
      </c>
      <c r="EFS45" s="318" t="s">
        <v>3319</v>
      </c>
      <c r="EFT45" s="319" t="s">
        <v>3320</v>
      </c>
      <c r="EFU45" s="318" t="s">
        <v>3319</v>
      </c>
      <c r="EFV45" s="319" t="s">
        <v>3320</v>
      </c>
      <c r="EFW45" s="318" t="s">
        <v>3319</v>
      </c>
      <c r="EFX45" s="319" t="s">
        <v>3320</v>
      </c>
      <c r="EFY45" s="318" t="s">
        <v>3319</v>
      </c>
      <c r="EFZ45" s="319" t="s">
        <v>3320</v>
      </c>
      <c r="EGA45" s="318" t="s">
        <v>3319</v>
      </c>
      <c r="EGB45" s="319" t="s">
        <v>3320</v>
      </c>
      <c r="EGC45" s="318" t="s">
        <v>3319</v>
      </c>
      <c r="EGD45" s="319" t="s">
        <v>3320</v>
      </c>
      <c r="EGE45" s="318" t="s">
        <v>3319</v>
      </c>
      <c r="EGF45" s="319" t="s">
        <v>3320</v>
      </c>
      <c r="EGG45" s="318" t="s">
        <v>3319</v>
      </c>
      <c r="EGH45" s="319" t="s">
        <v>3320</v>
      </c>
      <c r="EGI45" s="318" t="s">
        <v>3319</v>
      </c>
      <c r="EGJ45" s="319" t="s">
        <v>3320</v>
      </c>
      <c r="EGK45" s="318" t="s">
        <v>3319</v>
      </c>
      <c r="EGL45" s="319" t="s">
        <v>3320</v>
      </c>
      <c r="EGM45" s="318" t="s">
        <v>3319</v>
      </c>
      <c r="EGN45" s="319" t="s">
        <v>3320</v>
      </c>
      <c r="EGO45" s="318" t="s">
        <v>3319</v>
      </c>
      <c r="EGP45" s="319" t="s">
        <v>3320</v>
      </c>
      <c r="EGQ45" s="318" t="s">
        <v>3319</v>
      </c>
      <c r="EGR45" s="319" t="s">
        <v>3320</v>
      </c>
      <c r="EGS45" s="318" t="s">
        <v>3319</v>
      </c>
      <c r="EGT45" s="319" t="s">
        <v>3320</v>
      </c>
      <c r="EGU45" s="318" t="s">
        <v>3319</v>
      </c>
      <c r="EGV45" s="319" t="s">
        <v>3320</v>
      </c>
      <c r="EGW45" s="318" t="s">
        <v>3319</v>
      </c>
      <c r="EGX45" s="319" t="s">
        <v>3320</v>
      </c>
      <c r="EGY45" s="318" t="s">
        <v>3319</v>
      </c>
      <c r="EGZ45" s="319" t="s">
        <v>3320</v>
      </c>
      <c r="EHA45" s="318" t="s">
        <v>3319</v>
      </c>
      <c r="EHB45" s="319" t="s">
        <v>3320</v>
      </c>
      <c r="EHC45" s="318" t="s">
        <v>3319</v>
      </c>
      <c r="EHD45" s="319" t="s">
        <v>3320</v>
      </c>
      <c r="EHE45" s="318" t="s">
        <v>3319</v>
      </c>
      <c r="EHF45" s="319" t="s">
        <v>3320</v>
      </c>
      <c r="EHG45" s="318" t="s">
        <v>3319</v>
      </c>
      <c r="EHH45" s="319" t="s">
        <v>3320</v>
      </c>
      <c r="EHI45" s="318" t="s">
        <v>3319</v>
      </c>
      <c r="EHJ45" s="319" t="s">
        <v>3320</v>
      </c>
      <c r="EHK45" s="318" t="s">
        <v>3319</v>
      </c>
      <c r="EHL45" s="319" t="s">
        <v>3320</v>
      </c>
      <c r="EHM45" s="318" t="s">
        <v>3319</v>
      </c>
      <c r="EHN45" s="319" t="s">
        <v>3320</v>
      </c>
      <c r="EHO45" s="318" t="s">
        <v>3319</v>
      </c>
      <c r="EHP45" s="319" t="s">
        <v>3320</v>
      </c>
      <c r="EHQ45" s="318" t="s">
        <v>3319</v>
      </c>
      <c r="EHR45" s="319" t="s">
        <v>3320</v>
      </c>
      <c r="EHS45" s="318" t="s">
        <v>3319</v>
      </c>
      <c r="EHT45" s="319" t="s">
        <v>3320</v>
      </c>
      <c r="EHU45" s="318" t="s">
        <v>3319</v>
      </c>
      <c r="EHV45" s="319" t="s">
        <v>3320</v>
      </c>
      <c r="EHW45" s="318" t="s">
        <v>3319</v>
      </c>
      <c r="EHX45" s="319" t="s">
        <v>3320</v>
      </c>
      <c r="EHY45" s="318" t="s">
        <v>3319</v>
      </c>
      <c r="EHZ45" s="319" t="s">
        <v>3320</v>
      </c>
      <c r="EIA45" s="318" t="s">
        <v>3319</v>
      </c>
      <c r="EIB45" s="319" t="s">
        <v>3320</v>
      </c>
      <c r="EIC45" s="318" t="s">
        <v>3319</v>
      </c>
      <c r="EID45" s="319" t="s">
        <v>3320</v>
      </c>
      <c r="EIE45" s="318" t="s">
        <v>3319</v>
      </c>
      <c r="EIF45" s="319" t="s">
        <v>3320</v>
      </c>
      <c r="EIG45" s="318" t="s">
        <v>3319</v>
      </c>
      <c r="EIH45" s="319" t="s">
        <v>3320</v>
      </c>
      <c r="EII45" s="318" t="s">
        <v>3319</v>
      </c>
      <c r="EIJ45" s="319" t="s">
        <v>3320</v>
      </c>
      <c r="EIK45" s="318" t="s">
        <v>3319</v>
      </c>
      <c r="EIL45" s="319" t="s">
        <v>3320</v>
      </c>
      <c r="EIM45" s="318" t="s">
        <v>3319</v>
      </c>
      <c r="EIN45" s="319" t="s">
        <v>3320</v>
      </c>
      <c r="EIO45" s="318" t="s">
        <v>3319</v>
      </c>
      <c r="EIP45" s="319" t="s">
        <v>3320</v>
      </c>
      <c r="EIQ45" s="318" t="s">
        <v>3319</v>
      </c>
      <c r="EIR45" s="319" t="s">
        <v>3320</v>
      </c>
      <c r="EIS45" s="318" t="s">
        <v>3319</v>
      </c>
      <c r="EIT45" s="319" t="s">
        <v>3320</v>
      </c>
      <c r="EIU45" s="318" t="s">
        <v>3319</v>
      </c>
      <c r="EIV45" s="319" t="s">
        <v>3320</v>
      </c>
      <c r="EIW45" s="318" t="s">
        <v>3319</v>
      </c>
      <c r="EIX45" s="319" t="s">
        <v>3320</v>
      </c>
      <c r="EIY45" s="318" t="s">
        <v>3319</v>
      </c>
      <c r="EIZ45" s="319" t="s">
        <v>3320</v>
      </c>
      <c r="EJA45" s="318" t="s">
        <v>3319</v>
      </c>
      <c r="EJB45" s="319" t="s">
        <v>3320</v>
      </c>
      <c r="EJC45" s="318" t="s">
        <v>3319</v>
      </c>
      <c r="EJD45" s="319" t="s">
        <v>3320</v>
      </c>
      <c r="EJE45" s="318" t="s">
        <v>3319</v>
      </c>
      <c r="EJF45" s="319" t="s">
        <v>3320</v>
      </c>
      <c r="EJG45" s="318" t="s">
        <v>3319</v>
      </c>
      <c r="EJH45" s="319" t="s">
        <v>3320</v>
      </c>
      <c r="EJI45" s="318" t="s">
        <v>3319</v>
      </c>
      <c r="EJJ45" s="319" t="s">
        <v>3320</v>
      </c>
      <c r="EJK45" s="318" t="s">
        <v>3319</v>
      </c>
      <c r="EJL45" s="319" t="s">
        <v>3320</v>
      </c>
      <c r="EJM45" s="318" t="s">
        <v>3319</v>
      </c>
      <c r="EJN45" s="319" t="s">
        <v>3320</v>
      </c>
      <c r="EJO45" s="318" t="s">
        <v>3319</v>
      </c>
      <c r="EJP45" s="319" t="s">
        <v>3320</v>
      </c>
      <c r="EJQ45" s="318" t="s">
        <v>3319</v>
      </c>
      <c r="EJR45" s="319" t="s">
        <v>3320</v>
      </c>
      <c r="EJS45" s="318" t="s">
        <v>3319</v>
      </c>
      <c r="EJT45" s="319" t="s">
        <v>3320</v>
      </c>
      <c r="EJU45" s="318" t="s">
        <v>3319</v>
      </c>
      <c r="EJV45" s="319" t="s">
        <v>3320</v>
      </c>
      <c r="EJW45" s="318" t="s">
        <v>3319</v>
      </c>
      <c r="EJX45" s="319" t="s">
        <v>3320</v>
      </c>
      <c r="EJY45" s="318" t="s">
        <v>3319</v>
      </c>
      <c r="EJZ45" s="319" t="s">
        <v>3320</v>
      </c>
      <c r="EKA45" s="318" t="s">
        <v>3319</v>
      </c>
      <c r="EKB45" s="319" t="s">
        <v>3320</v>
      </c>
      <c r="EKC45" s="318" t="s">
        <v>3319</v>
      </c>
      <c r="EKD45" s="319" t="s">
        <v>3320</v>
      </c>
      <c r="EKE45" s="318" t="s">
        <v>3319</v>
      </c>
      <c r="EKF45" s="319" t="s">
        <v>3320</v>
      </c>
      <c r="EKG45" s="318" t="s">
        <v>3319</v>
      </c>
      <c r="EKH45" s="319" t="s">
        <v>3320</v>
      </c>
      <c r="EKI45" s="318" t="s">
        <v>3319</v>
      </c>
      <c r="EKJ45" s="319" t="s">
        <v>3320</v>
      </c>
      <c r="EKK45" s="318" t="s">
        <v>3319</v>
      </c>
      <c r="EKL45" s="319" t="s">
        <v>3320</v>
      </c>
      <c r="EKM45" s="318" t="s">
        <v>3319</v>
      </c>
      <c r="EKN45" s="319" t="s">
        <v>3320</v>
      </c>
      <c r="EKO45" s="318" t="s">
        <v>3319</v>
      </c>
      <c r="EKP45" s="319" t="s">
        <v>3320</v>
      </c>
      <c r="EKQ45" s="318" t="s">
        <v>3319</v>
      </c>
      <c r="EKR45" s="319" t="s">
        <v>3320</v>
      </c>
      <c r="EKS45" s="318" t="s">
        <v>3319</v>
      </c>
      <c r="EKT45" s="319" t="s">
        <v>3320</v>
      </c>
      <c r="EKU45" s="318" t="s">
        <v>3319</v>
      </c>
      <c r="EKV45" s="319" t="s">
        <v>3320</v>
      </c>
      <c r="EKW45" s="318" t="s">
        <v>3319</v>
      </c>
      <c r="EKX45" s="319" t="s">
        <v>3320</v>
      </c>
      <c r="EKY45" s="318" t="s">
        <v>3319</v>
      </c>
      <c r="EKZ45" s="319" t="s">
        <v>3320</v>
      </c>
      <c r="ELA45" s="318" t="s">
        <v>3319</v>
      </c>
      <c r="ELB45" s="319" t="s">
        <v>3320</v>
      </c>
      <c r="ELC45" s="318" t="s">
        <v>3319</v>
      </c>
      <c r="ELD45" s="319" t="s">
        <v>3320</v>
      </c>
      <c r="ELE45" s="318" t="s">
        <v>3319</v>
      </c>
      <c r="ELF45" s="319" t="s">
        <v>3320</v>
      </c>
      <c r="ELG45" s="318" t="s">
        <v>3319</v>
      </c>
      <c r="ELH45" s="319" t="s">
        <v>3320</v>
      </c>
      <c r="ELI45" s="318" t="s">
        <v>3319</v>
      </c>
      <c r="ELJ45" s="319" t="s">
        <v>3320</v>
      </c>
      <c r="ELK45" s="318" t="s">
        <v>3319</v>
      </c>
      <c r="ELL45" s="319" t="s">
        <v>3320</v>
      </c>
      <c r="ELM45" s="318" t="s">
        <v>3319</v>
      </c>
      <c r="ELN45" s="319" t="s">
        <v>3320</v>
      </c>
      <c r="ELO45" s="318" t="s">
        <v>3319</v>
      </c>
      <c r="ELP45" s="319" t="s">
        <v>3320</v>
      </c>
      <c r="ELQ45" s="318" t="s">
        <v>3319</v>
      </c>
      <c r="ELR45" s="319" t="s">
        <v>3320</v>
      </c>
      <c r="ELS45" s="318" t="s">
        <v>3319</v>
      </c>
      <c r="ELT45" s="319" t="s">
        <v>3320</v>
      </c>
      <c r="ELU45" s="318" t="s">
        <v>3319</v>
      </c>
      <c r="ELV45" s="319" t="s">
        <v>3320</v>
      </c>
      <c r="ELW45" s="318" t="s">
        <v>3319</v>
      </c>
      <c r="ELX45" s="319" t="s">
        <v>3320</v>
      </c>
      <c r="ELY45" s="318" t="s">
        <v>3319</v>
      </c>
      <c r="ELZ45" s="319" t="s">
        <v>3320</v>
      </c>
      <c r="EMA45" s="318" t="s">
        <v>3319</v>
      </c>
      <c r="EMB45" s="319" t="s">
        <v>3320</v>
      </c>
      <c r="EMC45" s="318" t="s">
        <v>3319</v>
      </c>
      <c r="EMD45" s="319" t="s">
        <v>3320</v>
      </c>
      <c r="EME45" s="318" t="s">
        <v>3319</v>
      </c>
      <c r="EMF45" s="319" t="s">
        <v>3320</v>
      </c>
      <c r="EMG45" s="318" t="s">
        <v>3319</v>
      </c>
      <c r="EMH45" s="319" t="s">
        <v>3320</v>
      </c>
      <c r="EMI45" s="318" t="s">
        <v>3319</v>
      </c>
      <c r="EMJ45" s="319" t="s">
        <v>3320</v>
      </c>
      <c r="EMK45" s="318" t="s">
        <v>3319</v>
      </c>
      <c r="EML45" s="319" t="s">
        <v>3320</v>
      </c>
      <c r="EMM45" s="318" t="s">
        <v>3319</v>
      </c>
      <c r="EMN45" s="319" t="s">
        <v>3320</v>
      </c>
      <c r="EMO45" s="318" t="s">
        <v>3319</v>
      </c>
      <c r="EMP45" s="319" t="s">
        <v>3320</v>
      </c>
      <c r="EMQ45" s="318" t="s">
        <v>3319</v>
      </c>
      <c r="EMR45" s="319" t="s">
        <v>3320</v>
      </c>
      <c r="EMS45" s="318" t="s">
        <v>3319</v>
      </c>
      <c r="EMT45" s="319" t="s">
        <v>3320</v>
      </c>
      <c r="EMU45" s="318" t="s">
        <v>3319</v>
      </c>
      <c r="EMV45" s="319" t="s">
        <v>3320</v>
      </c>
      <c r="EMW45" s="318" t="s">
        <v>3319</v>
      </c>
      <c r="EMX45" s="319" t="s">
        <v>3320</v>
      </c>
      <c r="EMY45" s="318" t="s">
        <v>3319</v>
      </c>
      <c r="EMZ45" s="319" t="s">
        <v>3320</v>
      </c>
      <c r="ENA45" s="318" t="s">
        <v>3319</v>
      </c>
      <c r="ENB45" s="319" t="s">
        <v>3320</v>
      </c>
      <c r="ENC45" s="318" t="s">
        <v>3319</v>
      </c>
      <c r="END45" s="319" t="s">
        <v>3320</v>
      </c>
      <c r="ENE45" s="318" t="s">
        <v>3319</v>
      </c>
      <c r="ENF45" s="319" t="s">
        <v>3320</v>
      </c>
      <c r="ENG45" s="318" t="s">
        <v>3319</v>
      </c>
      <c r="ENH45" s="319" t="s">
        <v>3320</v>
      </c>
      <c r="ENI45" s="318" t="s">
        <v>3319</v>
      </c>
      <c r="ENJ45" s="319" t="s">
        <v>3320</v>
      </c>
      <c r="ENK45" s="318" t="s">
        <v>3319</v>
      </c>
      <c r="ENL45" s="319" t="s">
        <v>3320</v>
      </c>
      <c r="ENM45" s="318" t="s">
        <v>3319</v>
      </c>
      <c r="ENN45" s="319" t="s">
        <v>3320</v>
      </c>
      <c r="ENO45" s="318" t="s">
        <v>3319</v>
      </c>
      <c r="ENP45" s="319" t="s">
        <v>3320</v>
      </c>
      <c r="ENQ45" s="318" t="s">
        <v>3319</v>
      </c>
      <c r="ENR45" s="319" t="s">
        <v>3320</v>
      </c>
      <c r="ENS45" s="318" t="s">
        <v>3319</v>
      </c>
      <c r="ENT45" s="319" t="s">
        <v>3320</v>
      </c>
      <c r="ENU45" s="318" t="s">
        <v>3319</v>
      </c>
      <c r="ENV45" s="319" t="s">
        <v>3320</v>
      </c>
      <c r="ENW45" s="318" t="s">
        <v>3319</v>
      </c>
      <c r="ENX45" s="319" t="s">
        <v>3320</v>
      </c>
      <c r="ENY45" s="318" t="s">
        <v>3319</v>
      </c>
      <c r="ENZ45" s="319" t="s">
        <v>3320</v>
      </c>
      <c r="EOA45" s="318" t="s">
        <v>3319</v>
      </c>
      <c r="EOB45" s="319" t="s">
        <v>3320</v>
      </c>
      <c r="EOC45" s="318" t="s">
        <v>3319</v>
      </c>
      <c r="EOD45" s="319" t="s">
        <v>3320</v>
      </c>
      <c r="EOE45" s="318" t="s">
        <v>3319</v>
      </c>
      <c r="EOF45" s="319" t="s">
        <v>3320</v>
      </c>
      <c r="EOG45" s="318" t="s">
        <v>3319</v>
      </c>
      <c r="EOH45" s="319" t="s">
        <v>3320</v>
      </c>
      <c r="EOI45" s="318" t="s">
        <v>3319</v>
      </c>
      <c r="EOJ45" s="319" t="s">
        <v>3320</v>
      </c>
      <c r="EOK45" s="318" t="s">
        <v>3319</v>
      </c>
      <c r="EOL45" s="319" t="s">
        <v>3320</v>
      </c>
      <c r="EOM45" s="318" t="s">
        <v>3319</v>
      </c>
      <c r="EON45" s="319" t="s">
        <v>3320</v>
      </c>
      <c r="EOO45" s="318" t="s">
        <v>3319</v>
      </c>
      <c r="EOP45" s="319" t="s">
        <v>3320</v>
      </c>
      <c r="EOQ45" s="318" t="s">
        <v>3319</v>
      </c>
      <c r="EOR45" s="319" t="s">
        <v>3320</v>
      </c>
      <c r="EOS45" s="318" t="s">
        <v>3319</v>
      </c>
      <c r="EOT45" s="319" t="s">
        <v>3320</v>
      </c>
      <c r="EOU45" s="318" t="s">
        <v>3319</v>
      </c>
      <c r="EOV45" s="319" t="s">
        <v>3320</v>
      </c>
      <c r="EOW45" s="318" t="s">
        <v>3319</v>
      </c>
      <c r="EOX45" s="319" t="s">
        <v>3320</v>
      </c>
      <c r="EOY45" s="318" t="s">
        <v>3319</v>
      </c>
      <c r="EOZ45" s="319" t="s">
        <v>3320</v>
      </c>
      <c r="EPA45" s="318" t="s">
        <v>3319</v>
      </c>
      <c r="EPB45" s="319" t="s">
        <v>3320</v>
      </c>
      <c r="EPC45" s="318" t="s">
        <v>3319</v>
      </c>
      <c r="EPD45" s="319" t="s">
        <v>3320</v>
      </c>
      <c r="EPE45" s="318" t="s">
        <v>3319</v>
      </c>
      <c r="EPF45" s="319" t="s">
        <v>3320</v>
      </c>
      <c r="EPG45" s="318" t="s">
        <v>3319</v>
      </c>
      <c r="EPH45" s="319" t="s">
        <v>3320</v>
      </c>
      <c r="EPI45" s="318" t="s">
        <v>3319</v>
      </c>
      <c r="EPJ45" s="319" t="s">
        <v>3320</v>
      </c>
      <c r="EPK45" s="318" t="s">
        <v>3319</v>
      </c>
      <c r="EPL45" s="319" t="s">
        <v>3320</v>
      </c>
      <c r="EPM45" s="318" t="s">
        <v>3319</v>
      </c>
      <c r="EPN45" s="319" t="s">
        <v>3320</v>
      </c>
      <c r="EPO45" s="318" t="s">
        <v>3319</v>
      </c>
      <c r="EPP45" s="319" t="s">
        <v>3320</v>
      </c>
      <c r="EPQ45" s="318" t="s">
        <v>3319</v>
      </c>
      <c r="EPR45" s="319" t="s">
        <v>3320</v>
      </c>
      <c r="EPS45" s="318" t="s">
        <v>3319</v>
      </c>
      <c r="EPT45" s="319" t="s">
        <v>3320</v>
      </c>
      <c r="EPU45" s="318" t="s">
        <v>3319</v>
      </c>
      <c r="EPV45" s="319" t="s">
        <v>3320</v>
      </c>
      <c r="EPW45" s="318" t="s">
        <v>3319</v>
      </c>
      <c r="EPX45" s="319" t="s">
        <v>3320</v>
      </c>
      <c r="EPY45" s="318" t="s">
        <v>3319</v>
      </c>
      <c r="EPZ45" s="319" t="s">
        <v>3320</v>
      </c>
      <c r="EQA45" s="318" t="s">
        <v>3319</v>
      </c>
      <c r="EQB45" s="319" t="s">
        <v>3320</v>
      </c>
      <c r="EQC45" s="318" t="s">
        <v>3319</v>
      </c>
      <c r="EQD45" s="319" t="s">
        <v>3320</v>
      </c>
      <c r="EQE45" s="318" t="s">
        <v>3319</v>
      </c>
      <c r="EQF45" s="319" t="s">
        <v>3320</v>
      </c>
      <c r="EQG45" s="318" t="s">
        <v>3319</v>
      </c>
      <c r="EQH45" s="319" t="s">
        <v>3320</v>
      </c>
      <c r="EQI45" s="318" t="s">
        <v>3319</v>
      </c>
      <c r="EQJ45" s="319" t="s">
        <v>3320</v>
      </c>
      <c r="EQK45" s="318" t="s">
        <v>3319</v>
      </c>
      <c r="EQL45" s="319" t="s">
        <v>3320</v>
      </c>
      <c r="EQM45" s="318" t="s">
        <v>3319</v>
      </c>
      <c r="EQN45" s="319" t="s">
        <v>3320</v>
      </c>
      <c r="EQO45" s="318" t="s">
        <v>3319</v>
      </c>
      <c r="EQP45" s="319" t="s">
        <v>3320</v>
      </c>
      <c r="EQQ45" s="318" t="s">
        <v>3319</v>
      </c>
      <c r="EQR45" s="319" t="s">
        <v>3320</v>
      </c>
      <c r="EQS45" s="318" t="s">
        <v>3319</v>
      </c>
      <c r="EQT45" s="319" t="s">
        <v>3320</v>
      </c>
      <c r="EQU45" s="318" t="s">
        <v>3319</v>
      </c>
      <c r="EQV45" s="319" t="s">
        <v>3320</v>
      </c>
      <c r="EQW45" s="318" t="s">
        <v>3319</v>
      </c>
      <c r="EQX45" s="319" t="s">
        <v>3320</v>
      </c>
      <c r="EQY45" s="318" t="s">
        <v>3319</v>
      </c>
      <c r="EQZ45" s="319" t="s">
        <v>3320</v>
      </c>
      <c r="ERA45" s="318" t="s">
        <v>3319</v>
      </c>
      <c r="ERB45" s="319" t="s">
        <v>3320</v>
      </c>
      <c r="ERC45" s="318" t="s">
        <v>3319</v>
      </c>
      <c r="ERD45" s="319" t="s">
        <v>3320</v>
      </c>
      <c r="ERE45" s="318" t="s">
        <v>3319</v>
      </c>
      <c r="ERF45" s="319" t="s">
        <v>3320</v>
      </c>
      <c r="ERG45" s="318" t="s">
        <v>3319</v>
      </c>
      <c r="ERH45" s="319" t="s">
        <v>3320</v>
      </c>
      <c r="ERI45" s="318" t="s">
        <v>3319</v>
      </c>
      <c r="ERJ45" s="319" t="s">
        <v>3320</v>
      </c>
      <c r="ERK45" s="318" t="s">
        <v>3319</v>
      </c>
      <c r="ERL45" s="319" t="s">
        <v>3320</v>
      </c>
      <c r="ERM45" s="318" t="s">
        <v>3319</v>
      </c>
      <c r="ERN45" s="319" t="s">
        <v>3320</v>
      </c>
      <c r="ERO45" s="318" t="s">
        <v>3319</v>
      </c>
      <c r="ERP45" s="319" t="s">
        <v>3320</v>
      </c>
      <c r="ERQ45" s="318" t="s">
        <v>3319</v>
      </c>
      <c r="ERR45" s="319" t="s">
        <v>3320</v>
      </c>
      <c r="ERS45" s="318" t="s">
        <v>3319</v>
      </c>
      <c r="ERT45" s="319" t="s">
        <v>3320</v>
      </c>
      <c r="ERU45" s="318" t="s">
        <v>3319</v>
      </c>
      <c r="ERV45" s="319" t="s">
        <v>3320</v>
      </c>
      <c r="ERW45" s="318" t="s">
        <v>3319</v>
      </c>
      <c r="ERX45" s="319" t="s">
        <v>3320</v>
      </c>
      <c r="ERY45" s="318" t="s">
        <v>3319</v>
      </c>
      <c r="ERZ45" s="319" t="s">
        <v>3320</v>
      </c>
      <c r="ESA45" s="318" t="s">
        <v>3319</v>
      </c>
      <c r="ESB45" s="319" t="s">
        <v>3320</v>
      </c>
      <c r="ESC45" s="318" t="s">
        <v>3319</v>
      </c>
      <c r="ESD45" s="319" t="s">
        <v>3320</v>
      </c>
      <c r="ESE45" s="318" t="s">
        <v>3319</v>
      </c>
      <c r="ESF45" s="319" t="s">
        <v>3320</v>
      </c>
      <c r="ESG45" s="318" t="s">
        <v>3319</v>
      </c>
      <c r="ESH45" s="319" t="s">
        <v>3320</v>
      </c>
      <c r="ESI45" s="318" t="s">
        <v>3319</v>
      </c>
      <c r="ESJ45" s="319" t="s">
        <v>3320</v>
      </c>
      <c r="ESK45" s="318" t="s">
        <v>3319</v>
      </c>
      <c r="ESL45" s="319" t="s">
        <v>3320</v>
      </c>
      <c r="ESM45" s="318" t="s">
        <v>3319</v>
      </c>
      <c r="ESN45" s="319" t="s">
        <v>3320</v>
      </c>
      <c r="ESO45" s="318" t="s">
        <v>3319</v>
      </c>
      <c r="ESP45" s="319" t="s">
        <v>3320</v>
      </c>
      <c r="ESQ45" s="318" t="s">
        <v>3319</v>
      </c>
      <c r="ESR45" s="319" t="s">
        <v>3320</v>
      </c>
      <c r="ESS45" s="318" t="s">
        <v>3319</v>
      </c>
      <c r="EST45" s="319" t="s">
        <v>3320</v>
      </c>
      <c r="ESU45" s="318" t="s">
        <v>3319</v>
      </c>
      <c r="ESV45" s="319" t="s">
        <v>3320</v>
      </c>
      <c r="ESW45" s="318" t="s">
        <v>3319</v>
      </c>
      <c r="ESX45" s="319" t="s">
        <v>3320</v>
      </c>
      <c r="ESY45" s="318" t="s">
        <v>3319</v>
      </c>
      <c r="ESZ45" s="319" t="s">
        <v>3320</v>
      </c>
      <c r="ETA45" s="318" t="s">
        <v>3319</v>
      </c>
      <c r="ETB45" s="319" t="s">
        <v>3320</v>
      </c>
      <c r="ETC45" s="318" t="s">
        <v>3319</v>
      </c>
      <c r="ETD45" s="319" t="s">
        <v>3320</v>
      </c>
      <c r="ETE45" s="318" t="s">
        <v>3319</v>
      </c>
      <c r="ETF45" s="319" t="s">
        <v>3320</v>
      </c>
      <c r="ETG45" s="318" t="s">
        <v>3319</v>
      </c>
      <c r="ETH45" s="319" t="s">
        <v>3320</v>
      </c>
      <c r="ETI45" s="318" t="s">
        <v>3319</v>
      </c>
      <c r="ETJ45" s="319" t="s">
        <v>3320</v>
      </c>
      <c r="ETK45" s="318" t="s">
        <v>3319</v>
      </c>
      <c r="ETL45" s="319" t="s">
        <v>3320</v>
      </c>
      <c r="ETM45" s="318" t="s">
        <v>3319</v>
      </c>
      <c r="ETN45" s="319" t="s">
        <v>3320</v>
      </c>
      <c r="ETO45" s="318" t="s">
        <v>3319</v>
      </c>
      <c r="ETP45" s="319" t="s">
        <v>3320</v>
      </c>
      <c r="ETQ45" s="318" t="s">
        <v>3319</v>
      </c>
      <c r="ETR45" s="319" t="s">
        <v>3320</v>
      </c>
      <c r="ETS45" s="318" t="s">
        <v>3319</v>
      </c>
      <c r="ETT45" s="319" t="s">
        <v>3320</v>
      </c>
      <c r="ETU45" s="318" t="s">
        <v>3319</v>
      </c>
      <c r="ETV45" s="319" t="s">
        <v>3320</v>
      </c>
      <c r="ETW45" s="318" t="s">
        <v>3319</v>
      </c>
      <c r="ETX45" s="319" t="s">
        <v>3320</v>
      </c>
      <c r="ETY45" s="318" t="s">
        <v>3319</v>
      </c>
      <c r="ETZ45" s="319" t="s">
        <v>3320</v>
      </c>
      <c r="EUA45" s="318" t="s">
        <v>3319</v>
      </c>
      <c r="EUB45" s="319" t="s">
        <v>3320</v>
      </c>
      <c r="EUC45" s="318" t="s">
        <v>3319</v>
      </c>
      <c r="EUD45" s="319" t="s">
        <v>3320</v>
      </c>
      <c r="EUE45" s="318" t="s">
        <v>3319</v>
      </c>
      <c r="EUF45" s="319" t="s">
        <v>3320</v>
      </c>
      <c r="EUG45" s="318" t="s">
        <v>3319</v>
      </c>
      <c r="EUH45" s="319" t="s">
        <v>3320</v>
      </c>
      <c r="EUI45" s="318" t="s">
        <v>3319</v>
      </c>
      <c r="EUJ45" s="319" t="s">
        <v>3320</v>
      </c>
      <c r="EUK45" s="318" t="s">
        <v>3319</v>
      </c>
      <c r="EUL45" s="319" t="s">
        <v>3320</v>
      </c>
      <c r="EUM45" s="318" t="s">
        <v>3319</v>
      </c>
      <c r="EUN45" s="319" t="s">
        <v>3320</v>
      </c>
      <c r="EUO45" s="318" t="s">
        <v>3319</v>
      </c>
      <c r="EUP45" s="319" t="s">
        <v>3320</v>
      </c>
      <c r="EUQ45" s="318" t="s">
        <v>3319</v>
      </c>
      <c r="EUR45" s="319" t="s">
        <v>3320</v>
      </c>
      <c r="EUS45" s="318" t="s">
        <v>3319</v>
      </c>
      <c r="EUT45" s="319" t="s">
        <v>3320</v>
      </c>
      <c r="EUU45" s="318" t="s">
        <v>3319</v>
      </c>
      <c r="EUV45" s="319" t="s">
        <v>3320</v>
      </c>
      <c r="EUW45" s="318" t="s">
        <v>3319</v>
      </c>
      <c r="EUX45" s="319" t="s">
        <v>3320</v>
      </c>
      <c r="EUY45" s="318" t="s">
        <v>3319</v>
      </c>
      <c r="EUZ45" s="319" t="s">
        <v>3320</v>
      </c>
      <c r="EVA45" s="318" t="s">
        <v>3319</v>
      </c>
      <c r="EVB45" s="319" t="s">
        <v>3320</v>
      </c>
      <c r="EVC45" s="318" t="s">
        <v>3319</v>
      </c>
      <c r="EVD45" s="319" t="s">
        <v>3320</v>
      </c>
      <c r="EVE45" s="318" t="s">
        <v>3319</v>
      </c>
      <c r="EVF45" s="319" t="s">
        <v>3320</v>
      </c>
      <c r="EVG45" s="318" t="s">
        <v>3319</v>
      </c>
      <c r="EVH45" s="319" t="s">
        <v>3320</v>
      </c>
      <c r="EVI45" s="318" t="s">
        <v>3319</v>
      </c>
      <c r="EVJ45" s="319" t="s">
        <v>3320</v>
      </c>
      <c r="EVK45" s="318" t="s">
        <v>3319</v>
      </c>
      <c r="EVL45" s="319" t="s">
        <v>3320</v>
      </c>
      <c r="EVM45" s="318" t="s">
        <v>3319</v>
      </c>
      <c r="EVN45" s="319" t="s">
        <v>3320</v>
      </c>
      <c r="EVO45" s="318" t="s">
        <v>3319</v>
      </c>
      <c r="EVP45" s="319" t="s">
        <v>3320</v>
      </c>
      <c r="EVQ45" s="318" t="s">
        <v>3319</v>
      </c>
      <c r="EVR45" s="319" t="s">
        <v>3320</v>
      </c>
      <c r="EVS45" s="318" t="s">
        <v>3319</v>
      </c>
      <c r="EVT45" s="319" t="s">
        <v>3320</v>
      </c>
      <c r="EVU45" s="318" t="s">
        <v>3319</v>
      </c>
      <c r="EVV45" s="319" t="s">
        <v>3320</v>
      </c>
      <c r="EVW45" s="318" t="s">
        <v>3319</v>
      </c>
      <c r="EVX45" s="319" t="s">
        <v>3320</v>
      </c>
      <c r="EVY45" s="318" t="s">
        <v>3319</v>
      </c>
      <c r="EVZ45" s="319" t="s">
        <v>3320</v>
      </c>
      <c r="EWA45" s="318" t="s">
        <v>3319</v>
      </c>
      <c r="EWB45" s="319" t="s">
        <v>3320</v>
      </c>
      <c r="EWC45" s="318" t="s">
        <v>3319</v>
      </c>
      <c r="EWD45" s="319" t="s">
        <v>3320</v>
      </c>
      <c r="EWE45" s="318" t="s">
        <v>3319</v>
      </c>
      <c r="EWF45" s="319" t="s">
        <v>3320</v>
      </c>
      <c r="EWG45" s="318" t="s">
        <v>3319</v>
      </c>
      <c r="EWH45" s="319" t="s">
        <v>3320</v>
      </c>
      <c r="EWI45" s="318" t="s">
        <v>3319</v>
      </c>
      <c r="EWJ45" s="319" t="s">
        <v>3320</v>
      </c>
      <c r="EWK45" s="318" t="s">
        <v>3319</v>
      </c>
      <c r="EWL45" s="319" t="s">
        <v>3320</v>
      </c>
      <c r="EWM45" s="318" t="s">
        <v>3319</v>
      </c>
      <c r="EWN45" s="319" t="s">
        <v>3320</v>
      </c>
      <c r="EWO45" s="318" t="s">
        <v>3319</v>
      </c>
      <c r="EWP45" s="319" t="s">
        <v>3320</v>
      </c>
      <c r="EWQ45" s="318" t="s">
        <v>3319</v>
      </c>
      <c r="EWR45" s="319" t="s">
        <v>3320</v>
      </c>
      <c r="EWS45" s="318" t="s">
        <v>3319</v>
      </c>
      <c r="EWT45" s="319" t="s">
        <v>3320</v>
      </c>
      <c r="EWU45" s="318" t="s">
        <v>3319</v>
      </c>
      <c r="EWV45" s="319" t="s">
        <v>3320</v>
      </c>
      <c r="EWW45" s="318" t="s">
        <v>3319</v>
      </c>
      <c r="EWX45" s="319" t="s">
        <v>3320</v>
      </c>
      <c r="EWY45" s="318" t="s">
        <v>3319</v>
      </c>
      <c r="EWZ45" s="319" t="s">
        <v>3320</v>
      </c>
      <c r="EXA45" s="318" t="s">
        <v>3319</v>
      </c>
      <c r="EXB45" s="319" t="s">
        <v>3320</v>
      </c>
      <c r="EXC45" s="318" t="s">
        <v>3319</v>
      </c>
      <c r="EXD45" s="319" t="s">
        <v>3320</v>
      </c>
      <c r="EXE45" s="318" t="s">
        <v>3319</v>
      </c>
      <c r="EXF45" s="319" t="s">
        <v>3320</v>
      </c>
      <c r="EXG45" s="318" t="s">
        <v>3319</v>
      </c>
      <c r="EXH45" s="319" t="s">
        <v>3320</v>
      </c>
      <c r="EXI45" s="318" t="s">
        <v>3319</v>
      </c>
      <c r="EXJ45" s="319" t="s">
        <v>3320</v>
      </c>
      <c r="EXK45" s="318" t="s">
        <v>3319</v>
      </c>
      <c r="EXL45" s="319" t="s">
        <v>3320</v>
      </c>
      <c r="EXM45" s="318" t="s">
        <v>3319</v>
      </c>
      <c r="EXN45" s="319" t="s">
        <v>3320</v>
      </c>
      <c r="EXO45" s="318" t="s">
        <v>3319</v>
      </c>
      <c r="EXP45" s="319" t="s">
        <v>3320</v>
      </c>
      <c r="EXQ45" s="318" t="s">
        <v>3319</v>
      </c>
      <c r="EXR45" s="319" t="s">
        <v>3320</v>
      </c>
      <c r="EXS45" s="318" t="s">
        <v>3319</v>
      </c>
      <c r="EXT45" s="319" t="s">
        <v>3320</v>
      </c>
      <c r="EXU45" s="318" t="s">
        <v>3319</v>
      </c>
      <c r="EXV45" s="319" t="s">
        <v>3320</v>
      </c>
      <c r="EXW45" s="318" t="s">
        <v>3319</v>
      </c>
      <c r="EXX45" s="319" t="s">
        <v>3320</v>
      </c>
      <c r="EXY45" s="318" t="s">
        <v>3319</v>
      </c>
      <c r="EXZ45" s="319" t="s">
        <v>3320</v>
      </c>
      <c r="EYA45" s="318" t="s">
        <v>3319</v>
      </c>
      <c r="EYB45" s="319" t="s">
        <v>3320</v>
      </c>
      <c r="EYC45" s="318" t="s">
        <v>3319</v>
      </c>
      <c r="EYD45" s="319" t="s">
        <v>3320</v>
      </c>
      <c r="EYE45" s="318" t="s">
        <v>3319</v>
      </c>
      <c r="EYF45" s="319" t="s">
        <v>3320</v>
      </c>
      <c r="EYG45" s="318" t="s">
        <v>3319</v>
      </c>
      <c r="EYH45" s="319" t="s">
        <v>3320</v>
      </c>
      <c r="EYI45" s="318" t="s">
        <v>3319</v>
      </c>
      <c r="EYJ45" s="319" t="s">
        <v>3320</v>
      </c>
      <c r="EYK45" s="318" t="s">
        <v>3319</v>
      </c>
      <c r="EYL45" s="319" t="s">
        <v>3320</v>
      </c>
      <c r="EYM45" s="318" t="s">
        <v>3319</v>
      </c>
      <c r="EYN45" s="319" t="s">
        <v>3320</v>
      </c>
      <c r="EYO45" s="318" t="s">
        <v>3319</v>
      </c>
      <c r="EYP45" s="319" t="s">
        <v>3320</v>
      </c>
      <c r="EYQ45" s="318" t="s">
        <v>3319</v>
      </c>
      <c r="EYR45" s="319" t="s">
        <v>3320</v>
      </c>
      <c r="EYS45" s="318" t="s">
        <v>3319</v>
      </c>
      <c r="EYT45" s="319" t="s">
        <v>3320</v>
      </c>
      <c r="EYU45" s="318" t="s">
        <v>3319</v>
      </c>
      <c r="EYV45" s="319" t="s">
        <v>3320</v>
      </c>
      <c r="EYW45" s="318" t="s">
        <v>3319</v>
      </c>
      <c r="EYX45" s="319" t="s">
        <v>3320</v>
      </c>
      <c r="EYY45" s="318" t="s">
        <v>3319</v>
      </c>
      <c r="EYZ45" s="319" t="s">
        <v>3320</v>
      </c>
      <c r="EZA45" s="318" t="s">
        <v>3319</v>
      </c>
      <c r="EZB45" s="319" t="s">
        <v>3320</v>
      </c>
      <c r="EZC45" s="318" t="s">
        <v>3319</v>
      </c>
      <c r="EZD45" s="319" t="s">
        <v>3320</v>
      </c>
      <c r="EZE45" s="318" t="s">
        <v>3319</v>
      </c>
      <c r="EZF45" s="319" t="s">
        <v>3320</v>
      </c>
      <c r="EZG45" s="318" t="s">
        <v>3319</v>
      </c>
      <c r="EZH45" s="319" t="s">
        <v>3320</v>
      </c>
      <c r="EZI45" s="318" t="s">
        <v>3319</v>
      </c>
      <c r="EZJ45" s="319" t="s">
        <v>3320</v>
      </c>
      <c r="EZK45" s="318" t="s">
        <v>3319</v>
      </c>
      <c r="EZL45" s="319" t="s">
        <v>3320</v>
      </c>
      <c r="EZM45" s="318" t="s">
        <v>3319</v>
      </c>
      <c r="EZN45" s="319" t="s">
        <v>3320</v>
      </c>
      <c r="EZO45" s="318" t="s">
        <v>3319</v>
      </c>
      <c r="EZP45" s="319" t="s">
        <v>3320</v>
      </c>
      <c r="EZQ45" s="318" t="s">
        <v>3319</v>
      </c>
      <c r="EZR45" s="319" t="s">
        <v>3320</v>
      </c>
      <c r="EZS45" s="318" t="s">
        <v>3319</v>
      </c>
      <c r="EZT45" s="319" t="s">
        <v>3320</v>
      </c>
      <c r="EZU45" s="318" t="s">
        <v>3319</v>
      </c>
      <c r="EZV45" s="319" t="s">
        <v>3320</v>
      </c>
      <c r="EZW45" s="318" t="s">
        <v>3319</v>
      </c>
      <c r="EZX45" s="319" t="s">
        <v>3320</v>
      </c>
      <c r="EZY45" s="318" t="s">
        <v>3319</v>
      </c>
      <c r="EZZ45" s="319" t="s">
        <v>3320</v>
      </c>
      <c r="FAA45" s="318" t="s">
        <v>3319</v>
      </c>
      <c r="FAB45" s="319" t="s">
        <v>3320</v>
      </c>
      <c r="FAC45" s="318" t="s">
        <v>3319</v>
      </c>
      <c r="FAD45" s="319" t="s">
        <v>3320</v>
      </c>
      <c r="FAE45" s="318" t="s">
        <v>3319</v>
      </c>
      <c r="FAF45" s="319" t="s">
        <v>3320</v>
      </c>
      <c r="FAG45" s="318" t="s">
        <v>3319</v>
      </c>
      <c r="FAH45" s="319" t="s">
        <v>3320</v>
      </c>
      <c r="FAI45" s="318" t="s">
        <v>3319</v>
      </c>
      <c r="FAJ45" s="319" t="s">
        <v>3320</v>
      </c>
      <c r="FAK45" s="318" t="s">
        <v>3319</v>
      </c>
      <c r="FAL45" s="319" t="s">
        <v>3320</v>
      </c>
      <c r="FAM45" s="318" t="s">
        <v>3319</v>
      </c>
      <c r="FAN45" s="319" t="s">
        <v>3320</v>
      </c>
      <c r="FAO45" s="318" t="s">
        <v>3319</v>
      </c>
      <c r="FAP45" s="319" t="s">
        <v>3320</v>
      </c>
      <c r="FAQ45" s="318" t="s">
        <v>3319</v>
      </c>
      <c r="FAR45" s="319" t="s">
        <v>3320</v>
      </c>
      <c r="FAS45" s="318" t="s">
        <v>3319</v>
      </c>
      <c r="FAT45" s="319" t="s">
        <v>3320</v>
      </c>
      <c r="FAU45" s="318" t="s">
        <v>3319</v>
      </c>
      <c r="FAV45" s="319" t="s">
        <v>3320</v>
      </c>
      <c r="FAW45" s="318" t="s">
        <v>3319</v>
      </c>
      <c r="FAX45" s="319" t="s">
        <v>3320</v>
      </c>
      <c r="FAY45" s="318" t="s">
        <v>3319</v>
      </c>
      <c r="FAZ45" s="319" t="s">
        <v>3320</v>
      </c>
      <c r="FBA45" s="318" t="s">
        <v>3319</v>
      </c>
      <c r="FBB45" s="319" t="s">
        <v>3320</v>
      </c>
      <c r="FBC45" s="318" t="s">
        <v>3319</v>
      </c>
      <c r="FBD45" s="319" t="s">
        <v>3320</v>
      </c>
      <c r="FBE45" s="318" t="s">
        <v>3319</v>
      </c>
      <c r="FBF45" s="319" t="s">
        <v>3320</v>
      </c>
      <c r="FBG45" s="318" t="s">
        <v>3319</v>
      </c>
      <c r="FBH45" s="319" t="s">
        <v>3320</v>
      </c>
      <c r="FBI45" s="318" t="s">
        <v>3319</v>
      </c>
      <c r="FBJ45" s="319" t="s">
        <v>3320</v>
      </c>
      <c r="FBK45" s="318" t="s">
        <v>3319</v>
      </c>
      <c r="FBL45" s="319" t="s">
        <v>3320</v>
      </c>
      <c r="FBM45" s="318" t="s">
        <v>3319</v>
      </c>
      <c r="FBN45" s="319" t="s">
        <v>3320</v>
      </c>
      <c r="FBO45" s="318" t="s">
        <v>3319</v>
      </c>
      <c r="FBP45" s="319" t="s">
        <v>3320</v>
      </c>
      <c r="FBQ45" s="318" t="s">
        <v>3319</v>
      </c>
      <c r="FBR45" s="319" t="s">
        <v>3320</v>
      </c>
      <c r="FBS45" s="318" t="s">
        <v>3319</v>
      </c>
      <c r="FBT45" s="319" t="s">
        <v>3320</v>
      </c>
      <c r="FBU45" s="318" t="s">
        <v>3319</v>
      </c>
      <c r="FBV45" s="319" t="s">
        <v>3320</v>
      </c>
      <c r="FBW45" s="318" t="s">
        <v>3319</v>
      </c>
      <c r="FBX45" s="319" t="s">
        <v>3320</v>
      </c>
      <c r="FBY45" s="318" t="s">
        <v>3319</v>
      </c>
      <c r="FBZ45" s="319" t="s">
        <v>3320</v>
      </c>
      <c r="FCA45" s="318" t="s">
        <v>3319</v>
      </c>
      <c r="FCB45" s="319" t="s">
        <v>3320</v>
      </c>
      <c r="FCC45" s="318" t="s">
        <v>3319</v>
      </c>
      <c r="FCD45" s="319" t="s">
        <v>3320</v>
      </c>
      <c r="FCE45" s="318" t="s">
        <v>3319</v>
      </c>
      <c r="FCF45" s="319" t="s">
        <v>3320</v>
      </c>
      <c r="FCG45" s="318" t="s">
        <v>3319</v>
      </c>
      <c r="FCH45" s="319" t="s">
        <v>3320</v>
      </c>
      <c r="FCI45" s="318" t="s">
        <v>3319</v>
      </c>
      <c r="FCJ45" s="319" t="s">
        <v>3320</v>
      </c>
      <c r="FCK45" s="318" t="s">
        <v>3319</v>
      </c>
      <c r="FCL45" s="319" t="s">
        <v>3320</v>
      </c>
      <c r="FCM45" s="318" t="s">
        <v>3319</v>
      </c>
      <c r="FCN45" s="319" t="s">
        <v>3320</v>
      </c>
      <c r="FCO45" s="318" t="s">
        <v>3319</v>
      </c>
      <c r="FCP45" s="319" t="s">
        <v>3320</v>
      </c>
      <c r="FCQ45" s="318" t="s">
        <v>3319</v>
      </c>
      <c r="FCR45" s="319" t="s">
        <v>3320</v>
      </c>
      <c r="FCS45" s="318" t="s">
        <v>3319</v>
      </c>
      <c r="FCT45" s="319" t="s">
        <v>3320</v>
      </c>
      <c r="FCU45" s="318" t="s">
        <v>3319</v>
      </c>
      <c r="FCV45" s="319" t="s">
        <v>3320</v>
      </c>
      <c r="FCW45" s="318" t="s">
        <v>3319</v>
      </c>
      <c r="FCX45" s="319" t="s">
        <v>3320</v>
      </c>
      <c r="FCY45" s="318" t="s">
        <v>3319</v>
      </c>
      <c r="FCZ45" s="319" t="s">
        <v>3320</v>
      </c>
      <c r="FDA45" s="318" t="s">
        <v>3319</v>
      </c>
      <c r="FDB45" s="319" t="s">
        <v>3320</v>
      </c>
      <c r="FDC45" s="318" t="s">
        <v>3319</v>
      </c>
      <c r="FDD45" s="319" t="s">
        <v>3320</v>
      </c>
      <c r="FDE45" s="318" t="s">
        <v>3319</v>
      </c>
      <c r="FDF45" s="319" t="s">
        <v>3320</v>
      </c>
      <c r="FDG45" s="318" t="s">
        <v>3319</v>
      </c>
      <c r="FDH45" s="319" t="s">
        <v>3320</v>
      </c>
      <c r="FDI45" s="318" t="s">
        <v>3319</v>
      </c>
      <c r="FDJ45" s="319" t="s">
        <v>3320</v>
      </c>
      <c r="FDK45" s="318" t="s">
        <v>3319</v>
      </c>
      <c r="FDL45" s="319" t="s">
        <v>3320</v>
      </c>
      <c r="FDM45" s="318" t="s">
        <v>3319</v>
      </c>
      <c r="FDN45" s="319" t="s">
        <v>3320</v>
      </c>
      <c r="FDO45" s="318" t="s">
        <v>3319</v>
      </c>
      <c r="FDP45" s="319" t="s">
        <v>3320</v>
      </c>
      <c r="FDQ45" s="318" t="s">
        <v>3319</v>
      </c>
      <c r="FDR45" s="319" t="s">
        <v>3320</v>
      </c>
      <c r="FDS45" s="318" t="s">
        <v>3319</v>
      </c>
      <c r="FDT45" s="319" t="s">
        <v>3320</v>
      </c>
      <c r="FDU45" s="318" t="s">
        <v>3319</v>
      </c>
      <c r="FDV45" s="319" t="s">
        <v>3320</v>
      </c>
      <c r="FDW45" s="318" t="s">
        <v>3319</v>
      </c>
      <c r="FDX45" s="319" t="s">
        <v>3320</v>
      </c>
      <c r="FDY45" s="318" t="s">
        <v>3319</v>
      </c>
      <c r="FDZ45" s="319" t="s">
        <v>3320</v>
      </c>
      <c r="FEA45" s="318" t="s">
        <v>3319</v>
      </c>
      <c r="FEB45" s="319" t="s">
        <v>3320</v>
      </c>
      <c r="FEC45" s="318" t="s">
        <v>3319</v>
      </c>
      <c r="FED45" s="319" t="s">
        <v>3320</v>
      </c>
      <c r="FEE45" s="318" t="s">
        <v>3319</v>
      </c>
      <c r="FEF45" s="319" t="s">
        <v>3320</v>
      </c>
      <c r="FEG45" s="318" t="s">
        <v>3319</v>
      </c>
      <c r="FEH45" s="319" t="s">
        <v>3320</v>
      </c>
      <c r="FEI45" s="318" t="s">
        <v>3319</v>
      </c>
      <c r="FEJ45" s="319" t="s">
        <v>3320</v>
      </c>
      <c r="FEK45" s="318" t="s">
        <v>3319</v>
      </c>
      <c r="FEL45" s="319" t="s">
        <v>3320</v>
      </c>
      <c r="FEM45" s="318" t="s">
        <v>3319</v>
      </c>
      <c r="FEN45" s="319" t="s">
        <v>3320</v>
      </c>
      <c r="FEO45" s="318" t="s">
        <v>3319</v>
      </c>
      <c r="FEP45" s="319" t="s">
        <v>3320</v>
      </c>
      <c r="FEQ45" s="318" t="s">
        <v>3319</v>
      </c>
      <c r="FER45" s="319" t="s">
        <v>3320</v>
      </c>
      <c r="FES45" s="318" t="s">
        <v>3319</v>
      </c>
      <c r="FET45" s="319" t="s">
        <v>3320</v>
      </c>
      <c r="FEU45" s="318" t="s">
        <v>3319</v>
      </c>
      <c r="FEV45" s="319" t="s">
        <v>3320</v>
      </c>
      <c r="FEW45" s="318" t="s">
        <v>3319</v>
      </c>
      <c r="FEX45" s="319" t="s">
        <v>3320</v>
      </c>
      <c r="FEY45" s="318" t="s">
        <v>3319</v>
      </c>
      <c r="FEZ45" s="319" t="s">
        <v>3320</v>
      </c>
      <c r="FFA45" s="318" t="s">
        <v>3319</v>
      </c>
      <c r="FFB45" s="319" t="s">
        <v>3320</v>
      </c>
      <c r="FFC45" s="318" t="s">
        <v>3319</v>
      </c>
      <c r="FFD45" s="319" t="s">
        <v>3320</v>
      </c>
      <c r="FFE45" s="318" t="s">
        <v>3319</v>
      </c>
      <c r="FFF45" s="319" t="s">
        <v>3320</v>
      </c>
      <c r="FFG45" s="318" t="s">
        <v>3319</v>
      </c>
      <c r="FFH45" s="319" t="s">
        <v>3320</v>
      </c>
      <c r="FFI45" s="318" t="s">
        <v>3319</v>
      </c>
      <c r="FFJ45" s="319" t="s">
        <v>3320</v>
      </c>
      <c r="FFK45" s="318" t="s">
        <v>3319</v>
      </c>
      <c r="FFL45" s="319" t="s">
        <v>3320</v>
      </c>
      <c r="FFM45" s="318" t="s">
        <v>3319</v>
      </c>
      <c r="FFN45" s="319" t="s">
        <v>3320</v>
      </c>
      <c r="FFO45" s="318" t="s">
        <v>3319</v>
      </c>
      <c r="FFP45" s="319" t="s">
        <v>3320</v>
      </c>
      <c r="FFQ45" s="318" t="s">
        <v>3319</v>
      </c>
      <c r="FFR45" s="319" t="s">
        <v>3320</v>
      </c>
      <c r="FFS45" s="318" t="s">
        <v>3319</v>
      </c>
      <c r="FFT45" s="319" t="s">
        <v>3320</v>
      </c>
      <c r="FFU45" s="318" t="s">
        <v>3319</v>
      </c>
      <c r="FFV45" s="319" t="s">
        <v>3320</v>
      </c>
      <c r="FFW45" s="318" t="s">
        <v>3319</v>
      </c>
      <c r="FFX45" s="319" t="s">
        <v>3320</v>
      </c>
      <c r="FFY45" s="318" t="s">
        <v>3319</v>
      </c>
      <c r="FFZ45" s="319" t="s">
        <v>3320</v>
      </c>
      <c r="FGA45" s="318" t="s">
        <v>3319</v>
      </c>
      <c r="FGB45" s="319" t="s">
        <v>3320</v>
      </c>
      <c r="FGC45" s="318" t="s">
        <v>3319</v>
      </c>
      <c r="FGD45" s="319" t="s">
        <v>3320</v>
      </c>
      <c r="FGE45" s="318" t="s">
        <v>3319</v>
      </c>
      <c r="FGF45" s="319" t="s">
        <v>3320</v>
      </c>
      <c r="FGG45" s="318" t="s">
        <v>3319</v>
      </c>
      <c r="FGH45" s="319" t="s">
        <v>3320</v>
      </c>
      <c r="FGI45" s="318" t="s">
        <v>3319</v>
      </c>
      <c r="FGJ45" s="319" t="s">
        <v>3320</v>
      </c>
      <c r="FGK45" s="318" t="s">
        <v>3319</v>
      </c>
      <c r="FGL45" s="319" t="s">
        <v>3320</v>
      </c>
      <c r="FGM45" s="318" t="s">
        <v>3319</v>
      </c>
      <c r="FGN45" s="319" t="s">
        <v>3320</v>
      </c>
      <c r="FGO45" s="318" t="s">
        <v>3319</v>
      </c>
      <c r="FGP45" s="319" t="s">
        <v>3320</v>
      </c>
      <c r="FGQ45" s="318" t="s">
        <v>3319</v>
      </c>
      <c r="FGR45" s="319" t="s">
        <v>3320</v>
      </c>
      <c r="FGS45" s="318" t="s">
        <v>3319</v>
      </c>
      <c r="FGT45" s="319" t="s">
        <v>3320</v>
      </c>
      <c r="FGU45" s="318" t="s">
        <v>3319</v>
      </c>
      <c r="FGV45" s="319" t="s">
        <v>3320</v>
      </c>
      <c r="FGW45" s="318" t="s">
        <v>3319</v>
      </c>
      <c r="FGX45" s="319" t="s">
        <v>3320</v>
      </c>
      <c r="FGY45" s="318" t="s">
        <v>3319</v>
      </c>
      <c r="FGZ45" s="319" t="s">
        <v>3320</v>
      </c>
      <c r="FHA45" s="318" t="s">
        <v>3319</v>
      </c>
      <c r="FHB45" s="319" t="s">
        <v>3320</v>
      </c>
      <c r="FHC45" s="318" t="s">
        <v>3319</v>
      </c>
      <c r="FHD45" s="319" t="s">
        <v>3320</v>
      </c>
      <c r="FHE45" s="318" t="s">
        <v>3319</v>
      </c>
      <c r="FHF45" s="319" t="s">
        <v>3320</v>
      </c>
      <c r="FHG45" s="318" t="s">
        <v>3319</v>
      </c>
      <c r="FHH45" s="319" t="s">
        <v>3320</v>
      </c>
      <c r="FHI45" s="318" t="s">
        <v>3319</v>
      </c>
      <c r="FHJ45" s="319" t="s">
        <v>3320</v>
      </c>
      <c r="FHK45" s="318" t="s">
        <v>3319</v>
      </c>
      <c r="FHL45" s="319" t="s">
        <v>3320</v>
      </c>
      <c r="FHM45" s="318" t="s">
        <v>3319</v>
      </c>
      <c r="FHN45" s="319" t="s">
        <v>3320</v>
      </c>
      <c r="FHO45" s="318" t="s">
        <v>3319</v>
      </c>
      <c r="FHP45" s="319" t="s">
        <v>3320</v>
      </c>
      <c r="FHQ45" s="318" t="s">
        <v>3319</v>
      </c>
      <c r="FHR45" s="319" t="s">
        <v>3320</v>
      </c>
      <c r="FHS45" s="318" t="s">
        <v>3319</v>
      </c>
      <c r="FHT45" s="319" t="s">
        <v>3320</v>
      </c>
      <c r="FHU45" s="318" t="s">
        <v>3319</v>
      </c>
      <c r="FHV45" s="319" t="s">
        <v>3320</v>
      </c>
      <c r="FHW45" s="318" t="s">
        <v>3319</v>
      </c>
      <c r="FHX45" s="319" t="s">
        <v>3320</v>
      </c>
      <c r="FHY45" s="318" t="s">
        <v>3319</v>
      </c>
      <c r="FHZ45" s="319" t="s">
        <v>3320</v>
      </c>
      <c r="FIA45" s="318" t="s">
        <v>3319</v>
      </c>
      <c r="FIB45" s="319" t="s">
        <v>3320</v>
      </c>
      <c r="FIC45" s="318" t="s">
        <v>3319</v>
      </c>
      <c r="FID45" s="319" t="s">
        <v>3320</v>
      </c>
      <c r="FIE45" s="318" t="s">
        <v>3319</v>
      </c>
      <c r="FIF45" s="319" t="s">
        <v>3320</v>
      </c>
      <c r="FIG45" s="318" t="s">
        <v>3319</v>
      </c>
      <c r="FIH45" s="319" t="s">
        <v>3320</v>
      </c>
      <c r="FII45" s="318" t="s">
        <v>3319</v>
      </c>
      <c r="FIJ45" s="319" t="s">
        <v>3320</v>
      </c>
      <c r="FIK45" s="318" t="s">
        <v>3319</v>
      </c>
      <c r="FIL45" s="319" t="s">
        <v>3320</v>
      </c>
      <c r="FIM45" s="318" t="s">
        <v>3319</v>
      </c>
      <c r="FIN45" s="319" t="s">
        <v>3320</v>
      </c>
      <c r="FIO45" s="318" t="s">
        <v>3319</v>
      </c>
      <c r="FIP45" s="319" t="s">
        <v>3320</v>
      </c>
      <c r="FIQ45" s="318" t="s">
        <v>3319</v>
      </c>
      <c r="FIR45" s="319" t="s">
        <v>3320</v>
      </c>
      <c r="FIS45" s="318" t="s">
        <v>3319</v>
      </c>
      <c r="FIT45" s="319" t="s">
        <v>3320</v>
      </c>
      <c r="FIU45" s="318" t="s">
        <v>3319</v>
      </c>
      <c r="FIV45" s="319" t="s">
        <v>3320</v>
      </c>
      <c r="FIW45" s="318" t="s">
        <v>3319</v>
      </c>
      <c r="FIX45" s="319" t="s">
        <v>3320</v>
      </c>
      <c r="FIY45" s="318" t="s">
        <v>3319</v>
      </c>
      <c r="FIZ45" s="319" t="s">
        <v>3320</v>
      </c>
      <c r="FJA45" s="318" t="s">
        <v>3319</v>
      </c>
      <c r="FJB45" s="319" t="s">
        <v>3320</v>
      </c>
      <c r="FJC45" s="318" t="s">
        <v>3319</v>
      </c>
      <c r="FJD45" s="319" t="s">
        <v>3320</v>
      </c>
      <c r="FJE45" s="318" t="s">
        <v>3319</v>
      </c>
      <c r="FJF45" s="319" t="s">
        <v>3320</v>
      </c>
      <c r="FJG45" s="318" t="s">
        <v>3319</v>
      </c>
      <c r="FJH45" s="319" t="s">
        <v>3320</v>
      </c>
      <c r="FJI45" s="318" t="s">
        <v>3319</v>
      </c>
      <c r="FJJ45" s="319" t="s">
        <v>3320</v>
      </c>
      <c r="FJK45" s="318" t="s">
        <v>3319</v>
      </c>
      <c r="FJL45" s="319" t="s">
        <v>3320</v>
      </c>
      <c r="FJM45" s="318" t="s">
        <v>3319</v>
      </c>
      <c r="FJN45" s="319" t="s">
        <v>3320</v>
      </c>
      <c r="FJO45" s="318" t="s">
        <v>3319</v>
      </c>
      <c r="FJP45" s="319" t="s">
        <v>3320</v>
      </c>
      <c r="FJQ45" s="318" t="s">
        <v>3319</v>
      </c>
      <c r="FJR45" s="319" t="s">
        <v>3320</v>
      </c>
      <c r="FJS45" s="318" t="s">
        <v>3319</v>
      </c>
      <c r="FJT45" s="319" t="s">
        <v>3320</v>
      </c>
      <c r="FJU45" s="318" t="s">
        <v>3319</v>
      </c>
      <c r="FJV45" s="319" t="s">
        <v>3320</v>
      </c>
      <c r="FJW45" s="318" t="s">
        <v>3319</v>
      </c>
      <c r="FJX45" s="319" t="s">
        <v>3320</v>
      </c>
      <c r="FJY45" s="318" t="s">
        <v>3319</v>
      </c>
      <c r="FJZ45" s="319" t="s">
        <v>3320</v>
      </c>
      <c r="FKA45" s="318" t="s">
        <v>3319</v>
      </c>
      <c r="FKB45" s="319" t="s">
        <v>3320</v>
      </c>
      <c r="FKC45" s="318" t="s">
        <v>3319</v>
      </c>
      <c r="FKD45" s="319" t="s">
        <v>3320</v>
      </c>
      <c r="FKE45" s="318" t="s">
        <v>3319</v>
      </c>
      <c r="FKF45" s="319" t="s">
        <v>3320</v>
      </c>
      <c r="FKG45" s="318" t="s">
        <v>3319</v>
      </c>
      <c r="FKH45" s="319" t="s">
        <v>3320</v>
      </c>
      <c r="FKI45" s="318" t="s">
        <v>3319</v>
      </c>
      <c r="FKJ45" s="319" t="s">
        <v>3320</v>
      </c>
      <c r="FKK45" s="318" t="s">
        <v>3319</v>
      </c>
      <c r="FKL45" s="319" t="s">
        <v>3320</v>
      </c>
      <c r="FKM45" s="318" t="s">
        <v>3319</v>
      </c>
      <c r="FKN45" s="319" t="s">
        <v>3320</v>
      </c>
      <c r="FKO45" s="318" t="s">
        <v>3319</v>
      </c>
      <c r="FKP45" s="319" t="s">
        <v>3320</v>
      </c>
      <c r="FKQ45" s="318" t="s">
        <v>3319</v>
      </c>
      <c r="FKR45" s="319" t="s">
        <v>3320</v>
      </c>
      <c r="FKS45" s="318" t="s">
        <v>3319</v>
      </c>
      <c r="FKT45" s="319" t="s">
        <v>3320</v>
      </c>
      <c r="FKU45" s="318" t="s">
        <v>3319</v>
      </c>
      <c r="FKV45" s="319" t="s">
        <v>3320</v>
      </c>
      <c r="FKW45" s="318" t="s">
        <v>3319</v>
      </c>
      <c r="FKX45" s="319" t="s">
        <v>3320</v>
      </c>
      <c r="FKY45" s="318" t="s">
        <v>3319</v>
      </c>
      <c r="FKZ45" s="319" t="s">
        <v>3320</v>
      </c>
      <c r="FLA45" s="318" t="s">
        <v>3319</v>
      </c>
      <c r="FLB45" s="319" t="s">
        <v>3320</v>
      </c>
      <c r="FLC45" s="318" t="s">
        <v>3319</v>
      </c>
      <c r="FLD45" s="319" t="s">
        <v>3320</v>
      </c>
      <c r="FLE45" s="318" t="s">
        <v>3319</v>
      </c>
      <c r="FLF45" s="319" t="s">
        <v>3320</v>
      </c>
      <c r="FLG45" s="318" t="s">
        <v>3319</v>
      </c>
      <c r="FLH45" s="319" t="s">
        <v>3320</v>
      </c>
      <c r="FLI45" s="318" t="s">
        <v>3319</v>
      </c>
      <c r="FLJ45" s="319" t="s">
        <v>3320</v>
      </c>
      <c r="FLK45" s="318" t="s">
        <v>3319</v>
      </c>
      <c r="FLL45" s="319" t="s">
        <v>3320</v>
      </c>
      <c r="FLM45" s="318" t="s">
        <v>3319</v>
      </c>
      <c r="FLN45" s="319" t="s">
        <v>3320</v>
      </c>
      <c r="FLO45" s="318" t="s">
        <v>3319</v>
      </c>
      <c r="FLP45" s="319" t="s">
        <v>3320</v>
      </c>
      <c r="FLQ45" s="318" t="s">
        <v>3319</v>
      </c>
      <c r="FLR45" s="319" t="s">
        <v>3320</v>
      </c>
      <c r="FLS45" s="318" t="s">
        <v>3319</v>
      </c>
      <c r="FLT45" s="319" t="s">
        <v>3320</v>
      </c>
      <c r="FLU45" s="318" t="s">
        <v>3319</v>
      </c>
      <c r="FLV45" s="319" t="s">
        <v>3320</v>
      </c>
      <c r="FLW45" s="318" t="s">
        <v>3319</v>
      </c>
      <c r="FLX45" s="319" t="s">
        <v>3320</v>
      </c>
      <c r="FLY45" s="318" t="s">
        <v>3319</v>
      </c>
      <c r="FLZ45" s="319" t="s">
        <v>3320</v>
      </c>
      <c r="FMA45" s="318" t="s">
        <v>3319</v>
      </c>
      <c r="FMB45" s="319" t="s">
        <v>3320</v>
      </c>
      <c r="FMC45" s="318" t="s">
        <v>3319</v>
      </c>
      <c r="FMD45" s="319" t="s">
        <v>3320</v>
      </c>
      <c r="FME45" s="318" t="s">
        <v>3319</v>
      </c>
      <c r="FMF45" s="319" t="s">
        <v>3320</v>
      </c>
      <c r="FMG45" s="318" t="s">
        <v>3319</v>
      </c>
      <c r="FMH45" s="319" t="s">
        <v>3320</v>
      </c>
      <c r="FMI45" s="318" t="s">
        <v>3319</v>
      </c>
      <c r="FMJ45" s="319" t="s">
        <v>3320</v>
      </c>
      <c r="FMK45" s="318" t="s">
        <v>3319</v>
      </c>
      <c r="FML45" s="319" t="s">
        <v>3320</v>
      </c>
      <c r="FMM45" s="318" t="s">
        <v>3319</v>
      </c>
      <c r="FMN45" s="319" t="s">
        <v>3320</v>
      </c>
      <c r="FMO45" s="318" t="s">
        <v>3319</v>
      </c>
      <c r="FMP45" s="319" t="s">
        <v>3320</v>
      </c>
      <c r="FMQ45" s="318" t="s">
        <v>3319</v>
      </c>
      <c r="FMR45" s="319" t="s">
        <v>3320</v>
      </c>
      <c r="FMS45" s="318" t="s">
        <v>3319</v>
      </c>
      <c r="FMT45" s="319" t="s">
        <v>3320</v>
      </c>
      <c r="FMU45" s="318" t="s">
        <v>3319</v>
      </c>
      <c r="FMV45" s="319" t="s">
        <v>3320</v>
      </c>
      <c r="FMW45" s="318" t="s">
        <v>3319</v>
      </c>
      <c r="FMX45" s="319" t="s">
        <v>3320</v>
      </c>
      <c r="FMY45" s="318" t="s">
        <v>3319</v>
      </c>
      <c r="FMZ45" s="319" t="s">
        <v>3320</v>
      </c>
      <c r="FNA45" s="318" t="s">
        <v>3319</v>
      </c>
      <c r="FNB45" s="319" t="s">
        <v>3320</v>
      </c>
      <c r="FNC45" s="318" t="s">
        <v>3319</v>
      </c>
      <c r="FND45" s="319" t="s">
        <v>3320</v>
      </c>
      <c r="FNE45" s="318" t="s">
        <v>3319</v>
      </c>
      <c r="FNF45" s="319" t="s">
        <v>3320</v>
      </c>
      <c r="FNG45" s="318" t="s">
        <v>3319</v>
      </c>
      <c r="FNH45" s="319" t="s">
        <v>3320</v>
      </c>
      <c r="FNI45" s="318" t="s">
        <v>3319</v>
      </c>
      <c r="FNJ45" s="319" t="s">
        <v>3320</v>
      </c>
      <c r="FNK45" s="318" t="s">
        <v>3319</v>
      </c>
      <c r="FNL45" s="319" t="s">
        <v>3320</v>
      </c>
      <c r="FNM45" s="318" t="s">
        <v>3319</v>
      </c>
      <c r="FNN45" s="319" t="s">
        <v>3320</v>
      </c>
      <c r="FNO45" s="318" t="s">
        <v>3319</v>
      </c>
      <c r="FNP45" s="319" t="s">
        <v>3320</v>
      </c>
      <c r="FNQ45" s="318" t="s">
        <v>3319</v>
      </c>
      <c r="FNR45" s="319" t="s">
        <v>3320</v>
      </c>
      <c r="FNS45" s="318" t="s">
        <v>3319</v>
      </c>
      <c r="FNT45" s="319" t="s">
        <v>3320</v>
      </c>
      <c r="FNU45" s="318" t="s">
        <v>3319</v>
      </c>
      <c r="FNV45" s="319" t="s">
        <v>3320</v>
      </c>
      <c r="FNW45" s="318" t="s">
        <v>3319</v>
      </c>
      <c r="FNX45" s="319" t="s">
        <v>3320</v>
      </c>
      <c r="FNY45" s="318" t="s">
        <v>3319</v>
      </c>
      <c r="FNZ45" s="319" t="s">
        <v>3320</v>
      </c>
      <c r="FOA45" s="318" t="s">
        <v>3319</v>
      </c>
      <c r="FOB45" s="319" t="s">
        <v>3320</v>
      </c>
      <c r="FOC45" s="318" t="s">
        <v>3319</v>
      </c>
      <c r="FOD45" s="319" t="s">
        <v>3320</v>
      </c>
      <c r="FOE45" s="318" t="s">
        <v>3319</v>
      </c>
      <c r="FOF45" s="319" t="s">
        <v>3320</v>
      </c>
      <c r="FOG45" s="318" t="s">
        <v>3319</v>
      </c>
      <c r="FOH45" s="319" t="s">
        <v>3320</v>
      </c>
      <c r="FOI45" s="318" t="s">
        <v>3319</v>
      </c>
      <c r="FOJ45" s="319" t="s">
        <v>3320</v>
      </c>
      <c r="FOK45" s="318" t="s">
        <v>3319</v>
      </c>
      <c r="FOL45" s="319" t="s">
        <v>3320</v>
      </c>
      <c r="FOM45" s="318" t="s">
        <v>3319</v>
      </c>
      <c r="FON45" s="319" t="s">
        <v>3320</v>
      </c>
      <c r="FOO45" s="318" t="s">
        <v>3319</v>
      </c>
      <c r="FOP45" s="319" t="s">
        <v>3320</v>
      </c>
      <c r="FOQ45" s="318" t="s">
        <v>3319</v>
      </c>
      <c r="FOR45" s="319" t="s">
        <v>3320</v>
      </c>
      <c r="FOS45" s="318" t="s">
        <v>3319</v>
      </c>
      <c r="FOT45" s="319" t="s">
        <v>3320</v>
      </c>
      <c r="FOU45" s="318" t="s">
        <v>3319</v>
      </c>
      <c r="FOV45" s="319" t="s">
        <v>3320</v>
      </c>
      <c r="FOW45" s="318" t="s">
        <v>3319</v>
      </c>
      <c r="FOX45" s="319" t="s">
        <v>3320</v>
      </c>
      <c r="FOY45" s="318" t="s">
        <v>3319</v>
      </c>
      <c r="FOZ45" s="319" t="s">
        <v>3320</v>
      </c>
      <c r="FPA45" s="318" t="s">
        <v>3319</v>
      </c>
      <c r="FPB45" s="319" t="s">
        <v>3320</v>
      </c>
      <c r="FPC45" s="318" t="s">
        <v>3319</v>
      </c>
      <c r="FPD45" s="319" t="s">
        <v>3320</v>
      </c>
      <c r="FPE45" s="318" t="s">
        <v>3319</v>
      </c>
      <c r="FPF45" s="319" t="s">
        <v>3320</v>
      </c>
      <c r="FPG45" s="318" t="s">
        <v>3319</v>
      </c>
      <c r="FPH45" s="319" t="s">
        <v>3320</v>
      </c>
      <c r="FPI45" s="318" t="s">
        <v>3319</v>
      </c>
      <c r="FPJ45" s="319" t="s">
        <v>3320</v>
      </c>
      <c r="FPK45" s="318" t="s">
        <v>3319</v>
      </c>
      <c r="FPL45" s="319" t="s">
        <v>3320</v>
      </c>
      <c r="FPM45" s="318" t="s">
        <v>3319</v>
      </c>
      <c r="FPN45" s="319" t="s">
        <v>3320</v>
      </c>
      <c r="FPO45" s="318" t="s">
        <v>3319</v>
      </c>
      <c r="FPP45" s="319" t="s">
        <v>3320</v>
      </c>
      <c r="FPQ45" s="318" t="s">
        <v>3319</v>
      </c>
      <c r="FPR45" s="319" t="s">
        <v>3320</v>
      </c>
      <c r="FPS45" s="318" t="s">
        <v>3319</v>
      </c>
      <c r="FPT45" s="319" t="s">
        <v>3320</v>
      </c>
      <c r="FPU45" s="318" t="s">
        <v>3319</v>
      </c>
      <c r="FPV45" s="319" t="s">
        <v>3320</v>
      </c>
      <c r="FPW45" s="318" t="s">
        <v>3319</v>
      </c>
      <c r="FPX45" s="319" t="s">
        <v>3320</v>
      </c>
      <c r="FPY45" s="318" t="s">
        <v>3319</v>
      </c>
      <c r="FPZ45" s="319" t="s">
        <v>3320</v>
      </c>
      <c r="FQA45" s="318" t="s">
        <v>3319</v>
      </c>
      <c r="FQB45" s="319" t="s">
        <v>3320</v>
      </c>
      <c r="FQC45" s="318" t="s">
        <v>3319</v>
      </c>
      <c r="FQD45" s="319" t="s">
        <v>3320</v>
      </c>
      <c r="FQE45" s="318" t="s">
        <v>3319</v>
      </c>
      <c r="FQF45" s="319" t="s">
        <v>3320</v>
      </c>
      <c r="FQG45" s="318" t="s">
        <v>3319</v>
      </c>
      <c r="FQH45" s="319" t="s">
        <v>3320</v>
      </c>
      <c r="FQI45" s="318" t="s">
        <v>3319</v>
      </c>
      <c r="FQJ45" s="319" t="s">
        <v>3320</v>
      </c>
      <c r="FQK45" s="318" t="s">
        <v>3319</v>
      </c>
      <c r="FQL45" s="319" t="s">
        <v>3320</v>
      </c>
      <c r="FQM45" s="318" t="s">
        <v>3319</v>
      </c>
      <c r="FQN45" s="319" t="s">
        <v>3320</v>
      </c>
      <c r="FQO45" s="318" t="s">
        <v>3319</v>
      </c>
      <c r="FQP45" s="319" t="s">
        <v>3320</v>
      </c>
      <c r="FQQ45" s="318" t="s">
        <v>3319</v>
      </c>
      <c r="FQR45" s="319" t="s">
        <v>3320</v>
      </c>
      <c r="FQS45" s="318" t="s">
        <v>3319</v>
      </c>
      <c r="FQT45" s="319" t="s">
        <v>3320</v>
      </c>
      <c r="FQU45" s="318" t="s">
        <v>3319</v>
      </c>
      <c r="FQV45" s="319" t="s">
        <v>3320</v>
      </c>
      <c r="FQW45" s="318" t="s">
        <v>3319</v>
      </c>
      <c r="FQX45" s="319" t="s">
        <v>3320</v>
      </c>
      <c r="FQY45" s="318" t="s">
        <v>3319</v>
      </c>
      <c r="FQZ45" s="319" t="s">
        <v>3320</v>
      </c>
      <c r="FRA45" s="318" t="s">
        <v>3319</v>
      </c>
      <c r="FRB45" s="319" t="s">
        <v>3320</v>
      </c>
      <c r="FRC45" s="318" t="s">
        <v>3319</v>
      </c>
      <c r="FRD45" s="319" t="s">
        <v>3320</v>
      </c>
      <c r="FRE45" s="318" t="s">
        <v>3319</v>
      </c>
      <c r="FRF45" s="319" t="s">
        <v>3320</v>
      </c>
      <c r="FRG45" s="318" t="s">
        <v>3319</v>
      </c>
      <c r="FRH45" s="319" t="s">
        <v>3320</v>
      </c>
      <c r="FRI45" s="318" t="s">
        <v>3319</v>
      </c>
      <c r="FRJ45" s="319" t="s">
        <v>3320</v>
      </c>
      <c r="FRK45" s="318" t="s">
        <v>3319</v>
      </c>
      <c r="FRL45" s="319" t="s">
        <v>3320</v>
      </c>
      <c r="FRM45" s="318" t="s">
        <v>3319</v>
      </c>
      <c r="FRN45" s="319" t="s">
        <v>3320</v>
      </c>
      <c r="FRO45" s="318" t="s">
        <v>3319</v>
      </c>
      <c r="FRP45" s="319" t="s">
        <v>3320</v>
      </c>
      <c r="FRQ45" s="318" t="s">
        <v>3319</v>
      </c>
      <c r="FRR45" s="319" t="s">
        <v>3320</v>
      </c>
      <c r="FRS45" s="318" t="s">
        <v>3319</v>
      </c>
      <c r="FRT45" s="319" t="s">
        <v>3320</v>
      </c>
      <c r="FRU45" s="318" t="s">
        <v>3319</v>
      </c>
      <c r="FRV45" s="319" t="s">
        <v>3320</v>
      </c>
      <c r="FRW45" s="318" t="s">
        <v>3319</v>
      </c>
      <c r="FRX45" s="319" t="s">
        <v>3320</v>
      </c>
      <c r="FRY45" s="318" t="s">
        <v>3319</v>
      </c>
      <c r="FRZ45" s="319" t="s">
        <v>3320</v>
      </c>
      <c r="FSA45" s="318" t="s">
        <v>3319</v>
      </c>
      <c r="FSB45" s="319" t="s">
        <v>3320</v>
      </c>
      <c r="FSC45" s="318" t="s">
        <v>3319</v>
      </c>
      <c r="FSD45" s="319" t="s">
        <v>3320</v>
      </c>
      <c r="FSE45" s="318" t="s">
        <v>3319</v>
      </c>
      <c r="FSF45" s="319" t="s">
        <v>3320</v>
      </c>
      <c r="FSG45" s="318" t="s">
        <v>3319</v>
      </c>
      <c r="FSH45" s="319" t="s">
        <v>3320</v>
      </c>
      <c r="FSI45" s="318" t="s">
        <v>3319</v>
      </c>
      <c r="FSJ45" s="319" t="s">
        <v>3320</v>
      </c>
      <c r="FSK45" s="318" t="s">
        <v>3319</v>
      </c>
      <c r="FSL45" s="319" t="s">
        <v>3320</v>
      </c>
      <c r="FSM45" s="318" t="s">
        <v>3319</v>
      </c>
      <c r="FSN45" s="319" t="s">
        <v>3320</v>
      </c>
      <c r="FSO45" s="318" t="s">
        <v>3319</v>
      </c>
      <c r="FSP45" s="319" t="s">
        <v>3320</v>
      </c>
      <c r="FSQ45" s="318" t="s">
        <v>3319</v>
      </c>
      <c r="FSR45" s="319" t="s">
        <v>3320</v>
      </c>
      <c r="FSS45" s="318" t="s">
        <v>3319</v>
      </c>
      <c r="FST45" s="319" t="s">
        <v>3320</v>
      </c>
      <c r="FSU45" s="318" t="s">
        <v>3319</v>
      </c>
      <c r="FSV45" s="319" t="s">
        <v>3320</v>
      </c>
      <c r="FSW45" s="318" t="s">
        <v>3319</v>
      </c>
      <c r="FSX45" s="319" t="s">
        <v>3320</v>
      </c>
      <c r="FSY45" s="318" t="s">
        <v>3319</v>
      </c>
      <c r="FSZ45" s="319" t="s">
        <v>3320</v>
      </c>
      <c r="FTA45" s="318" t="s">
        <v>3319</v>
      </c>
      <c r="FTB45" s="319" t="s">
        <v>3320</v>
      </c>
      <c r="FTC45" s="318" t="s">
        <v>3319</v>
      </c>
      <c r="FTD45" s="319" t="s">
        <v>3320</v>
      </c>
      <c r="FTE45" s="318" t="s">
        <v>3319</v>
      </c>
      <c r="FTF45" s="319" t="s">
        <v>3320</v>
      </c>
      <c r="FTG45" s="318" t="s">
        <v>3319</v>
      </c>
      <c r="FTH45" s="319" t="s">
        <v>3320</v>
      </c>
      <c r="FTI45" s="318" t="s">
        <v>3319</v>
      </c>
      <c r="FTJ45" s="319" t="s">
        <v>3320</v>
      </c>
      <c r="FTK45" s="318" t="s">
        <v>3319</v>
      </c>
      <c r="FTL45" s="319" t="s">
        <v>3320</v>
      </c>
      <c r="FTM45" s="318" t="s">
        <v>3319</v>
      </c>
      <c r="FTN45" s="319" t="s">
        <v>3320</v>
      </c>
      <c r="FTO45" s="318" t="s">
        <v>3319</v>
      </c>
      <c r="FTP45" s="319" t="s">
        <v>3320</v>
      </c>
      <c r="FTQ45" s="318" t="s">
        <v>3319</v>
      </c>
      <c r="FTR45" s="319" t="s">
        <v>3320</v>
      </c>
      <c r="FTS45" s="318" t="s">
        <v>3319</v>
      </c>
      <c r="FTT45" s="319" t="s">
        <v>3320</v>
      </c>
      <c r="FTU45" s="318" t="s">
        <v>3319</v>
      </c>
      <c r="FTV45" s="319" t="s">
        <v>3320</v>
      </c>
      <c r="FTW45" s="318" t="s">
        <v>3319</v>
      </c>
      <c r="FTX45" s="319" t="s">
        <v>3320</v>
      </c>
      <c r="FTY45" s="318" t="s">
        <v>3319</v>
      </c>
      <c r="FTZ45" s="319" t="s">
        <v>3320</v>
      </c>
      <c r="FUA45" s="318" t="s">
        <v>3319</v>
      </c>
      <c r="FUB45" s="319" t="s">
        <v>3320</v>
      </c>
      <c r="FUC45" s="318" t="s">
        <v>3319</v>
      </c>
      <c r="FUD45" s="319" t="s">
        <v>3320</v>
      </c>
      <c r="FUE45" s="318" t="s">
        <v>3319</v>
      </c>
      <c r="FUF45" s="319" t="s">
        <v>3320</v>
      </c>
      <c r="FUG45" s="318" t="s">
        <v>3319</v>
      </c>
      <c r="FUH45" s="319" t="s">
        <v>3320</v>
      </c>
      <c r="FUI45" s="318" t="s">
        <v>3319</v>
      </c>
      <c r="FUJ45" s="319" t="s">
        <v>3320</v>
      </c>
      <c r="FUK45" s="318" t="s">
        <v>3319</v>
      </c>
      <c r="FUL45" s="319" t="s">
        <v>3320</v>
      </c>
      <c r="FUM45" s="318" t="s">
        <v>3319</v>
      </c>
      <c r="FUN45" s="319" t="s">
        <v>3320</v>
      </c>
      <c r="FUO45" s="318" t="s">
        <v>3319</v>
      </c>
      <c r="FUP45" s="319" t="s">
        <v>3320</v>
      </c>
      <c r="FUQ45" s="318" t="s">
        <v>3319</v>
      </c>
      <c r="FUR45" s="319" t="s">
        <v>3320</v>
      </c>
      <c r="FUS45" s="318" t="s">
        <v>3319</v>
      </c>
      <c r="FUT45" s="319" t="s">
        <v>3320</v>
      </c>
      <c r="FUU45" s="318" t="s">
        <v>3319</v>
      </c>
      <c r="FUV45" s="319" t="s">
        <v>3320</v>
      </c>
      <c r="FUW45" s="318" t="s">
        <v>3319</v>
      </c>
      <c r="FUX45" s="319" t="s">
        <v>3320</v>
      </c>
      <c r="FUY45" s="318" t="s">
        <v>3319</v>
      </c>
      <c r="FUZ45" s="319" t="s">
        <v>3320</v>
      </c>
      <c r="FVA45" s="318" t="s">
        <v>3319</v>
      </c>
      <c r="FVB45" s="319" t="s">
        <v>3320</v>
      </c>
      <c r="FVC45" s="318" t="s">
        <v>3319</v>
      </c>
      <c r="FVD45" s="319" t="s">
        <v>3320</v>
      </c>
      <c r="FVE45" s="318" t="s">
        <v>3319</v>
      </c>
      <c r="FVF45" s="319" t="s">
        <v>3320</v>
      </c>
      <c r="FVG45" s="318" t="s">
        <v>3319</v>
      </c>
      <c r="FVH45" s="319" t="s">
        <v>3320</v>
      </c>
      <c r="FVI45" s="318" t="s">
        <v>3319</v>
      </c>
      <c r="FVJ45" s="319" t="s">
        <v>3320</v>
      </c>
      <c r="FVK45" s="318" t="s">
        <v>3319</v>
      </c>
      <c r="FVL45" s="319" t="s">
        <v>3320</v>
      </c>
      <c r="FVM45" s="318" t="s">
        <v>3319</v>
      </c>
      <c r="FVN45" s="319" t="s">
        <v>3320</v>
      </c>
      <c r="FVO45" s="318" t="s">
        <v>3319</v>
      </c>
      <c r="FVP45" s="319" t="s">
        <v>3320</v>
      </c>
      <c r="FVQ45" s="318" t="s">
        <v>3319</v>
      </c>
      <c r="FVR45" s="319" t="s">
        <v>3320</v>
      </c>
      <c r="FVS45" s="318" t="s">
        <v>3319</v>
      </c>
      <c r="FVT45" s="319" t="s">
        <v>3320</v>
      </c>
      <c r="FVU45" s="318" t="s">
        <v>3319</v>
      </c>
      <c r="FVV45" s="319" t="s">
        <v>3320</v>
      </c>
      <c r="FVW45" s="318" t="s">
        <v>3319</v>
      </c>
      <c r="FVX45" s="319" t="s">
        <v>3320</v>
      </c>
      <c r="FVY45" s="318" t="s">
        <v>3319</v>
      </c>
      <c r="FVZ45" s="319" t="s">
        <v>3320</v>
      </c>
      <c r="FWA45" s="318" t="s">
        <v>3319</v>
      </c>
      <c r="FWB45" s="319" t="s">
        <v>3320</v>
      </c>
      <c r="FWC45" s="318" t="s">
        <v>3319</v>
      </c>
      <c r="FWD45" s="319" t="s">
        <v>3320</v>
      </c>
      <c r="FWE45" s="318" t="s">
        <v>3319</v>
      </c>
      <c r="FWF45" s="319" t="s">
        <v>3320</v>
      </c>
      <c r="FWG45" s="318" t="s">
        <v>3319</v>
      </c>
      <c r="FWH45" s="319" t="s">
        <v>3320</v>
      </c>
      <c r="FWI45" s="318" t="s">
        <v>3319</v>
      </c>
      <c r="FWJ45" s="319" t="s">
        <v>3320</v>
      </c>
      <c r="FWK45" s="318" t="s">
        <v>3319</v>
      </c>
      <c r="FWL45" s="319" t="s">
        <v>3320</v>
      </c>
      <c r="FWM45" s="318" t="s">
        <v>3319</v>
      </c>
      <c r="FWN45" s="319" t="s">
        <v>3320</v>
      </c>
      <c r="FWO45" s="318" t="s">
        <v>3319</v>
      </c>
      <c r="FWP45" s="319" t="s">
        <v>3320</v>
      </c>
      <c r="FWQ45" s="318" t="s">
        <v>3319</v>
      </c>
      <c r="FWR45" s="319" t="s">
        <v>3320</v>
      </c>
      <c r="FWS45" s="318" t="s">
        <v>3319</v>
      </c>
      <c r="FWT45" s="319" t="s">
        <v>3320</v>
      </c>
      <c r="FWU45" s="318" t="s">
        <v>3319</v>
      </c>
      <c r="FWV45" s="319" t="s">
        <v>3320</v>
      </c>
      <c r="FWW45" s="318" t="s">
        <v>3319</v>
      </c>
      <c r="FWX45" s="319" t="s">
        <v>3320</v>
      </c>
      <c r="FWY45" s="318" t="s">
        <v>3319</v>
      </c>
      <c r="FWZ45" s="319" t="s">
        <v>3320</v>
      </c>
      <c r="FXA45" s="318" t="s">
        <v>3319</v>
      </c>
      <c r="FXB45" s="319" t="s">
        <v>3320</v>
      </c>
      <c r="FXC45" s="318" t="s">
        <v>3319</v>
      </c>
      <c r="FXD45" s="319" t="s">
        <v>3320</v>
      </c>
      <c r="FXE45" s="318" t="s">
        <v>3319</v>
      </c>
      <c r="FXF45" s="319" t="s">
        <v>3320</v>
      </c>
      <c r="FXG45" s="318" t="s">
        <v>3319</v>
      </c>
      <c r="FXH45" s="319" t="s">
        <v>3320</v>
      </c>
      <c r="FXI45" s="318" t="s">
        <v>3319</v>
      </c>
      <c r="FXJ45" s="319" t="s">
        <v>3320</v>
      </c>
      <c r="FXK45" s="318" t="s">
        <v>3319</v>
      </c>
      <c r="FXL45" s="319" t="s">
        <v>3320</v>
      </c>
      <c r="FXM45" s="318" t="s">
        <v>3319</v>
      </c>
      <c r="FXN45" s="319" t="s">
        <v>3320</v>
      </c>
      <c r="FXO45" s="318" t="s">
        <v>3319</v>
      </c>
      <c r="FXP45" s="319" t="s">
        <v>3320</v>
      </c>
      <c r="FXQ45" s="318" t="s">
        <v>3319</v>
      </c>
      <c r="FXR45" s="319" t="s">
        <v>3320</v>
      </c>
      <c r="FXS45" s="318" t="s">
        <v>3319</v>
      </c>
      <c r="FXT45" s="319" t="s">
        <v>3320</v>
      </c>
      <c r="FXU45" s="318" t="s">
        <v>3319</v>
      </c>
      <c r="FXV45" s="319" t="s">
        <v>3320</v>
      </c>
      <c r="FXW45" s="318" t="s">
        <v>3319</v>
      </c>
      <c r="FXX45" s="319" t="s">
        <v>3320</v>
      </c>
      <c r="FXY45" s="318" t="s">
        <v>3319</v>
      </c>
      <c r="FXZ45" s="319" t="s">
        <v>3320</v>
      </c>
      <c r="FYA45" s="318" t="s">
        <v>3319</v>
      </c>
      <c r="FYB45" s="319" t="s">
        <v>3320</v>
      </c>
      <c r="FYC45" s="318" t="s">
        <v>3319</v>
      </c>
      <c r="FYD45" s="319" t="s">
        <v>3320</v>
      </c>
      <c r="FYE45" s="318" t="s">
        <v>3319</v>
      </c>
      <c r="FYF45" s="319" t="s">
        <v>3320</v>
      </c>
      <c r="FYG45" s="318" t="s">
        <v>3319</v>
      </c>
      <c r="FYH45" s="319" t="s">
        <v>3320</v>
      </c>
      <c r="FYI45" s="318" t="s">
        <v>3319</v>
      </c>
      <c r="FYJ45" s="319" t="s">
        <v>3320</v>
      </c>
      <c r="FYK45" s="318" t="s">
        <v>3319</v>
      </c>
      <c r="FYL45" s="319" t="s">
        <v>3320</v>
      </c>
      <c r="FYM45" s="318" t="s">
        <v>3319</v>
      </c>
      <c r="FYN45" s="319" t="s">
        <v>3320</v>
      </c>
      <c r="FYO45" s="318" t="s">
        <v>3319</v>
      </c>
      <c r="FYP45" s="319" t="s">
        <v>3320</v>
      </c>
      <c r="FYQ45" s="318" t="s">
        <v>3319</v>
      </c>
      <c r="FYR45" s="319" t="s">
        <v>3320</v>
      </c>
      <c r="FYS45" s="318" t="s">
        <v>3319</v>
      </c>
      <c r="FYT45" s="319" t="s">
        <v>3320</v>
      </c>
      <c r="FYU45" s="318" t="s">
        <v>3319</v>
      </c>
      <c r="FYV45" s="319" t="s">
        <v>3320</v>
      </c>
      <c r="FYW45" s="318" t="s">
        <v>3319</v>
      </c>
      <c r="FYX45" s="319" t="s">
        <v>3320</v>
      </c>
      <c r="FYY45" s="318" t="s">
        <v>3319</v>
      </c>
      <c r="FYZ45" s="319" t="s">
        <v>3320</v>
      </c>
      <c r="FZA45" s="318" t="s">
        <v>3319</v>
      </c>
      <c r="FZB45" s="319" t="s">
        <v>3320</v>
      </c>
      <c r="FZC45" s="318" t="s">
        <v>3319</v>
      </c>
      <c r="FZD45" s="319" t="s">
        <v>3320</v>
      </c>
      <c r="FZE45" s="318" t="s">
        <v>3319</v>
      </c>
      <c r="FZF45" s="319" t="s">
        <v>3320</v>
      </c>
      <c r="FZG45" s="318" t="s">
        <v>3319</v>
      </c>
      <c r="FZH45" s="319" t="s">
        <v>3320</v>
      </c>
      <c r="FZI45" s="318" t="s">
        <v>3319</v>
      </c>
      <c r="FZJ45" s="319" t="s">
        <v>3320</v>
      </c>
      <c r="FZK45" s="318" t="s">
        <v>3319</v>
      </c>
      <c r="FZL45" s="319" t="s">
        <v>3320</v>
      </c>
      <c r="FZM45" s="318" t="s">
        <v>3319</v>
      </c>
      <c r="FZN45" s="319" t="s">
        <v>3320</v>
      </c>
      <c r="FZO45" s="318" t="s">
        <v>3319</v>
      </c>
      <c r="FZP45" s="319" t="s">
        <v>3320</v>
      </c>
      <c r="FZQ45" s="318" t="s">
        <v>3319</v>
      </c>
      <c r="FZR45" s="319" t="s">
        <v>3320</v>
      </c>
      <c r="FZS45" s="318" t="s">
        <v>3319</v>
      </c>
      <c r="FZT45" s="319" t="s">
        <v>3320</v>
      </c>
      <c r="FZU45" s="318" t="s">
        <v>3319</v>
      </c>
      <c r="FZV45" s="319" t="s">
        <v>3320</v>
      </c>
      <c r="FZW45" s="318" t="s">
        <v>3319</v>
      </c>
      <c r="FZX45" s="319" t="s">
        <v>3320</v>
      </c>
      <c r="FZY45" s="318" t="s">
        <v>3319</v>
      </c>
      <c r="FZZ45" s="319" t="s">
        <v>3320</v>
      </c>
      <c r="GAA45" s="318" t="s">
        <v>3319</v>
      </c>
      <c r="GAB45" s="319" t="s">
        <v>3320</v>
      </c>
      <c r="GAC45" s="318" t="s">
        <v>3319</v>
      </c>
      <c r="GAD45" s="319" t="s">
        <v>3320</v>
      </c>
      <c r="GAE45" s="318" t="s">
        <v>3319</v>
      </c>
      <c r="GAF45" s="319" t="s">
        <v>3320</v>
      </c>
      <c r="GAG45" s="318" t="s">
        <v>3319</v>
      </c>
      <c r="GAH45" s="319" t="s">
        <v>3320</v>
      </c>
      <c r="GAI45" s="318" t="s">
        <v>3319</v>
      </c>
      <c r="GAJ45" s="319" t="s">
        <v>3320</v>
      </c>
      <c r="GAK45" s="318" t="s">
        <v>3319</v>
      </c>
      <c r="GAL45" s="319" t="s">
        <v>3320</v>
      </c>
      <c r="GAM45" s="318" t="s">
        <v>3319</v>
      </c>
      <c r="GAN45" s="319" t="s">
        <v>3320</v>
      </c>
      <c r="GAO45" s="318" t="s">
        <v>3319</v>
      </c>
      <c r="GAP45" s="319" t="s">
        <v>3320</v>
      </c>
      <c r="GAQ45" s="318" t="s">
        <v>3319</v>
      </c>
      <c r="GAR45" s="319" t="s">
        <v>3320</v>
      </c>
      <c r="GAS45" s="318" t="s">
        <v>3319</v>
      </c>
      <c r="GAT45" s="319" t="s">
        <v>3320</v>
      </c>
      <c r="GAU45" s="318" t="s">
        <v>3319</v>
      </c>
      <c r="GAV45" s="319" t="s">
        <v>3320</v>
      </c>
      <c r="GAW45" s="318" t="s">
        <v>3319</v>
      </c>
      <c r="GAX45" s="319" t="s">
        <v>3320</v>
      </c>
      <c r="GAY45" s="318" t="s">
        <v>3319</v>
      </c>
      <c r="GAZ45" s="319" t="s">
        <v>3320</v>
      </c>
      <c r="GBA45" s="318" t="s">
        <v>3319</v>
      </c>
      <c r="GBB45" s="319" t="s">
        <v>3320</v>
      </c>
      <c r="GBC45" s="318" t="s">
        <v>3319</v>
      </c>
      <c r="GBD45" s="319" t="s">
        <v>3320</v>
      </c>
      <c r="GBE45" s="318" t="s">
        <v>3319</v>
      </c>
      <c r="GBF45" s="319" t="s">
        <v>3320</v>
      </c>
      <c r="GBG45" s="318" t="s">
        <v>3319</v>
      </c>
      <c r="GBH45" s="319" t="s">
        <v>3320</v>
      </c>
      <c r="GBI45" s="318" t="s">
        <v>3319</v>
      </c>
      <c r="GBJ45" s="319" t="s">
        <v>3320</v>
      </c>
      <c r="GBK45" s="318" t="s">
        <v>3319</v>
      </c>
      <c r="GBL45" s="319" t="s">
        <v>3320</v>
      </c>
      <c r="GBM45" s="318" t="s">
        <v>3319</v>
      </c>
      <c r="GBN45" s="319" t="s">
        <v>3320</v>
      </c>
      <c r="GBO45" s="318" t="s">
        <v>3319</v>
      </c>
      <c r="GBP45" s="319" t="s">
        <v>3320</v>
      </c>
      <c r="GBQ45" s="318" t="s">
        <v>3319</v>
      </c>
      <c r="GBR45" s="319" t="s">
        <v>3320</v>
      </c>
      <c r="GBS45" s="318" t="s">
        <v>3319</v>
      </c>
      <c r="GBT45" s="319" t="s">
        <v>3320</v>
      </c>
      <c r="GBU45" s="318" t="s">
        <v>3319</v>
      </c>
      <c r="GBV45" s="319" t="s">
        <v>3320</v>
      </c>
      <c r="GBW45" s="318" t="s">
        <v>3319</v>
      </c>
      <c r="GBX45" s="319" t="s">
        <v>3320</v>
      </c>
      <c r="GBY45" s="318" t="s">
        <v>3319</v>
      </c>
      <c r="GBZ45" s="319" t="s">
        <v>3320</v>
      </c>
      <c r="GCA45" s="318" t="s">
        <v>3319</v>
      </c>
      <c r="GCB45" s="319" t="s">
        <v>3320</v>
      </c>
      <c r="GCC45" s="318" t="s">
        <v>3319</v>
      </c>
      <c r="GCD45" s="319" t="s">
        <v>3320</v>
      </c>
      <c r="GCE45" s="318" t="s">
        <v>3319</v>
      </c>
      <c r="GCF45" s="319" t="s">
        <v>3320</v>
      </c>
      <c r="GCG45" s="318" t="s">
        <v>3319</v>
      </c>
      <c r="GCH45" s="319" t="s">
        <v>3320</v>
      </c>
      <c r="GCI45" s="318" t="s">
        <v>3319</v>
      </c>
      <c r="GCJ45" s="319" t="s">
        <v>3320</v>
      </c>
      <c r="GCK45" s="318" t="s">
        <v>3319</v>
      </c>
      <c r="GCL45" s="319" t="s">
        <v>3320</v>
      </c>
      <c r="GCM45" s="318" t="s">
        <v>3319</v>
      </c>
      <c r="GCN45" s="319" t="s">
        <v>3320</v>
      </c>
      <c r="GCO45" s="318" t="s">
        <v>3319</v>
      </c>
      <c r="GCP45" s="319" t="s">
        <v>3320</v>
      </c>
      <c r="GCQ45" s="318" t="s">
        <v>3319</v>
      </c>
      <c r="GCR45" s="319" t="s">
        <v>3320</v>
      </c>
      <c r="GCS45" s="318" t="s">
        <v>3319</v>
      </c>
      <c r="GCT45" s="319" t="s">
        <v>3320</v>
      </c>
      <c r="GCU45" s="318" t="s">
        <v>3319</v>
      </c>
      <c r="GCV45" s="319" t="s">
        <v>3320</v>
      </c>
      <c r="GCW45" s="318" t="s">
        <v>3319</v>
      </c>
      <c r="GCX45" s="319" t="s">
        <v>3320</v>
      </c>
      <c r="GCY45" s="318" t="s">
        <v>3319</v>
      </c>
      <c r="GCZ45" s="319" t="s">
        <v>3320</v>
      </c>
      <c r="GDA45" s="318" t="s">
        <v>3319</v>
      </c>
      <c r="GDB45" s="319" t="s">
        <v>3320</v>
      </c>
      <c r="GDC45" s="318" t="s">
        <v>3319</v>
      </c>
      <c r="GDD45" s="319" t="s">
        <v>3320</v>
      </c>
      <c r="GDE45" s="318" t="s">
        <v>3319</v>
      </c>
      <c r="GDF45" s="319" t="s">
        <v>3320</v>
      </c>
      <c r="GDG45" s="318" t="s">
        <v>3319</v>
      </c>
      <c r="GDH45" s="319" t="s">
        <v>3320</v>
      </c>
      <c r="GDI45" s="318" t="s">
        <v>3319</v>
      </c>
      <c r="GDJ45" s="319" t="s">
        <v>3320</v>
      </c>
      <c r="GDK45" s="318" t="s">
        <v>3319</v>
      </c>
      <c r="GDL45" s="319" t="s">
        <v>3320</v>
      </c>
      <c r="GDM45" s="318" t="s">
        <v>3319</v>
      </c>
      <c r="GDN45" s="319" t="s">
        <v>3320</v>
      </c>
      <c r="GDO45" s="318" t="s">
        <v>3319</v>
      </c>
      <c r="GDP45" s="319" t="s">
        <v>3320</v>
      </c>
      <c r="GDQ45" s="318" t="s">
        <v>3319</v>
      </c>
      <c r="GDR45" s="319" t="s">
        <v>3320</v>
      </c>
      <c r="GDS45" s="318" t="s">
        <v>3319</v>
      </c>
      <c r="GDT45" s="319" t="s">
        <v>3320</v>
      </c>
      <c r="GDU45" s="318" t="s">
        <v>3319</v>
      </c>
      <c r="GDV45" s="319" t="s">
        <v>3320</v>
      </c>
      <c r="GDW45" s="318" t="s">
        <v>3319</v>
      </c>
      <c r="GDX45" s="319" t="s">
        <v>3320</v>
      </c>
      <c r="GDY45" s="318" t="s">
        <v>3319</v>
      </c>
      <c r="GDZ45" s="319" t="s">
        <v>3320</v>
      </c>
      <c r="GEA45" s="318" t="s">
        <v>3319</v>
      </c>
      <c r="GEB45" s="319" t="s">
        <v>3320</v>
      </c>
      <c r="GEC45" s="318" t="s">
        <v>3319</v>
      </c>
      <c r="GED45" s="319" t="s">
        <v>3320</v>
      </c>
      <c r="GEE45" s="318" t="s">
        <v>3319</v>
      </c>
      <c r="GEF45" s="319" t="s">
        <v>3320</v>
      </c>
      <c r="GEG45" s="318" t="s">
        <v>3319</v>
      </c>
      <c r="GEH45" s="319" t="s">
        <v>3320</v>
      </c>
      <c r="GEI45" s="318" t="s">
        <v>3319</v>
      </c>
      <c r="GEJ45" s="319" t="s">
        <v>3320</v>
      </c>
      <c r="GEK45" s="318" t="s">
        <v>3319</v>
      </c>
      <c r="GEL45" s="319" t="s">
        <v>3320</v>
      </c>
      <c r="GEM45" s="318" t="s">
        <v>3319</v>
      </c>
      <c r="GEN45" s="319" t="s">
        <v>3320</v>
      </c>
      <c r="GEO45" s="318" t="s">
        <v>3319</v>
      </c>
      <c r="GEP45" s="319" t="s">
        <v>3320</v>
      </c>
      <c r="GEQ45" s="318" t="s">
        <v>3319</v>
      </c>
      <c r="GER45" s="319" t="s">
        <v>3320</v>
      </c>
      <c r="GES45" s="318" t="s">
        <v>3319</v>
      </c>
      <c r="GET45" s="319" t="s">
        <v>3320</v>
      </c>
      <c r="GEU45" s="318" t="s">
        <v>3319</v>
      </c>
      <c r="GEV45" s="319" t="s">
        <v>3320</v>
      </c>
      <c r="GEW45" s="318" t="s">
        <v>3319</v>
      </c>
      <c r="GEX45" s="319" t="s">
        <v>3320</v>
      </c>
      <c r="GEY45" s="318" t="s">
        <v>3319</v>
      </c>
      <c r="GEZ45" s="319" t="s">
        <v>3320</v>
      </c>
      <c r="GFA45" s="318" t="s">
        <v>3319</v>
      </c>
      <c r="GFB45" s="319" t="s">
        <v>3320</v>
      </c>
      <c r="GFC45" s="318" t="s">
        <v>3319</v>
      </c>
      <c r="GFD45" s="319" t="s">
        <v>3320</v>
      </c>
      <c r="GFE45" s="318" t="s">
        <v>3319</v>
      </c>
      <c r="GFF45" s="319" t="s">
        <v>3320</v>
      </c>
      <c r="GFG45" s="318" t="s">
        <v>3319</v>
      </c>
      <c r="GFH45" s="319" t="s">
        <v>3320</v>
      </c>
      <c r="GFI45" s="318" t="s">
        <v>3319</v>
      </c>
      <c r="GFJ45" s="319" t="s">
        <v>3320</v>
      </c>
      <c r="GFK45" s="318" t="s">
        <v>3319</v>
      </c>
      <c r="GFL45" s="319" t="s">
        <v>3320</v>
      </c>
      <c r="GFM45" s="318" t="s">
        <v>3319</v>
      </c>
      <c r="GFN45" s="319" t="s">
        <v>3320</v>
      </c>
      <c r="GFO45" s="318" t="s">
        <v>3319</v>
      </c>
      <c r="GFP45" s="319" t="s">
        <v>3320</v>
      </c>
      <c r="GFQ45" s="318" t="s">
        <v>3319</v>
      </c>
      <c r="GFR45" s="319" t="s">
        <v>3320</v>
      </c>
      <c r="GFS45" s="318" t="s">
        <v>3319</v>
      </c>
      <c r="GFT45" s="319" t="s">
        <v>3320</v>
      </c>
      <c r="GFU45" s="318" t="s">
        <v>3319</v>
      </c>
      <c r="GFV45" s="319" t="s">
        <v>3320</v>
      </c>
      <c r="GFW45" s="318" t="s">
        <v>3319</v>
      </c>
      <c r="GFX45" s="319" t="s">
        <v>3320</v>
      </c>
      <c r="GFY45" s="318" t="s">
        <v>3319</v>
      </c>
      <c r="GFZ45" s="319" t="s">
        <v>3320</v>
      </c>
      <c r="GGA45" s="318" t="s">
        <v>3319</v>
      </c>
      <c r="GGB45" s="319" t="s">
        <v>3320</v>
      </c>
      <c r="GGC45" s="318" t="s">
        <v>3319</v>
      </c>
      <c r="GGD45" s="319" t="s">
        <v>3320</v>
      </c>
      <c r="GGE45" s="318" t="s">
        <v>3319</v>
      </c>
      <c r="GGF45" s="319" t="s">
        <v>3320</v>
      </c>
      <c r="GGG45" s="318" t="s">
        <v>3319</v>
      </c>
      <c r="GGH45" s="319" t="s">
        <v>3320</v>
      </c>
      <c r="GGI45" s="318" t="s">
        <v>3319</v>
      </c>
      <c r="GGJ45" s="319" t="s">
        <v>3320</v>
      </c>
      <c r="GGK45" s="318" t="s">
        <v>3319</v>
      </c>
      <c r="GGL45" s="319" t="s">
        <v>3320</v>
      </c>
      <c r="GGM45" s="318" t="s">
        <v>3319</v>
      </c>
      <c r="GGN45" s="319" t="s">
        <v>3320</v>
      </c>
      <c r="GGO45" s="318" t="s">
        <v>3319</v>
      </c>
      <c r="GGP45" s="319" t="s">
        <v>3320</v>
      </c>
      <c r="GGQ45" s="318" t="s">
        <v>3319</v>
      </c>
      <c r="GGR45" s="319" t="s">
        <v>3320</v>
      </c>
      <c r="GGS45" s="318" t="s">
        <v>3319</v>
      </c>
      <c r="GGT45" s="319" t="s">
        <v>3320</v>
      </c>
      <c r="GGU45" s="318" t="s">
        <v>3319</v>
      </c>
      <c r="GGV45" s="319" t="s">
        <v>3320</v>
      </c>
      <c r="GGW45" s="318" t="s">
        <v>3319</v>
      </c>
      <c r="GGX45" s="319" t="s">
        <v>3320</v>
      </c>
      <c r="GGY45" s="318" t="s">
        <v>3319</v>
      </c>
      <c r="GGZ45" s="319" t="s">
        <v>3320</v>
      </c>
      <c r="GHA45" s="318" t="s">
        <v>3319</v>
      </c>
      <c r="GHB45" s="319" t="s">
        <v>3320</v>
      </c>
      <c r="GHC45" s="318" t="s">
        <v>3319</v>
      </c>
      <c r="GHD45" s="319" t="s">
        <v>3320</v>
      </c>
      <c r="GHE45" s="318" t="s">
        <v>3319</v>
      </c>
      <c r="GHF45" s="319" t="s">
        <v>3320</v>
      </c>
      <c r="GHG45" s="318" t="s">
        <v>3319</v>
      </c>
      <c r="GHH45" s="319" t="s">
        <v>3320</v>
      </c>
      <c r="GHI45" s="318" t="s">
        <v>3319</v>
      </c>
      <c r="GHJ45" s="319" t="s">
        <v>3320</v>
      </c>
      <c r="GHK45" s="318" t="s">
        <v>3319</v>
      </c>
      <c r="GHL45" s="319" t="s">
        <v>3320</v>
      </c>
      <c r="GHM45" s="318" t="s">
        <v>3319</v>
      </c>
      <c r="GHN45" s="319" t="s">
        <v>3320</v>
      </c>
      <c r="GHO45" s="318" t="s">
        <v>3319</v>
      </c>
      <c r="GHP45" s="319" t="s">
        <v>3320</v>
      </c>
      <c r="GHQ45" s="318" t="s">
        <v>3319</v>
      </c>
      <c r="GHR45" s="319" t="s">
        <v>3320</v>
      </c>
      <c r="GHS45" s="318" t="s">
        <v>3319</v>
      </c>
      <c r="GHT45" s="319" t="s">
        <v>3320</v>
      </c>
      <c r="GHU45" s="318" t="s">
        <v>3319</v>
      </c>
      <c r="GHV45" s="319" t="s">
        <v>3320</v>
      </c>
      <c r="GHW45" s="318" t="s">
        <v>3319</v>
      </c>
      <c r="GHX45" s="319" t="s">
        <v>3320</v>
      </c>
      <c r="GHY45" s="318" t="s">
        <v>3319</v>
      </c>
      <c r="GHZ45" s="319" t="s">
        <v>3320</v>
      </c>
      <c r="GIA45" s="318" t="s">
        <v>3319</v>
      </c>
      <c r="GIB45" s="319" t="s">
        <v>3320</v>
      </c>
      <c r="GIC45" s="318" t="s">
        <v>3319</v>
      </c>
      <c r="GID45" s="319" t="s">
        <v>3320</v>
      </c>
      <c r="GIE45" s="318" t="s">
        <v>3319</v>
      </c>
      <c r="GIF45" s="319" t="s">
        <v>3320</v>
      </c>
      <c r="GIG45" s="318" t="s">
        <v>3319</v>
      </c>
      <c r="GIH45" s="319" t="s">
        <v>3320</v>
      </c>
      <c r="GII45" s="318" t="s">
        <v>3319</v>
      </c>
      <c r="GIJ45" s="319" t="s">
        <v>3320</v>
      </c>
      <c r="GIK45" s="318" t="s">
        <v>3319</v>
      </c>
      <c r="GIL45" s="319" t="s">
        <v>3320</v>
      </c>
      <c r="GIM45" s="318" t="s">
        <v>3319</v>
      </c>
      <c r="GIN45" s="319" t="s">
        <v>3320</v>
      </c>
      <c r="GIO45" s="318" t="s">
        <v>3319</v>
      </c>
      <c r="GIP45" s="319" t="s">
        <v>3320</v>
      </c>
      <c r="GIQ45" s="318" t="s">
        <v>3319</v>
      </c>
      <c r="GIR45" s="319" t="s">
        <v>3320</v>
      </c>
      <c r="GIS45" s="318" t="s">
        <v>3319</v>
      </c>
      <c r="GIT45" s="319" t="s">
        <v>3320</v>
      </c>
      <c r="GIU45" s="318" t="s">
        <v>3319</v>
      </c>
      <c r="GIV45" s="319" t="s">
        <v>3320</v>
      </c>
      <c r="GIW45" s="318" t="s">
        <v>3319</v>
      </c>
      <c r="GIX45" s="319" t="s">
        <v>3320</v>
      </c>
      <c r="GIY45" s="318" t="s">
        <v>3319</v>
      </c>
      <c r="GIZ45" s="319" t="s">
        <v>3320</v>
      </c>
      <c r="GJA45" s="318" t="s">
        <v>3319</v>
      </c>
      <c r="GJB45" s="319" t="s">
        <v>3320</v>
      </c>
      <c r="GJC45" s="318" t="s">
        <v>3319</v>
      </c>
      <c r="GJD45" s="319" t="s">
        <v>3320</v>
      </c>
      <c r="GJE45" s="318" t="s">
        <v>3319</v>
      </c>
      <c r="GJF45" s="319" t="s">
        <v>3320</v>
      </c>
      <c r="GJG45" s="318" t="s">
        <v>3319</v>
      </c>
      <c r="GJH45" s="319" t="s">
        <v>3320</v>
      </c>
      <c r="GJI45" s="318" t="s">
        <v>3319</v>
      </c>
      <c r="GJJ45" s="319" t="s">
        <v>3320</v>
      </c>
      <c r="GJK45" s="318" t="s">
        <v>3319</v>
      </c>
      <c r="GJL45" s="319" t="s">
        <v>3320</v>
      </c>
      <c r="GJM45" s="318" t="s">
        <v>3319</v>
      </c>
      <c r="GJN45" s="319" t="s">
        <v>3320</v>
      </c>
      <c r="GJO45" s="318" t="s">
        <v>3319</v>
      </c>
      <c r="GJP45" s="319" t="s">
        <v>3320</v>
      </c>
      <c r="GJQ45" s="318" t="s">
        <v>3319</v>
      </c>
      <c r="GJR45" s="319" t="s">
        <v>3320</v>
      </c>
      <c r="GJS45" s="318" t="s">
        <v>3319</v>
      </c>
      <c r="GJT45" s="319" t="s">
        <v>3320</v>
      </c>
      <c r="GJU45" s="318" t="s">
        <v>3319</v>
      </c>
      <c r="GJV45" s="319" t="s">
        <v>3320</v>
      </c>
      <c r="GJW45" s="318" t="s">
        <v>3319</v>
      </c>
      <c r="GJX45" s="319" t="s">
        <v>3320</v>
      </c>
      <c r="GJY45" s="318" t="s">
        <v>3319</v>
      </c>
      <c r="GJZ45" s="319" t="s">
        <v>3320</v>
      </c>
      <c r="GKA45" s="318" t="s">
        <v>3319</v>
      </c>
      <c r="GKB45" s="319" t="s">
        <v>3320</v>
      </c>
      <c r="GKC45" s="318" t="s">
        <v>3319</v>
      </c>
      <c r="GKD45" s="319" t="s">
        <v>3320</v>
      </c>
      <c r="GKE45" s="318" t="s">
        <v>3319</v>
      </c>
      <c r="GKF45" s="319" t="s">
        <v>3320</v>
      </c>
      <c r="GKG45" s="318" t="s">
        <v>3319</v>
      </c>
      <c r="GKH45" s="319" t="s">
        <v>3320</v>
      </c>
      <c r="GKI45" s="318" t="s">
        <v>3319</v>
      </c>
      <c r="GKJ45" s="319" t="s">
        <v>3320</v>
      </c>
      <c r="GKK45" s="318" t="s">
        <v>3319</v>
      </c>
      <c r="GKL45" s="319" t="s">
        <v>3320</v>
      </c>
      <c r="GKM45" s="318" t="s">
        <v>3319</v>
      </c>
      <c r="GKN45" s="319" t="s">
        <v>3320</v>
      </c>
      <c r="GKO45" s="318" t="s">
        <v>3319</v>
      </c>
      <c r="GKP45" s="319" t="s">
        <v>3320</v>
      </c>
      <c r="GKQ45" s="318" t="s">
        <v>3319</v>
      </c>
      <c r="GKR45" s="319" t="s">
        <v>3320</v>
      </c>
      <c r="GKS45" s="318" t="s">
        <v>3319</v>
      </c>
      <c r="GKT45" s="319" t="s">
        <v>3320</v>
      </c>
      <c r="GKU45" s="318" t="s">
        <v>3319</v>
      </c>
      <c r="GKV45" s="319" t="s">
        <v>3320</v>
      </c>
      <c r="GKW45" s="318" t="s">
        <v>3319</v>
      </c>
      <c r="GKX45" s="319" t="s">
        <v>3320</v>
      </c>
      <c r="GKY45" s="318" t="s">
        <v>3319</v>
      </c>
      <c r="GKZ45" s="319" t="s">
        <v>3320</v>
      </c>
      <c r="GLA45" s="318" t="s">
        <v>3319</v>
      </c>
      <c r="GLB45" s="319" t="s">
        <v>3320</v>
      </c>
      <c r="GLC45" s="318" t="s">
        <v>3319</v>
      </c>
      <c r="GLD45" s="319" t="s">
        <v>3320</v>
      </c>
      <c r="GLE45" s="318" t="s">
        <v>3319</v>
      </c>
      <c r="GLF45" s="319" t="s">
        <v>3320</v>
      </c>
      <c r="GLG45" s="318" t="s">
        <v>3319</v>
      </c>
      <c r="GLH45" s="319" t="s">
        <v>3320</v>
      </c>
      <c r="GLI45" s="318" t="s">
        <v>3319</v>
      </c>
      <c r="GLJ45" s="319" t="s">
        <v>3320</v>
      </c>
      <c r="GLK45" s="318" t="s">
        <v>3319</v>
      </c>
      <c r="GLL45" s="319" t="s">
        <v>3320</v>
      </c>
      <c r="GLM45" s="318" t="s">
        <v>3319</v>
      </c>
      <c r="GLN45" s="319" t="s">
        <v>3320</v>
      </c>
      <c r="GLO45" s="318" t="s">
        <v>3319</v>
      </c>
      <c r="GLP45" s="319" t="s">
        <v>3320</v>
      </c>
      <c r="GLQ45" s="318" t="s">
        <v>3319</v>
      </c>
      <c r="GLR45" s="319" t="s">
        <v>3320</v>
      </c>
      <c r="GLS45" s="318" t="s">
        <v>3319</v>
      </c>
      <c r="GLT45" s="319" t="s">
        <v>3320</v>
      </c>
      <c r="GLU45" s="318" t="s">
        <v>3319</v>
      </c>
      <c r="GLV45" s="319" t="s">
        <v>3320</v>
      </c>
      <c r="GLW45" s="318" t="s">
        <v>3319</v>
      </c>
      <c r="GLX45" s="319" t="s">
        <v>3320</v>
      </c>
      <c r="GLY45" s="318" t="s">
        <v>3319</v>
      </c>
      <c r="GLZ45" s="319" t="s">
        <v>3320</v>
      </c>
      <c r="GMA45" s="318" t="s">
        <v>3319</v>
      </c>
      <c r="GMB45" s="319" t="s">
        <v>3320</v>
      </c>
      <c r="GMC45" s="318" t="s">
        <v>3319</v>
      </c>
      <c r="GMD45" s="319" t="s">
        <v>3320</v>
      </c>
      <c r="GME45" s="318" t="s">
        <v>3319</v>
      </c>
      <c r="GMF45" s="319" t="s">
        <v>3320</v>
      </c>
      <c r="GMG45" s="318" t="s">
        <v>3319</v>
      </c>
      <c r="GMH45" s="319" t="s">
        <v>3320</v>
      </c>
      <c r="GMI45" s="318" t="s">
        <v>3319</v>
      </c>
      <c r="GMJ45" s="319" t="s">
        <v>3320</v>
      </c>
      <c r="GMK45" s="318" t="s">
        <v>3319</v>
      </c>
      <c r="GML45" s="319" t="s">
        <v>3320</v>
      </c>
      <c r="GMM45" s="318" t="s">
        <v>3319</v>
      </c>
      <c r="GMN45" s="319" t="s">
        <v>3320</v>
      </c>
      <c r="GMO45" s="318" t="s">
        <v>3319</v>
      </c>
      <c r="GMP45" s="319" t="s">
        <v>3320</v>
      </c>
      <c r="GMQ45" s="318" t="s">
        <v>3319</v>
      </c>
      <c r="GMR45" s="319" t="s">
        <v>3320</v>
      </c>
      <c r="GMS45" s="318" t="s">
        <v>3319</v>
      </c>
      <c r="GMT45" s="319" t="s">
        <v>3320</v>
      </c>
      <c r="GMU45" s="318" t="s">
        <v>3319</v>
      </c>
      <c r="GMV45" s="319" t="s">
        <v>3320</v>
      </c>
      <c r="GMW45" s="318" t="s">
        <v>3319</v>
      </c>
      <c r="GMX45" s="319" t="s">
        <v>3320</v>
      </c>
      <c r="GMY45" s="318" t="s">
        <v>3319</v>
      </c>
      <c r="GMZ45" s="319" t="s">
        <v>3320</v>
      </c>
      <c r="GNA45" s="318" t="s">
        <v>3319</v>
      </c>
      <c r="GNB45" s="319" t="s">
        <v>3320</v>
      </c>
      <c r="GNC45" s="318" t="s">
        <v>3319</v>
      </c>
      <c r="GND45" s="319" t="s">
        <v>3320</v>
      </c>
      <c r="GNE45" s="318" t="s">
        <v>3319</v>
      </c>
      <c r="GNF45" s="319" t="s">
        <v>3320</v>
      </c>
      <c r="GNG45" s="318" t="s">
        <v>3319</v>
      </c>
      <c r="GNH45" s="319" t="s">
        <v>3320</v>
      </c>
      <c r="GNI45" s="318" t="s">
        <v>3319</v>
      </c>
      <c r="GNJ45" s="319" t="s">
        <v>3320</v>
      </c>
      <c r="GNK45" s="318" t="s">
        <v>3319</v>
      </c>
      <c r="GNL45" s="319" t="s">
        <v>3320</v>
      </c>
      <c r="GNM45" s="318" t="s">
        <v>3319</v>
      </c>
      <c r="GNN45" s="319" t="s">
        <v>3320</v>
      </c>
      <c r="GNO45" s="318" t="s">
        <v>3319</v>
      </c>
      <c r="GNP45" s="319" t="s">
        <v>3320</v>
      </c>
      <c r="GNQ45" s="318" t="s">
        <v>3319</v>
      </c>
      <c r="GNR45" s="319" t="s">
        <v>3320</v>
      </c>
      <c r="GNS45" s="318" t="s">
        <v>3319</v>
      </c>
      <c r="GNT45" s="319" t="s">
        <v>3320</v>
      </c>
      <c r="GNU45" s="318" t="s">
        <v>3319</v>
      </c>
      <c r="GNV45" s="319" t="s">
        <v>3320</v>
      </c>
      <c r="GNW45" s="318" t="s">
        <v>3319</v>
      </c>
      <c r="GNX45" s="319" t="s">
        <v>3320</v>
      </c>
      <c r="GNY45" s="318" t="s">
        <v>3319</v>
      </c>
      <c r="GNZ45" s="319" t="s">
        <v>3320</v>
      </c>
      <c r="GOA45" s="318" t="s">
        <v>3319</v>
      </c>
      <c r="GOB45" s="319" t="s">
        <v>3320</v>
      </c>
      <c r="GOC45" s="318" t="s">
        <v>3319</v>
      </c>
      <c r="GOD45" s="319" t="s">
        <v>3320</v>
      </c>
      <c r="GOE45" s="318" t="s">
        <v>3319</v>
      </c>
      <c r="GOF45" s="319" t="s">
        <v>3320</v>
      </c>
      <c r="GOG45" s="318" t="s">
        <v>3319</v>
      </c>
      <c r="GOH45" s="319" t="s">
        <v>3320</v>
      </c>
      <c r="GOI45" s="318" t="s">
        <v>3319</v>
      </c>
      <c r="GOJ45" s="319" t="s">
        <v>3320</v>
      </c>
      <c r="GOK45" s="318" t="s">
        <v>3319</v>
      </c>
      <c r="GOL45" s="319" t="s">
        <v>3320</v>
      </c>
      <c r="GOM45" s="318" t="s">
        <v>3319</v>
      </c>
      <c r="GON45" s="319" t="s">
        <v>3320</v>
      </c>
      <c r="GOO45" s="318" t="s">
        <v>3319</v>
      </c>
      <c r="GOP45" s="319" t="s">
        <v>3320</v>
      </c>
      <c r="GOQ45" s="318" t="s">
        <v>3319</v>
      </c>
      <c r="GOR45" s="319" t="s">
        <v>3320</v>
      </c>
      <c r="GOS45" s="318" t="s">
        <v>3319</v>
      </c>
      <c r="GOT45" s="319" t="s">
        <v>3320</v>
      </c>
      <c r="GOU45" s="318" t="s">
        <v>3319</v>
      </c>
      <c r="GOV45" s="319" t="s">
        <v>3320</v>
      </c>
      <c r="GOW45" s="318" t="s">
        <v>3319</v>
      </c>
      <c r="GOX45" s="319" t="s">
        <v>3320</v>
      </c>
      <c r="GOY45" s="318" t="s">
        <v>3319</v>
      </c>
      <c r="GOZ45" s="319" t="s">
        <v>3320</v>
      </c>
      <c r="GPA45" s="318" t="s">
        <v>3319</v>
      </c>
      <c r="GPB45" s="319" t="s">
        <v>3320</v>
      </c>
      <c r="GPC45" s="318" t="s">
        <v>3319</v>
      </c>
      <c r="GPD45" s="319" t="s">
        <v>3320</v>
      </c>
      <c r="GPE45" s="318" t="s">
        <v>3319</v>
      </c>
      <c r="GPF45" s="319" t="s">
        <v>3320</v>
      </c>
      <c r="GPG45" s="318" t="s">
        <v>3319</v>
      </c>
      <c r="GPH45" s="319" t="s">
        <v>3320</v>
      </c>
      <c r="GPI45" s="318" t="s">
        <v>3319</v>
      </c>
      <c r="GPJ45" s="319" t="s">
        <v>3320</v>
      </c>
      <c r="GPK45" s="318" t="s">
        <v>3319</v>
      </c>
      <c r="GPL45" s="319" t="s">
        <v>3320</v>
      </c>
      <c r="GPM45" s="318" t="s">
        <v>3319</v>
      </c>
      <c r="GPN45" s="319" t="s">
        <v>3320</v>
      </c>
      <c r="GPO45" s="318" t="s">
        <v>3319</v>
      </c>
      <c r="GPP45" s="319" t="s">
        <v>3320</v>
      </c>
      <c r="GPQ45" s="318" t="s">
        <v>3319</v>
      </c>
      <c r="GPR45" s="319" t="s">
        <v>3320</v>
      </c>
      <c r="GPS45" s="318" t="s">
        <v>3319</v>
      </c>
      <c r="GPT45" s="319" t="s">
        <v>3320</v>
      </c>
      <c r="GPU45" s="318" t="s">
        <v>3319</v>
      </c>
      <c r="GPV45" s="319" t="s">
        <v>3320</v>
      </c>
      <c r="GPW45" s="318" t="s">
        <v>3319</v>
      </c>
      <c r="GPX45" s="319" t="s">
        <v>3320</v>
      </c>
      <c r="GPY45" s="318" t="s">
        <v>3319</v>
      </c>
      <c r="GPZ45" s="319" t="s">
        <v>3320</v>
      </c>
      <c r="GQA45" s="318" t="s">
        <v>3319</v>
      </c>
      <c r="GQB45" s="319" t="s">
        <v>3320</v>
      </c>
      <c r="GQC45" s="318" t="s">
        <v>3319</v>
      </c>
      <c r="GQD45" s="319" t="s">
        <v>3320</v>
      </c>
      <c r="GQE45" s="318" t="s">
        <v>3319</v>
      </c>
      <c r="GQF45" s="319" t="s">
        <v>3320</v>
      </c>
      <c r="GQG45" s="318" t="s">
        <v>3319</v>
      </c>
      <c r="GQH45" s="319" t="s">
        <v>3320</v>
      </c>
      <c r="GQI45" s="318" t="s">
        <v>3319</v>
      </c>
      <c r="GQJ45" s="319" t="s">
        <v>3320</v>
      </c>
      <c r="GQK45" s="318" t="s">
        <v>3319</v>
      </c>
      <c r="GQL45" s="319" t="s">
        <v>3320</v>
      </c>
      <c r="GQM45" s="318" t="s">
        <v>3319</v>
      </c>
      <c r="GQN45" s="319" t="s">
        <v>3320</v>
      </c>
      <c r="GQO45" s="318" t="s">
        <v>3319</v>
      </c>
      <c r="GQP45" s="319" t="s">
        <v>3320</v>
      </c>
      <c r="GQQ45" s="318" t="s">
        <v>3319</v>
      </c>
      <c r="GQR45" s="319" t="s">
        <v>3320</v>
      </c>
      <c r="GQS45" s="318" t="s">
        <v>3319</v>
      </c>
      <c r="GQT45" s="319" t="s">
        <v>3320</v>
      </c>
      <c r="GQU45" s="318" t="s">
        <v>3319</v>
      </c>
      <c r="GQV45" s="319" t="s">
        <v>3320</v>
      </c>
      <c r="GQW45" s="318" t="s">
        <v>3319</v>
      </c>
      <c r="GQX45" s="319" t="s">
        <v>3320</v>
      </c>
      <c r="GQY45" s="318" t="s">
        <v>3319</v>
      </c>
      <c r="GQZ45" s="319" t="s">
        <v>3320</v>
      </c>
      <c r="GRA45" s="318" t="s">
        <v>3319</v>
      </c>
      <c r="GRB45" s="319" t="s">
        <v>3320</v>
      </c>
      <c r="GRC45" s="318" t="s">
        <v>3319</v>
      </c>
      <c r="GRD45" s="319" t="s">
        <v>3320</v>
      </c>
      <c r="GRE45" s="318" t="s">
        <v>3319</v>
      </c>
      <c r="GRF45" s="319" t="s">
        <v>3320</v>
      </c>
      <c r="GRG45" s="318" t="s">
        <v>3319</v>
      </c>
      <c r="GRH45" s="319" t="s">
        <v>3320</v>
      </c>
      <c r="GRI45" s="318" t="s">
        <v>3319</v>
      </c>
      <c r="GRJ45" s="319" t="s">
        <v>3320</v>
      </c>
      <c r="GRK45" s="318" t="s">
        <v>3319</v>
      </c>
      <c r="GRL45" s="319" t="s">
        <v>3320</v>
      </c>
      <c r="GRM45" s="318" t="s">
        <v>3319</v>
      </c>
      <c r="GRN45" s="319" t="s">
        <v>3320</v>
      </c>
      <c r="GRO45" s="318" t="s">
        <v>3319</v>
      </c>
      <c r="GRP45" s="319" t="s">
        <v>3320</v>
      </c>
      <c r="GRQ45" s="318" t="s">
        <v>3319</v>
      </c>
      <c r="GRR45" s="319" t="s">
        <v>3320</v>
      </c>
      <c r="GRS45" s="318" t="s">
        <v>3319</v>
      </c>
      <c r="GRT45" s="319" t="s">
        <v>3320</v>
      </c>
      <c r="GRU45" s="318" t="s">
        <v>3319</v>
      </c>
      <c r="GRV45" s="319" t="s">
        <v>3320</v>
      </c>
      <c r="GRW45" s="318" t="s">
        <v>3319</v>
      </c>
      <c r="GRX45" s="319" t="s">
        <v>3320</v>
      </c>
      <c r="GRY45" s="318" t="s">
        <v>3319</v>
      </c>
      <c r="GRZ45" s="319" t="s">
        <v>3320</v>
      </c>
      <c r="GSA45" s="318" t="s">
        <v>3319</v>
      </c>
      <c r="GSB45" s="319" t="s">
        <v>3320</v>
      </c>
      <c r="GSC45" s="318" t="s">
        <v>3319</v>
      </c>
      <c r="GSD45" s="319" t="s">
        <v>3320</v>
      </c>
      <c r="GSE45" s="318" t="s">
        <v>3319</v>
      </c>
      <c r="GSF45" s="319" t="s">
        <v>3320</v>
      </c>
      <c r="GSG45" s="318" t="s">
        <v>3319</v>
      </c>
      <c r="GSH45" s="319" t="s">
        <v>3320</v>
      </c>
      <c r="GSI45" s="318" t="s">
        <v>3319</v>
      </c>
      <c r="GSJ45" s="319" t="s">
        <v>3320</v>
      </c>
      <c r="GSK45" s="318" t="s">
        <v>3319</v>
      </c>
      <c r="GSL45" s="319" t="s">
        <v>3320</v>
      </c>
      <c r="GSM45" s="318" t="s">
        <v>3319</v>
      </c>
      <c r="GSN45" s="319" t="s">
        <v>3320</v>
      </c>
      <c r="GSO45" s="318" t="s">
        <v>3319</v>
      </c>
      <c r="GSP45" s="319" t="s">
        <v>3320</v>
      </c>
      <c r="GSQ45" s="318" t="s">
        <v>3319</v>
      </c>
      <c r="GSR45" s="319" t="s">
        <v>3320</v>
      </c>
      <c r="GSS45" s="318" t="s">
        <v>3319</v>
      </c>
      <c r="GST45" s="319" t="s">
        <v>3320</v>
      </c>
      <c r="GSU45" s="318" t="s">
        <v>3319</v>
      </c>
      <c r="GSV45" s="319" t="s">
        <v>3320</v>
      </c>
      <c r="GSW45" s="318" t="s">
        <v>3319</v>
      </c>
      <c r="GSX45" s="319" t="s">
        <v>3320</v>
      </c>
      <c r="GSY45" s="318" t="s">
        <v>3319</v>
      </c>
      <c r="GSZ45" s="319" t="s">
        <v>3320</v>
      </c>
      <c r="GTA45" s="318" t="s">
        <v>3319</v>
      </c>
      <c r="GTB45" s="319" t="s">
        <v>3320</v>
      </c>
      <c r="GTC45" s="318" t="s">
        <v>3319</v>
      </c>
      <c r="GTD45" s="319" t="s">
        <v>3320</v>
      </c>
      <c r="GTE45" s="318" t="s">
        <v>3319</v>
      </c>
      <c r="GTF45" s="319" t="s">
        <v>3320</v>
      </c>
      <c r="GTG45" s="318" t="s">
        <v>3319</v>
      </c>
      <c r="GTH45" s="319" t="s">
        <v>3320</v>
      </c>
      <c r="GTI45" s="318" t="s">
        <v>3319</v>
      </c>
      <c r="GTJ45" s="319" t="s">
        <v>3320</v>
      </c>
      <c r="GTK45" s="318" t="s">
        <v>3319</v>
      </c>
      <c r="GTL45" s="319" t="s">
        <v>3320</v>
      </c>
      <c r="GTM45" s="318" t="s">
        <v>3319</v>
      </c>
      <c r="GTN45" s="319" t="s">
        <v>3320</v>
      </c>
      <c r="GTO45" s="318" t="s">
        <v>3319</v>
      </c>
      <c r="GTP45" s="319" t="s">
        <v>3320</v>
      </c>
      <c r="GTQ45" s="318" t="s">
        <v>3319</v>
      </c>
      <c r="GTR45" s="319" t="s">
        <v>3320</v>
      </c>
      <c r="GTS45" s="318" t="s">
        <v>3319</v>
      </c>
      <c r="GTT45" s="319" t="s">
        <v>3320</v>
      </c>
      <c r="GTU45" s="318" t="s">
        <v>3319</v>
      </c>
      <c r="GTV45" s="319" t="s">
        <v>3320</v>
      </c>
      <c r="GTW45" s="318" t="s">
        <v>3319</v>
      </c>
      <c r="GTX45" s="319" t="s">
        <v>3320</v>
      </c>
      <c r="GTY45" s="318" t="s">
        <v>3319</v>
      </c>
      <c r="GTZ45" s="319" t="s">
        <v>3320</v>
      </c>
      <c r="GUA45" s="318" t="s">
        <v>3319</v>
      </c>
      <c r="GUB45" s="319" t="s">
        <v>3320</v>
      </c>
      <c r="GUC45" s="318" t="s">
        <v>3319</v>
      </c>
      <c r="GUD45" s="319" t="s">
        <v>3320</v>
      </c>
      <c r="GUE45" s="318" t="s">
        <v>3319</v>
      </c>
      <c r="GUF45" s="319" t="s">
        <v>3320</v>
      </c>
      <c r="GUG45" s="318" t="s">
        <v>3319</v>
      </c>
      <c r="GUH45" s="319" t="s">
        <v>3320</v>
      </c>
      <c r="GUI45" s="318" t="s">
        <v>3319</v>
      </c>
      <c r="GUJ45" s="319" t="s">
        <v>3320</v>
      </c>
      <c r="GUK45" s="318" t="s">
        <v>3319</v>
      </c>
      <c r="GUL45" s="319" t="s">
        <v>3320</v>
      </c>
      <c r="GUM45" s="318" t="s">
        <v>3319</v>
      </c>
      <c r="GUN45" s="319" t="s">
        <v>3320</v>
      </c>
      <c r="GUO45" s="318" t="s">
        <v>3319</v>
      </c>
      <c r="GUP45" s="319" t="s">
        <v>3320</v>
      </c>
      <c r="GUQ45" s="318" t="s">
        <v>3319</v>
      </c>
      <c r="GUR45" s="319" t="s">
        <v>3320</v>
      </c>
      <c r="GUS45" s="318" t="s">
        <v>3319</v>
      </c>
      <c r="GUT45" s="319" t="s">
        <v>3320</v>
      </c>
      <c r="GUU45" s="318" t="s">
        <v>3319</v>
      </c>
      <c r="GUV45" s="319" t="s">
        <v>3320</v>
      </c>
      <c r="GUW45" s="318" t="s">
        <v>3319</v>
      </c>
      <c r="GUX45" s="319" t="s">
        <v>3320</v>
      </c>
      <c r="GUY45" s="318" t="s">
        <v>3319</v>
      </c>
      <c r="GUZ45" s="319" t="s">
        <v>3320</v>
      </c>
      <c r="GVA45" s="318" t="s">
        <v>3319</v>
      </c>
      <c r="GVB45" s="319" t="s">
        <v>3320</v>
      </c>
      <c r="GVC45" s="318" t="s">
        <v>3319</v>
      </c>
      <c r="GVD45" s="319" t="s">
        <v>3320</v>
      </c>
      <c r="GVE45" s="318" t="s">
        <v>3319</v>
      </c>
      <c r="GVF45" s="319" t="s">
        <v>3320</v>
      </c>
      <c r="GVG45" s="318" t="s">
        <v>3319</v>
      </c>
      <c r="GVH45" s="319" t="s">
        <v>3320</v>
      </c>
      <c r="GVI45" s="318" t="s">
        <v>3319</v>
      </c>
      <c r="GVJ45" s="319" t="s">
        <v>3320</v>
      </c>
      <c r="GVK45" s="318" t="s">
        <v>3319</v>
      </c>
      <c r="GVL45" s="319" t="s">
        <v>3320</v>
      </c>
      <c r="GVM45" s="318" t="s">
        <v>3319</v>
      </c>
      <c r="GVN45" s="319" t="s">
        <v>3320</v>
      </c>
      <c r="GVO45" s="318" t="s">
        <v>3319</v>
      </c>
      <c r="GVP45" s="319" t="s">
        <v>3320</v>
      </c>
      <c r="GVQ45" s="318" t="s">
        <v>3319</v>
      </c>
      <c r="GVR45" s="319" t="s">
        <v>3320</v>
      </c>
      <c r="GVS45" s="318" t="s">
        <v>3319</v>
      </c>
      <c r="GVT45" s="319" t="s">
        <v>3320</v>
      </c>
      <c r="GVU45" s="318" t="s">
        <v>3319</v>
      </c>
      <c r="GVV45" s="319" t="s">
        <v>3320</v>
      </c>
      <c r="GVW45" s="318" t="s">
        <v>3319</v>
      </c>
      <c r="GVX45" s="319" t="s">
        <v>3320</v>
      </c>
      <c r="GVY45" s="318" t="s">
        <v>3319</v>
      </c>
      <c r="GVZ45" s="319" t="s">
        <v>3320</v>
      </c>
      <c r="GWA45" s="318" t="s">
        <v>3319</v>
      </c>
      <c r="GWB45" s="319" t="s">
        <v>3320</v>
      </c>
      <c r="GWC45" s="318" t="s">
        <v>3319</v>
      </c>
      <c r="GWD45" s="319" t="s">
        <v>3320</v>
      </c>
      <c r="GWE45" s="318" t="s">
        <v>3319</v>
      </c>
      <c r="GWF45" s="319" t="s">
        <v>3320</v>
      </c>
      <c r="GWG45" s="318" t="s">
        <v>3319</v>
      </c>
      <c r="GWH45" s="319" t="s">
        <v>3320</v>
      </c>
      <c r="GWI45" s="318" t="s">
        <v>3319</v>
      </c>
      <c r="GWJ45" s="319" t="s">
        <v>3320</v>
      </c>
      <c r="GWK45" s="318" t="s">
        <v>3319</v>
      </c>
      <c r="GWL45" s="319" t="s">
        <v>3320</v>
      </c>
      <c r="GWM45" s="318" t="s">
        <v>3319</v>
      </c>
      <c r="GWN45" s="319" t="s">
        <v>3320</v>
      </c>
      <c r="GWO45" s="318" t="s">
        <v>3319</v>
      </c>
      <c r="GWP45" s="319" t="s">
        <v>3320</v>
      </c>
      <c r="GWQ45" s="318" t="s">
        <v>3319</v>
      </c>
      <c r="GWR45" s="319" t="s">
        <v>3320</v>
      </c>
      <c r="GWS45" s="318" t="s">
        <v>3319</v>
      </c>
      <c r="GWT45" s="319" t="s">
        <v>3320</v>
      </c>
      <c r="GWU45" s="318" t="s">
        <v>3319</v>
      </c>
      <c r="GWV45" s="319" t="s">
        <v>3320</v>
      </c>
      <c r="GWW45" s="318" t="s">
        <v>3319</v>
      </c>
      <c r="GWX45" s="319" t="s">
        <v>3320</v>
      </c>
      <c r="GWY45" s="318" t="s">
        <v>3319</v>
      </c>
      <c r="GWZ45" s="319" t="s">
        <v>3320</v>
      </c>
      <c r="GXA45" s="318" t="s">
        <v>3319</v>
      </c>
      <c r="GXB45" s="319" t="s">
        <v>3320</v>
      </c>
      <c r="GXC45" s="318" t="s">
        <v>3319</v>
      </c>
      <c r="GXD45" s="319" t="s">
        <v>3320</v>
      </c>
      <c r="GXE45" s="318" t="s">
        <v>3319</v>
      </c>
      <c r="GXF45" s="319" t="s">
        <v>3320</v>
      </c>
      <c r="GXG45" s="318" t="s">
        <v>3319</v>
      </c>
      <c r="GXH45" s="319" t="s">
        <v>3320</v>
      </c>
      <c r="GXI45" s="318" t="s">
        <v>3319</v>
      </c>
      <c r="GXJ45" s="319" t="s">
        <v>3320</v>
      </c>
      <c r="GXK45" s="318" t="s">
        <v>3319</v>
      </c>
      <c r="GXL45" s="319" t="s">
        <v>3320</v>
      </c>
      <c r="GXM45" s="318" t="s">
        <v>3319</v>
      </c>
      <c r="GXN45" s="319" t="s">
        <v>3320</v>
      </c>
      <c r="GXO45" s="318" t="s">
        <v>3319</v>
      </c>
      <c r="GXP45" s="319" t="s">
        <v>3320</v>
      </c>
      <c r="GXQ45" s="318" t="s">
        <v>3319</v>
      </c>
      <c r="GXR45" s="319" t="s">
        <v>3320</v>
      </c>
      <c r="GXS45" s="318" t="s">
        <v>3319</v>
      </c>
      <c r="GXT45" s="319" t="s">
        <v>3320</v>
      </c>
      <c r="GXU45" s="318" t="s">
        <v>3319</v>
      </c>
      <c r="GXV45" s="319" t="s">
        <v>3320</v>
      </c>
      <c r="GXW45" s="318" t="s">
        <v>3319</v>
      </c>
      <c r="GXX45" s="319" t="s">
        <v>3320</v>
      </c>
      <c r="GXY45" s="318" t="s">
        <v>3319</v>
      </c>
      <c r="GXZ45" s="319" t="s">
        <v>3320</v>
      </c>
      <c r="GYA45" s="318" t="s">
        <v>3319</v>
      </c>
      <c r="GYB45" s="319" t="s">
        <v>3320</v>
      </c>
      <c r="GYC45" s="318" t="s">
        <v>3319</v>
      </c>
      <c r="GYD45" s="319" t="s">
        <v>3320</v>
      </c>
      <c r="GYE45" s="318" t="s">
        <v>3319</v>
      </c>
      <c r="GYF45" s="319" t="s">
        <v>3320</v>
      </c>
      <c r="GYG45" s="318" t="s">
        <v>3319</v>
      </c>
      <c r="GYH45" s="319" t="s">
        <v>3320</v>
      </c>
      <c r="GYI45" s="318" t="s">
        <v>3319</v>
      </c>
      <c r="GYJ45" s="319" t="s">
        <v>3320</v>
      </c>
      <c r="GYK45" s="318" t="s">
        <v>3319</v>
      </c>
      <c r="GYL45" s="319" t="s">
        <v>3320</v>
      </c>
      <c r="GYM45" s="318" t="s">
        <v>3319</v>
      </c>
      <c r="GYN45" s="319" t="s">
        <v>3320</v>
      </c>
      <c r="GYO45" s="318" t="s">
        <v>3319</v>
      </c>
      <c r="GYP45" s="319" t="s">
        <v>3320</v>
      </c>
      <c r="GYQ45" s="318" t="s">
        <v>3319</v>
      </c>
      <c r="GYR45" s="319" t="s">
        <v>3320</v>
      </c>
      <c r="GYS45" s="318" t="s">
        <v>3319</v>
      </c>
      <c r="GYT45" s="319" t="s">
        <v>3320</v>
      </c>
      <c r="GYU45" s="318" t="s">
        <v>3319</v>
      </c>
      <c r="GYV45" s="319" t="s">
        <v>3320</v>
      </c>
      <c r="GYW45" s="318" t="s">
        <v>3319</v>
      </c>
      <c r="GYX45" s="319" t="s">
        <v>3320</v>
      </c>
      <c r="GYY45" s="318" t="s">
        <v>3319</v>
      </c>
      <c r="GYZ45" s="319" t="s">
        <v>3320</v>
      </c>
      <c r="GZA45" s="318" t="s">
        <v>3319</v>
      </c>
      <c r="GZB45" s="319" t="s">
        <v>3320</v>
      </c>
      <c r="GZC45" s="318" t="s">
        <v>3319</v>
      </c>
      <c r="GZD45" s="319" t="s">
        <v>3320</v>
      </c>
      <c r="GZE45" s="318" t="s">
        <v>3319</v>
      </c>
      <c r="GZF45" s="319" t="s">
        <v>3320</v>
      </c>
      <c r="GZG45" s="318" t="s">
        <v>3319</v>
      </c>
      <c r="GZH45" s="319" t="s">
        <v>3320</v>
      </c>
      <c r="GZI45" s="318" t="s">
        <v>3319</v>
      </c>
      <c r="GZJ45" s="319" t="s">
        <v>3320</v>
      </c>
      <c r="GZK45" s="318" t="s">
        <v>3319</v>
      </c>
      <c r="GZL45" s="319" t="s">
        <v>3320</v>
      </c>
      <c r="GZM45" s="318" t="s">
        <v>3319</v>
      </c>
      <c r="GZN45" s="319" t="s">
        <v>3320</v>
      </c>
      <c r="GZO45" s="318" t="s">
        <v>3319</v>
      </c>
      <c r="GZP45" s="319" t="s">
        <v>3320</v>
      </c>
      <c r="GZQ45" s="318" t="s">
        <v>3319</v>
      </c>
      <c r="GZR45" s="319" t="s">
        <v>3320</v>
      </c>
      <c r="GZS45" s="318" t="s">
        <v>3319</v>
      </c>
      <c r="GZT45" s="319" t="s">
        <v>3320</v>
      </c>
      <c r="GZU45" s="318" t="s">
        <v>3319</v>
      </c>
      <c r="GZV45" s="319" t="s">
        <v>3320</v>
      </c>
      <c r="GZW45" s="318" t="s">
        <v>3319</v>
      </c>
      <c r="GZX45" s="319" t="s">
        <v>3320</v>
      </c>
      <c r="GZY45" s="318" t="s">
        <v>3319</v>
      </c>
      <c r="GZZ45" s="319" t="s">
        <v>3320</v>
      </c>
      <c r="HAA45" s="318" t="s">
        <v>3319</v>
      </c>
      <c r="HAB45" s="319" t="s">
        <v>3320</v>
      </c>
      <c r="HAC45" s="318" t="s">
        <v>3319</v>
      </c>
      <c r="HAD45" s="319" t="s">
        <v>3320</v>
      </c>
      <c r="HAE45" s="318" t="s">
        <v>3319</v>
      </c>
      <c r="HAF45" s="319" t="s">
        <v>3320</v>
      </c>
      <c r="HAG45" s="318" t="s">
        <v>3319</v>
      </c>
      <c r="HAH45" s="319" t="s">
        <v>3320</v>
      </c>
      <c r="HAI45" s="318" t="s">
        <v>3319</v>
      </c>
      <c r="HAJ45" s="319" t="s">
        <v>3320</v>
      </c>
      <c r="HAK45" s="318" t="s">
        <v>3319</v>
      </c>
      <c r="HAL45" s="319" t="s">
        <v>3320</v>
      </c>
      <c r="HAM45" s="318" t="s">
        <v>3319</v>
      </c>
      <c r="HAN45" s="319" t="s">
        <v>3320</v>
      </c>
      <c r="HAO45" s="318" t="s">
        <v>3319</v>
      </c>
      <c r="HAP45" s="319" t="s">
        <v>3320</v>
      </c>
      <c r="HAQ45" s="318" t="s">
        <v>3319</v>
      </c>
      <c r="HAR45" s="319" t="s">
        <v>3320</v>
      </c>
      <c r="HAS45" s="318" t="s">
        <v>3319</v>
      </c>
      <c r="HAT45" s="319" t="s">
        <v>3320</v>
      </c>
      <c r="HAU45" s="318" t="s">
        <v>3319</v>
      </c>
      <c r="HAV45" s="319" t="s">
        <v>3320</v>
      </c>
      <c r="HAW45" s="318" t="s">
        <v>3319</v>
      </c>
      <c r="HAX45" s="319" t="s">
        <v>3320</v>
      </c>
      <c r="HAY45" s="318" t="s">
        <v>3319</v>
      </c>
      <c r="HAZ45" s="319" t="s">
        <v>3320</v>
      </c>
      <c r="HBA45" s="318" t="s">
        <v>3319</v>
      </c>
      <c r="HBB45" s="319" t="s">
        <v>3320</v>
      </c>
      <c r="HBC45" s="318" t="s">
        <v>3319</v>
      </c>
      <c r="HBD45" s="319" t="s">
        <v>3320</v>
      </c>
      <c r="HBE45" s="318" t="s">
        <v>3319</v>
      </c>
      <c r="HBF45" s="319" t="s">
        <v>3320</v>
      </c>
      <c r="HBG45" s="318" t="s">
        <v>3319</v>
      </c>
      <c r="HBH45" s="319" t="s">
        <v>3320</v>
      </c>
      <c r="HBI45" s="318" t="s">
        <v>3319</v>
      </c>
      <c r="HBJ45" s="319" t="s">
        <v>3320</v>
      </c>
      <c r="HBK45" s="318" t="s">
        <v>3319</v>
      </c>
      <c r="HBL45" s="319" t="s">
        <v>3320</v>
      </c>
      <c r="HBM45" s="318" t="s">
        <v>3319</v>
      </c>
      <c r="HBN45" s="319" t="s">
        <v>3320</v>
      </c>
      <c r="HBO45" s="318" t="s">
        <v>3319</v>
      </c>
      <c r="HBP45" s="319" t="s">
        <v>3320</v>
      </c>
      <c r="HBQ45" s="318" t="s">
        <v>3319</v>
      </c>
      <c r="HBR45" s="319" t="s">
        <v>3320</v>
      </c>
      <c r="HBS45" s="318" t="s">
        <v>3319</v>
      </c>
      <c r="HBT45" s="319" t="s">
        <v>3320</v>
      </c>
      <c r="HBU45" s="318" t="s">
        <v>3319</v>
      </c>
      <c r="HBV45" s="319" t="s">
        <v>3320</v>
      </c>
      <c r="HBW45" s="318" t="s">
        <v>3319</v>
      </c>
      <c r="HBX45" s="319" t="s">
        <v>3320</v>
      </c>
      <c r="HBY45" s="318" t="s">
        <v>3319</v>
      </c>
      <c r="HBZ45" s="319" t="s">
        <v>3320</v>
      </c>
      <c r="HCA45" s="318" t="s">
        <v>3319</v>
      </c>
      <c r="HCB45" s="319" t="s">
        <v>3320</v>
      </c>
      <c r="HCC45" s="318" t="s">
        <v>3319</v>
      </c>
      <c r="HCD45" s="319" t="s">
        <v>3320</v>
      </c>
      <c r="HCE45" s="318" t="s">
        <v>3319</v>
      </c>
      <c r="HCF45" s="319" t="s">
        <v>3320</v>
      </c>
      <c r="HCG45" s="318" t="s">
        <v>3319</v>
      </c>
      <c r="HCH45" s="319" t="s">
        <v>3320</v>
      </c>
      <c r="HCI45" s="318" t="s">
        <v>3319</v>
      </c>
      <c r="HCJ45" s="319" t="s">
        <v>3320</v>
      </c>
      <c r="HCK45" s="318" t="s">
        <v>3319</v>
      </c>
      <c r="HCL45" s="319" t="s">
        <v>3320</v>
      </c>
      <c r="HCM45" s="318" t="s">
        <v>3319</v>
      </c>
      <c r="HCN45" s="319" t="s">
        <v>3320</v>
      </c>
      <c r="HCO45" s="318" t="s">
        <v>3319</v>
      </c>
      <c r="HCP45" s="319" t="s">
        <v>3320</v>
      </c>
      <c r="HCQ45" s="318" t="s">
        <v>3319</v>
      </c>
      <c r="HCR45" s="319" t="s">
        <v>3320</v>
      </c>
      <c r="HCS45" s="318" t="s">
        <v>3319</v>
      </c>
      <c r="HCT45" s="319" t="s">
        <v>3320</v>
      </c>
      <c r="HCU45" s="318" t="s">
        <v>3319</v>
      </c>
      <c r="HCV45" s="319" t="s">
        <v>3320</v>
      </c>
      <c r="HCW45" s="318" t="s">
        <v>3319</v>
      </c>
      <c r="HCX45" s="319" t="s">
        <v>3320</v>
      </c>
      <c r="HCY45" s="318" t="s">
        <v>3319</v>
      </c>
      <c r="HCZ45" s="319" t="s">
        <v>3320</v>
      </c>
      <c r="HDA45" s="318" t="s">
        <v>3319</v>
      </c>
      <c r="HDB45" s="319" t="s">
        <v>3320</v>
      </c>
      <c r="HDC45" s="318" t="s">
        <v>3319</v>
      </c>
      <c r="HDD45" s="319" t="s">
        <v>3320</v>
      </c>
      <c r="HDE45" s="318" t="s">
        <v>3319</v>
      </c>
      <c r="HDF45" s="319" t="s">
        <v>3320</v>
      </c>
      <c r="HDG45" s="318" t="s">
        <v>3319</v>
      </c>
      <c r="HDH45" s="319" t="s">
        <v>3320</v>
      </c>
      <c r="HDI45" s="318" t="s">
        <v>3319</v>
      </c>
      <c r="HDJ45" s="319" t="s">
        <v>3320</v>
      </c>
      <c r="HDK45" s="318" t="s">
        <v>3319</v>
      </c>
      <c r="HDL45" s="319" t="s">
        <v>3320</v>
      </c>
      <c r="HDM45" s="318" t="s">
        <v>3319</v>
      </c>
      <c r="HDN45" s="319" t="s">
        <v>3320</v>
      </c>
      <c r="HDO45" s="318" t="s">
        <v>3319</v>
      </c>
      <c r="HDP45" s="319" t="s">
        <v>3320</v>
      </c>
      <c r="HDQ45" s="318" t="s">
        <v>3319</v>
      </c>
      <c r="HDR45" s="319" t="s">
        <v>3320</v>
      </c>
      <c r="HDS45" s="318" t="s">
        <v>3319</v>
      </c>
      <c r="HDT45" s="319" t="s">
        <v>3320</v>
      </c>
      <c r="HDU45" s="318" t="s">
        <v>3319</v>
      </c>
      <c r="HDV45" s="319" t="s">
        <v>3320</v>
      </c>
      <c r="HDW45" s="318" t="s">
        <v>3319</v>
      </c>
      <c r="HDX45" s="319" t="s">
        <v>3320</v>
      </c>
      <c r="HDY45" s="318" t="s">
        <v>3319</v>
      </c>
      <c r="HDZ45" s="319" t="s">
        <v>3320</v>
      </c>
      <c r="HEA45" s="318" t="s">
        <v>3319</v>
      </c>
      <c r="HEB45" s="319" t="s">
        <v>3320</v>
      </c>
      <c r="HEC45" s="318" t="s">
        <v>3319</v>
      </c>
      <c r="HED45" s="319" t="s">
        <v>3320</v>
      </c>
      <c r="HEE45" s="318" t="s">
        <v>3319</v>
      </c>
      <c r="HEF45" s="319" t="s">
        <v>3320</v>
      </c>
      <c r="HEG45" s="318" t="s">
        <v>3319</v>
      </c>
      <c r="HEH45" s="319" t="s">
        <v>3320</v>
      </c>
      <c r="HEI45" s="318" t="s">
        <v>3319</v>
      </c>
      <c r="HEJ45" s="319" t="s">
        <v>3320</v>
      </c>
      <c r="HEK45" s="318" t="s">
        <v>3319</v>
      </c>
      <c r="HEL45" s="319" t="s">
        <v>3320</v>
      </c>
      <c r="HEM45" s="318" t="s">
        <v>3319</v>
      </c>
      <c r="HEN45" s="319" t="s">
        <v>3320</v>
      </c>
      <c r="HEO45" s="318" t="s">
        <v>3319</v>
      </c>
      <c r="HEP45" s="319" t="s">
        <v>3320</v>
      </c>
      <c r="HEQ45" s="318" t="s">
        <v>3319</v>
      </c>
      <c r="HER45" s="319" t="s">
        <v>3320</v>
      </c>
      <c r="HES45" s="318" t="s">
        <v>3319</v>
      </c>
      <c r="HET45" s="319" t="s">
        <v>3320</v>
      </c>
      <c r="HEU45" s="318" t="s">
        <v>3319</v>
      </c>
      <c r="HEV45" s="319" t="s">
        <v>3320</v>
      </c>
      <c r="HEW45" s="318" t="s">
        <v>3319</v>
      </c>
      <c r="HEX45" s="319" t="s">
        <v>3320</v>
      </c>
      <c r="HEY45" s="318" t="s">
        <v>3319</v>
      </c>
      <c r="HEZ45" s="319" t="s">
        <v>3320</v>
      </c>
      <c r="HFA45" s="318" t="s">
        <v>3319</v>
      </c>
      <c r="HFB45" s="319" t="s">
        <v>3320</v>
      </c>
      <c r="HFC45" s="318" t="s">
        <v>3319</v>
      </c>
      <c r="HFD45" s="319" t="s">
        <v>3320</v>
      </c>
      <c r="HFE45" s="318" t="s">
        <v>3319</v>
      </c>
      <c r="HFF45" s="319" t="s">
        <v>3320</v>
      </c>
      <c r="HFG45" s="318" t="s">
        <v>3319</v>
      </c>
      <c r="HFH45" s="319" t="s">
        <v>3320</v>
      </c>
      <c r="HFI45" s="318" t="s">
        <v>3319</v>
      </c>
      <c r="HFJ45" s="319" t="s">
        <v>3320</v>
      </c>
      <c r="HFK45" s="318" t="s">
        <v>3319</v>
      </c>
      <c r="HFL45" s="319" t="s">
        <v>3320</v>
      </c>
      <c r="HFM45" s="318" t="s">
        <v>3319</v>
      </c>
      <c r="HFN45" s="319" t="s">
        <v>3320</v>
      </c>
      <c r="HFO45" s="318" t="s">
        <v>3319</v>
      </c>
      <c r="HFP45" s="319" t="s">
        <v>3320</v>
      </c>
      <c r="HFQ45" s="318" t="s">
        <v>3319</v>
      </c>
      <c r="HFR45" s="319" t="s">
        <v>3320</v>
      </c>
      <c r="HFS45" s="318" t="s">
        <v>3319</v>
      </c>
      <c r="HFT45" s="319" t="s">
        <v>3320</v>
      </c>
      <c r="HFU45" s="318" t="s">
        <v>3319</v>
      </c>
      <c r="HFV45" s="319" t="s">
        <v>3320</v>
      </c>
      <c r="HFW45" s="318" t="s">
        <v>3319</v>
      </c>
      <c r="HFX45" s="319" t="s">
        <v>3320</v>
      </c>
      <c r="HFY45" s="318" t="s">
        <v>3319</v>
      </c>
      <c r="HFZ45" s="319" t="s">
        <v>3320</v>
      </c>
      <c r="HGA45" s="318" t="s">
        <v>3319</v>
      </c>
      <c r="HGB45" s="319" t="s">
        <v>3320</v>
      </c>
      <c r="HGC45" s="318" t="s">
        <v>3319</v>
      </c>
      <c r="HGD45" s="319" t="s">
        <v>3320</v>
      </c>
      <c r="HGE45" s="318" t="s">
        <v>3319</v>
      </c>
      <c r="HGF45" s="319" t="s">
        <v>3320</v>
      </c>
      <c r="HGG45" s="318" t="s">
        <v>3319</v>
      </c>
      <c r="HGH45" s="319" t="s">
        <v>3320</v>
      </c>
      <c r="HGI45" s="318" t="s">
        <v>3319</v>
      </c>
      <c r="HGJ45" s="319" t="s">
        <v>3320</v>
      </c>
      <c r="HGK45" s="318" t="s">
        <v>3319</v>
      </c>
      <c r="HGL45" s="319" t="s">
        <v>3320</v>
      </c>
      <c r="HGM45" s="318" t="s">
        <v>3319</v>
      </c>
      <c r="HGN45" s="319" t="s">
        <v>3320</v>
      </c>
      <c r="HGO45" s="318" t="s">
        <v>3319</v>
      </c>
      <c r="HGP45" s="319" t="s">
        <v>3320</v>
      </c>
      <c r="HGQ45" s="318" t="s">
        <v>3319</v>
      </c>
      <c r="HGR45" s="319" t="s">
        <v>3320</v>
      </c>
      <c r="HGS45" s="318" t="s">
        <v>3319</v>
      </c>
      <c r="HGT45" s="319" t="s">
        <v>3320</v>
      </c>
      <c r="HGU45" s="318" t="s">
        <v>3319</v>
      </c>
      <c r="HGV45" s="319" t="s">
        <v>3320</v>
      </c>
      <c r="HGW45" s="318" t="s">
        <v>3319</v>
      </c>
      <c r="HGX45" s="319" t="s">
        <v>3320</v>
      </c>
      <c r="HGY45" s="318" t="s">
        <v>3319</v>
      </c>
      <c r="HGZ45" s="319" t="s">
        <v>3320</v>
      </c>
      <c r="HHA45" s="318" t="s">
        <v>3319</v>
      </c>
      <c r="HHB45" s="319" t="s">
        <v>3320</v>
      </c>
      <c r="HHC45" s="318" t="s">
        <v>3319</v>
      </c>
      <c r="HHD45" s="319" t="s">
        <v>3320</v>
      </c>
      <c r="HHE45" s="318" t="s">
        <v>3319</v>
      </c>
      <c r="HHF45" s="319" t="s">
        <v>3320</v>
      </c>
      <c r="HHG45" s="318" t="s">
        <v>3319</v>
      </c>
      <c r="HHH45" s="319" t="s">
        <v>3320</v>
      </c>
      <c r="HHI45" s="318" t="s">
        <v>3319</v>
      </c>
      <c r="HHJ45" s="319" t="s">
        <v>3320</v>
      </c>
      <c r="HHK45" s="318" t="s">
        <v>3319</v>
      </c>
      <c r="HHL45" s="319" t="s">
        <v>3320</v>
      </c>
      <c r="HHM45" s="318" t="s">
        <v>3319</v>
      </c>
      <c r="HHN45" s="319" t="s">
        <v>3320</v>
      </c>
      <c r="HHO45" s="318" t="s">
        <v>3319</v>
      </c>
      <c r="HHP45" s="319" t="s">
        <v>3320</v>
      </c>
      <c r="HHQ45" s="318" t="s">
        <v>3319</v>
      </c>
      <c r="HHR45" s="319" t="s">
        <v>3320</v>
      </c>
      <c r="HHS45" s="318" t="s">
        <v>3319</v>
      </c>
      <c r="HHT45" s="319" t="s">
        <v>3320</v>
      </c>
      <c r="HHU45" s="318" t="s">
        <v>3319</v>
      </c>
      <c r="HHV45" s="319" t="s">
        <v>3320</v>
      </c>
      <c r="HHW45" s="318" t="s">
        <v>3319</v>
      </c>
      <c r="HHX45" s="319" t="s">
        <v>3320</v>
      </c>
      <c r="HHY45" s="318" t="s">
        <v>3319</v>
      </c>
      <c r="HHZ45" s="319" t="s">
        <v>3320</v>
      </c>
      <c r="HIA45" s="318" t="s">
        <v>3319</v>
      </c>
      <c r="HIB45" s="319" t="s">
        <v>3320</v>
      </c>
      <c r="HIC45" s="318" t="s">
        <v>3319</v>
      </c>
      <c r="HID45" s="319" t="s">
        <v>3320</v>
      </c>
      <c r="HIE45" s="318" t="s">
        <v>3319</v>
      </c>
      <c r="HIF45" s="319" t="s">
        <v>3320</v>
      </c>
      <c r="HIG45" s="318" t="s">
        <v>3319</v>
      </c>
      <c r="HIH45" s="319" t="s">
        <v>3320</v>
      </c>
      <c r="HII45" s="318" t="s">
        <v>3319</v>
      </c>
      <c r="HIJ45" s="319" t="s">
        <v>3320</v>
      </c>
      <c r="HIK45" s="318" t="s">
        <v>3319</v>
      </c>
      <c r="HIL45" s="319" t="s">
        <v>3320</v>
      </c>
      <c r="HIM45" s="318" t="s">
        <v>3319</v>
      </c>
      <c r="HIN45" s="319" t="s">
        <v>3320</v>
      </c>
      <c r="HIO45" s="318" t="s">
        <v>3319</v>
      </c>
      <c r="HIP45" s="319" t="s">
        <v>3320</v>
      </c>
      <c r="HIQ45" s="318" t="s">
        <v>3319</v>
      </c>
      <c r="HIR45" s="319" t="s">
        <v>3320</v>
      </c>
      <c r="HIS45" s="318" t="s">
        <v>3319</v>
      </c>
      <c r="HIT45" s="319" t="s">
        <v>3320</v>
      </c>
      <c r="HIU45" s="318" t="s">
        <v>3319</v>
      </c>
      <c r="HIV45" s="319" t="s">
        <v>3320</v>
      </c>
      <c r="HIW45" s="318" t="s">
        <v>3319</v>
      </c>
      <c r="HIX45" s="319" t="s">
        <v>3320</v>
      </c>
      <c r="HIY45" s="318" t="s">
        <v>3319</v>
      </c>
      <c r="HIZ45" s="319" t="s">
        <v>3320</v>
      </c>
      <c r="HJA45" s="318" t="s">
        <v>3319</v>
      </c>
      <c r="HJB45" s="319" t="s">
        <v>3320</v>
      </c>
      <c r="HJC45" s="318" t="s">
        <v>3319</v>
      </c>
      <c r="HJD45" s="319" t="s">
        <v>3320</v>
      </c>
      <c r="HJE45" s="318" t="s">
        <v>3319</v>
      </c>
      <c r="HJF45" s="319" t="s">
        <v>3320</v>
      </c>
      <c r="HJG45" s="318" t="s">
        <v>3319</v>
      </c>
      <c r="HJH45" s="319" t="s">
        <v>3320</v>
      </c>
      <c r="HJI45" s="318" t="s">
        <v>3319</v>
      </c>
      <c r="HJJ45" s="319" t="s">
        <v>3320</v>
      </c>
      <c r="HJK45" s="318" t="s">
        <v>3319</v>
      </c>
      <c r="HJL45" s="319" t="s">
        <v>3320</v>
      </c>
      <c r="HJM45" s="318" t="s">
        <v>3319</v>
      </c>
      <c r="HJN45" s="319" t="s">
        <v>3320</v>
      </c>
      <c r="HJO45" s="318" t="s">
        <v>3319</v>
      </c>
      <c r="HJP45" s="319" t="s">
        <v>3320</v>
      </c>
      <c r="HJQ45" s="318" t="s">
        <v>3319</v>
      </c>
      <c r="HJR45" s="319" t="s">
        <v>3320</v>
      </c>
      <c r="HJS45" s="318" t="s">
        <v>3319</v>
      </c>
      <c r="HJT45" s="319" t="s">
        <v>3320</v>
      </c>
      <c r="HJU45" s="318" t="s">
        <v>3319</v>
      </c>
      <c r="HJV45" s="319" t="s">
        <v>3320</v>
      </c>
      <c r="HJW45" s="318" t="s">
        <v>3319</v>
      </c>
      <c r="HJX45" s="319" t="s">
        <v>3320</v>
      </c>
      <c r="HJY45" s="318" t="s">
        <v>3319</v>
      </c>
      <c r="HJZ45" s="319" t="s">
        <v>3320</v>
      </c>
      <c r="HKA45" s="318" t="s">
        <v>3319</v>
      </c>
      <c r="HKB45" s="319" t="s">
        <v>3320</v>
      </c>
      <c r="HKC45" s="318" t="s">
        <v>3319</v>
      </c>
      <c r="HKD45" s="319" t="s">
        <v>3320</v>
      </c>
      <c r="HKE45" s="318" t="s">
        <v>3319</v>
      </c>
      <c r="HKF45" s="319" t="s">
        <v>3320</v>
      </c>
      <c r="HKG45" s="318" t="s">
        <v>3319</v>
      </c>
      <c r="HKH45" s="319" t="s">
        <v>3320</v>
      </c>
      <c r="HKI45" s="318" t="s">
        <v>3319</v>
      </c>
      <c r="HKJ45" s="319" t="s">
        <v>3320</v>
      </c>
      <c r="HKK45" s="318" t="s">
        <v>3319</v>
      </c>
      <c r="HKL45" s="319" t="s">
        <v>3320</v>
      </c>
      <c r="HKM45" s="318" t="s">
        <v>3319</v>
      </c>
      <c r="HKN45" s="319" t="s">
        <v>3320</v>
      </c>
      <c r="HKO45" s="318" t="s">
        <v>3319</v>
      </c>
      <c r="HKP45" s="319" t="s">
        <v>3320</v>
      </c>
      <c r="HKQ45" s="318" t="s">
        <v>3319</v>
      </c>
      <c r="HKR45" s="319" t="s">
        <v>3320</v>
      </c>
      <c r="HKS45" s="318" t="s">
        <v>3319</v>
      </c>
      <c r="HKT45" s="319" t="s">
        <v>3320</v>
      </c>
      <c r="HKU45" s="318" t="s">
        <v>3319</v>
      </c>
      <c r="HKV45" s="319" t="s">
        <v>3320</v>
      </c>
      <c r="HKW45" s="318" t="s">
        <v>3319</v>
      </c>
      <c r="HKX45" s="319" t="s">
        <v>3320</v>
      </c>
      <c r="HKY45" s="318" t="s">
        <v>3319</v>
      </c>
      <c r="HKZ45" s="319" t="s">
        <v>3320</v>
      </c>
      <c r="HLA45" s="318" t="s">
        <v>3319</v>
      </c>
      <c r="HLB45" s="319" t="s">
        <v>3320</v>
      </c>
      <c r="HLC45" s="318" t="s">
        <v>3319</v>
      </c>
      <c r="HLD45" s="319" t="s">
        <v>3320</v>
      </c>
      <c r="HLE45" s="318" t="s">
        <v>3319</v>
      </c>
      <c r="HLF45" s="319" t="s">
        <v>3320</v>
      </c>
      <c r="HLG45" s="318" t="s">
        <v>3319</v>
      </c>
      <c r="HLH45" s="319" t="s">
        <v>3320</v>
      </c>
      <c r="HLI45" s="318" t="s">
        <v>3319</v>
      </c>
      <c r="HLJ45" s="319" t="s">
        <v>3320</v>
      </c>
      <c r="HLK45" s="318" t="s">
        <v>3319</v>
      </c>
      <c r="HLL45" s="319" t="s">
        <v>3320</v>
      </c>
      <c r="HLM45" s="318" t="s">
        <v>3319</v>
      </c>
      <c r="HLN45" s="319" t="s">
        <v>3320</v>
      </c>
      <c r="HLO45" s="318" t="s">
        <v>3319</v>
      </c>
      <c r="HLP45" s="319" t="s">
        <v>3320</v>
      </c>
      <c r="HLQ45" s="318" t="s">
        <v>3319</v>
      </c>
      <c r="HLR45" s="319" t="s">
        <v>3320</v>
      </c>
      <c r="HLS45" s="318" t="s">
        <v>3319</v>
      </c>
      <c r="HLT45" s="319" t="s">
        <v>3320</v>
      </c>
      <c r="HLU45" s="318" t="s">
        <v>3319</v>
      </c>
      <c r="HLV45" s="319" t="s">
        <v>3320</v>
      </c>
      <c r="HLW45" s="318" t="s">
        <v>3319</v>
      </c>
      <c r="HLX45" s="319" t="s">
        <v>3320</v>
      </c>
      <c r="HLY45" s="318" t="s">
        <v>3319</v>
      </c>
      <c r="HLZ45" s="319" t="s">
        <v>3320</v>
      </c>
      <c r="HMA45" s="318" t="s">
        <v>3319</v>
      </c>
      <c r="HMB45" s="319" t="s">
        <v>3320</v>
      </c>
      <c r="HMC45" s="318" t="s">
        <v>3319</v>
      </c>
      <c r="HMD45" s="319" t="s">
        <v>3320</v>
      </c>
      <c r="HME45" s="318" t="s">
        <v>3319</v>
      </c>
      <c r="HMF45" s="319" t="s">
        <v>3320</v>
      </c>
      <c r="HMG45" s="318" t="s">
        <v>3319</v>
      </c>
      <c r="HMH45" s="319" t="s">
        <v>3320</v>
      </c>
      <c r="HMI45" s="318" t="s">
        <v>3319</v>
      </c>
      <c r="HMJ45" s="319" t="s">
        <v>3320</v>
      </c>
      <c r="HMK45" s="318" t="s">
        <v>3319</v>
      </c>
      <c r="HML45" s="319" t="s">
        <v>3320</v>
      </c>
      <c r="HMM45" s="318" t="s">
        <v>3319</v>
      </c>
      <c r="HMN45" s="319" t="s">
        <v>3320</v>
      </c>
      <c r="HMO45" s="318" t="s">
        <v>3319</v>
      </c>
      <c r="HMP45" s="319" t="s">
        <v>3320</v>
      </c>
      <c r="HMQ45" s="318" t="s">
        <v>3319</v>
      </c>
      <c r="HMR45" s="319" t="s">
        <v>3320</v>
      </c>
      <c r="HMS45" s="318" t="s">
        <v>3319</v>
      </c>
      <c r="HMT45" s="319" t="s">
        <v>3320</v>
      </c>
      <c r="HMU45" s="318" t="s">
        <v>3319</v>
      </c>
      <c r="HMV45" s="319" t="s">
        <v>3320</v>
      </c>
      <c r="HMW45" s="318" t="s">
        <v>3319</v>
      </c>
      <c r="HMX45" s="319" t="s">
        <v>3320</v>
      </c>
      <c r="HMY45" s="318" t="s">
        <v>3319</v>
      </c>
      <c r="HMZ45" s="319" t="s">
        <v>3320</v>
      </c>
      <c r="HNA45" s="318" t="s">
        <v>3319</v>
      </c>
      <c r="HNB45" s="319" t="s">
        <v>3320</v>
      </c>
      <c r="HNC45" s="318" t="s">
        <v>3319</v>
      </c>
      <c r="HND45" s="319" t="s">
        <v>3320</v>
      </c>
      <c r="HNE45" s="318" t="s">
        <v>3319</v>
      </c>
      <c r="HNF45" s="319" t="s">
        <v>3320</v>
      </c>
      <c r="HNG45" s="318" t="s">
        <v>3319</v>
      </c>
      <c r="HNH45" s="319" t="s">
        <v>3320</v>
      </c>
      <c r="HNI45" s="318" t="s">
        <v>3319</v>
      </c>
      <c r="HNJ45" s="319" t="s">
        <v>3320</v>
      </c>
      <c r="HNK45" s="318" t="s">
        <v>3319</v>
      </c>
      <c r="HNL45" s="319" t="s">
        <v>3320</v>
      </c>
      <c r="HNM45" s="318" t="s">
        <v>3319</v>
      </c>
      <c r="HNN45" s="319" t="s">
        <v>3320</v>
      </c>
      <c r="HNO45" s="318" t="s">
        <v>3319</v>
      </c>
      <c r="HNP45" s="319" t="s">
        <v>3320</v>
      </c>
      <c r="HNQ45" s="318" t="s">
        <v>3319</v>
      </c>
      <c r="HNR45" s="319" t="s">
        <v>3320</v>
      </c>
      <c r="HNS45" s="318" t="s">
        <v>3319</v>
      </c>
      <c r="HNT45" s="319" t="s">
        <v>3320</v>
      </c>
      <c r="HNU45" s="318" t="s">
        <v>3319</v>
      </c>
      <c r="HNV45" s="319" t="s">
        <v>3320</v>
      </c>
      <c r="HNW45" s="318" t="s">
        <v>3319</v>
      </c>
      <c r="HNX45" s="319" t="s">
        <v>3320</v>
      </c>
      <c r="HNY45" s="318" t="s">
        <v>3319</v>
      </c>
      <c r="HNZ45" s="319" t="s">
        <v>3320</v>
      </c>
      <c r="HOA45" s="318" t="s">
        <v>3319</v>
      </c>
      <c r="HOB45" s="319" t="s">
        <v>3320</v>
      </c>
      <c r="HOC45" s="318" t="s">
        <v>3319</v>
      </c>
      <c r="HOD45" s="319" t="s">
        <v>3320</v>
      </c>
      <c r="HOE45" s="318" t="s">
        <v>3319</v>
      </c>
      <c r="HOF45" s="319" t="s">
        <v>3320</v>
      </c>
      <c r="HOG45" s="318" t="s">
        <v>3319</v>
      </c>
      <c r="HOH45" s="319" t="s">
        <v>3320</v>
      </c>
      <c r="HOI45" s="318" t="s">
        <v>3319</v>
      </c>
      <c r="HOJ45" s="319" t="s">
        <v>3320</v>
      </c>
      <c r="HOK45" s="318" t="s">
        <v>3319</v>
      </c>
      <c r="HOL45" s="319" t="s">
        <v>3320</v>
      </c>
      <c r="HOM45" s="318" t="s">
        <v>3319</v>
      </c>
      <c r="HON45" s="319" t="s">
        <v>3320</v>
      </c>
      <c r="HOO45" s="318" t="s">
        <v>3319</v>
      </c>
      <c r="HOP45" s="319" t="s">
        <v>3320</v>
      </c>
      <c r="HOQ45" s="318" t="s">
        <v>3319</v>
      </c>
      <c r="HOR45" s="319" t="s">
        <v>3320</v>
      </c>
      <c r="HOS45" s="318" t="s">
        <v>3319</v>
      </c>
      <c r="HOT45" s="319" t="s">
        <v>3320</v>
      </c>
      <c r="HOU45" s="318" t="s">
        <v>3319</v>
      </c>
      <c r="HOV45" s="319" t="s">
        <v>3320</v>
      </c>
      <c r="HOW45" s="318" t="s">
        <v>3319</v>
      </c>
      <c r="HOX45" s="319" t="s">
        <v>3320</v>
      </c>
      <c r="HOY45" s="318" t="s">
        <v>3319</v>
      </c>
      <c r="HOZ45" s="319" t="s">
        <v>3320</v>
      </c>
      <c r="HPA45" s="318" t="s">
        <v>3319</v>
      </c>
      <c r="HPB45" s="319" t="s">
        <v>3320</v>
      </c>
      <c r="HPC45" s="318" t="s">
        <v>3319</v>
      </c>
      <c r="HPD45" s="319" t="s">
        <v>3320</v>
      </c>
      <c r="HPE45" s="318" t="s">
        <v>3319</v>
      </c>
      <c r="HPF45" s="319" t="s">
        <v>3320</v>
      </c>
      <c r="HPG45" s="318" t="s">
        <v>3319</v>
      </c>
      <c r="HPH45" s="319" t="s">
        <v>3320</v>
      </c>
      <c r="HPI45" s="318" t="s">
        <v>3319</v>
      </c>
      <c r="HPJ45" s="319" t="s">
        <v>3320</v>
      </c>
      <c r="HPK45" s="318" t="s">
        <v>3319</v>
      </c>
      <c r="HPL45" s="319" t="s">
        <v>3320</v>
      </c>
      <c r="HPM45" s="318" t="s">
        <v>3319</v>
      </c>
      <c r="HPN45" s="319" t="s">
        <v>3320</v>
      </c>
      <c r="HPO45" s="318" t="s">
        <v>3319</v>
      </c>
      <c r="HPP45" s="319" t="s">
        <v>3320</v>
      </c>
      <c r="HPQ45" s="318" t="s">
        <v>3319</v>
      </c>
      <c r="HPR45" s="319" t="s">
        <v>3320</v>
      </c>
      <c r="HPS45" s="318" t="s">
        <v>3319</v>
      </c>
      <c r="HPT45" s="319" t="s">
        <v>3320</v>
      </c>
      <c r="HPU45" s="318" t="s">
        <v>3319</v>
      </c>
      <c r="HPV45" s="319" t="s">
        <v>3320</v>
      </c>
      <c r="HPW45" s="318" t="s">
        <v>3319</v>
      </c>
      <c r="HPX45" s="319" t="s">
        <v>3320</v>
      </c>
      <c r="HPY45" s="318" t="s">
        <v>3319</v>
      </c>
      <c r="HPZ45" s="319" t="s">
        <v>3320</v>
      </c>
      <c r="HQA45" s="318" t="s">
        <v>3319</v>
      </c>
      <c r="HQB45" s="319" t="s">
        <v>3320</v>
      </c>
      <c r="HQC45" s="318" t="s">
        <v>3319</v>
      </c>
      <c r="HQD45" s="319" t="s">
        <v>3320</v>
      </c>
      <c r="HQE45" s="318" t="s">
        <v>3319</v>
      </c>
      <c r="HQF45" s="319" t="s">
        <v>3320</v>
      </c>
      <c r="HQG45" s="318" t="s">
        <v>3319</v>
      </c>
      <c r="HQH45" s="319" t="s">
        <v>3320</v>
      </c>
      <c r="HQI45" s="318" t="s">
        <v>3319</v>
      </c>
      <c r="HQJ45" s="319" t="s">
        <v>3320</v>
      </c>
      <c r="HQK45" s="318" t="s">
        <v>3319</v>
      </c>
      <c r="HQL45" s="319" t="s">
        <v>3320</v>
      </c>
      <c r="HQM45" s="318" t="s">
        <v>3319</v>
      </c>
      <c r="HQN45" s="319" t="s">
        <v>3320</v>
      </c>
      <c r="HQO45" s="318" t="s">
        <v>3319</v>
      </c>
      <c r="HQP45" s="319" t="s">
        <v>3320</v>
      </c>
      <c r="HQQ45" s="318" t="s">
        <v>3319</v>
      </c>
      <c r="HQR45" s="319" t="s">
        <v>3320</v>
      </c>
      <c r="HQS45" s="318" t="s">
        <v>3319</v>
      </c>
      <c r="HQT45" s="319" t="s">
        <v>3320</v>
      </c>
      <c r="HQU45" s="318" t="s">
        <v>3319</v>
      </c>
      <c r="HQV45" s="319" t="s">
        <v>3320</v>
      </c>
      <c r="HQW45" s="318" t="s">
        <v>3319</v>
      </c>
      <c r="HQX45" s="319" t="s">
        <v>3320</v>
      </c>
      <c r="HQY45" s="318" t="s">
        <v>3319</v>
      </c>
      <c r="HQZ45" s="319" t="s">
        <v>3320</v>
      </c>
      <c r="HRA45" s="318" t="s">
        <v>3319</v>
      </c>
      <c r="HRB45" s="319" t="s">
        <v>3320</v>
      </c>
      <c r="HRC45" s="318" t="s">
        <v>3319</v>
      </c>
      <c r="HRD45" s="319" t="s">
        <v>3320</v>
      </c>
      <c r="HRE45" s="318" t="s">
        <v>3319</v>
      </c>
      <c r="HRF45" s="319" t="s">
        <v>3320</v>
      </c>
      <c r="HRG45" s="318" t="s">
        <v>3319</v>
      </c>
      <c r="HRH45" s="319" t="s">
        <v>3320</v>
      </c>
      <c r="HRI45" s="318" t="s">
        <v>3319</v>
      </c>
      <c r="HRJ45" s="319" t="s">
        <v>3320</v>
      </c>
      <c r="HRK45" s="318" t="s">
        <v>3319</v>
      </c>
      <c r="HRL45" s="319" t="s">
        <v>3320</v>
      </c>
      <c r="HRM45" s="318" t="s">
        <v>3319</v>
      </c>
      <c r="HRN45" s="319" t="s">
        <v>3320</v>
      </c>
      <c r="HRO45" s="318" t="s">
        <v>3319</v>
      </c>
      <c r="HRP45" s="319" t="s">
        <v>3320</v>
      </c>
      <c r="HRQ45" s="318" t="s">
        <v>3319</v>
      </c>
      <c r="HRR45" s="319" t="s">
        <v>3320</v>
      </c>
      <c r="HRS45" s="318" t="s">
        <v>3319</v>
      </c>
      <c r="HRT45" s="319" t="s">
        <v>3320</v>
      </c>
      <c r="HRU45" s="318" t="s">
        <v>3319</v>
      </c>
      <c r="HRV45" s="319" t="s">
        <v>3320</v>
      </c>
      <c r="HRW45" s="318" t="s">
        <v>3319</v>
      </c>
      <c r="HRX45" s="319" t="s">
        <v>3320</v>
      </c>
      <c r="HRY45" s="318" t="s">
        <v>3319</v>
      </c>
      <c r="HRZ45" s="319" t="s">
        <v>3320</v>
      </c>
      <c r="HSA45" s="318" t="s">
        <v>3319</v>
      </c>
      <c r="HSB45" s="319" t="s">
        <v>3320</v>
      </c>
      <c r="HSC45" s="318" t="s">
        <v>3319</v>
      </c>
      <c r="HSD45" s="319" t="s">
        <v>3320</v>
      </c>
      <c r="HSE45" s="318" t="s">
        <v>3319</v>
      </c>
      <c r="HSF45" s="319" t="s">
        <v>3320</v>
      </c>
      <c r="HSG45" s="318" t="s">
        <v>3319</v>
      </c>
      <c r="HSH45" s="319" t="s">
        <v>3320</v>
      </c>
      <c r="HSI45" s="318" t="s">
        <v>3319</v>
      </c>
      <c r="HSJ45" s="319" t="s">
        <v>3320</v>
      </c>
      <c r="HSK45" s="318" t="s">
        <v>3319</v>
      </c>
      <c r="HSL45" s="319" t="s">
        <v>3320</v>
      </c>
      <c r="HSM45" s="318" t="s">
        <v>3319</v>
      </c>
      <c r="HSN45" s="319" t="s">
        <v>3320</v>
      </c>
      <c r="HSO45" s="318" t="s">
        <v>3319</v>
      </c>
      <c r="HSP45" s="319" t="s">
        <v>3320</v>
      </c>
      <c r="HSQ45" s="318" t="s">
        <v>3319</v>
      </c>
      <c r="HSR45" s="319" t="s">
        <v>3320</v>
      </c>
      <c r="HSS45" s="318" t="s">
        <v>3319</v>
      </c>
      <c r="HST45" s="319" t="s">
        <v>3320</v>
      </c>
      <c r="HSU45" s="318" t="s">
        <v>3319</v>
      </c>
      <c r="HSV45" s="319" t="s">
        <v>3320</v>
      </c>
      <c r="HSW45" s="318" t="s">
        <v>3319</v>
      </c>
      <c r="HSX45" s="319" t="s">
        <v>3320</v>
      </c>
      <c r="HSY45" s="318" t="s">
        <v>3319</v>
      </c>
      <c r="HSZ45" s="319" t="s">
        <v>3320</v>
      </c>
      <c r="HTA45" s="318" t="s">
        <v>3319</v>
      </c>
      <c r="HTB45" s="319" t="s">
        <v>3320</v>
      </c>
      <c r="HTC45" s="318" t="s">
        <v>3319</v>
      </c>
      <c r="HTD45" s="319" t="s">
        <v>3320</v>
      </c>
      <c r="HTE45" s="318" t="s">
        <v>3319</v>
      </c>
      <c r="HTF45" s="319" t="s">
        <v>3320</v>
      </c>
      <c r="HTG45" s="318" t="s">
        <v>3319</v>
      </c>
      <c r="HTH45" s="319" t="s">
        <v>3320</v>
      </c>
      <c r="HTI45" s="318" t="s">
        <v>3319</v>
      </c>
      <c r="HTJ45" s="319" t="s">
        <v>3320</v>
      </c>
      <c r="HTK45" s="318" t="s">
        <v>3319</v>
      </c>
      <c r="HTL45" s="319" t="s">
        <v>3320</v>
      </c>
      <c r="HTM45" s="318" t="s">
        <v>3319</v>
      </c>
      <c r="HTN45" s="319" t="s">
        <v>3320</v>
      </c>
      <c r="HTO45" s="318" t="s">
        <v>3319</v>
      </c>
      <c r="HTP45" s="319" t="s">
        <v>3320</v>
      </c>
      <c r="HTQ45" s="318" t="s">
        <v>3319</v>
      </c>
      <c r="HTR45" s="319" t="s">
        <v>3320</v>
      </c>
      <c r="HTS45" s="318" t="s">
        <v>3319</v>
      </c>
      <c r="HTT45" s="319" t="s">
        <v>3320</v>
      </c>
      <c r="HTU45" s="318" t="s">
        <v>3319</v>
      </c>
      <c r="HTV45" s="319" t="s">
        <v>3320</v>
      </c>
      <c r="HTW45" s="318" t="s">
        <v>3319</v>
      </c>
      <c r="HTX45" s="319" t="s">
        <v>3320</v>
      </c>
      <c r="HTY45" s="318" t="s">
        <v>3319</v>
      </c>
      <c r="HTZ45" s="319" t="s">
        <v>3320</v>
      </c>
      <c r="HUA45" s="318" t="s">
        <v>3319</v>
      </c>
      <c r="HUB45" s="319" t="s">
        <v>3320</v>
      </c>
      <c r="HUC45" s="318" t="s">
        <v>3319</v>
      </c>
      <c r="HUD45" s="319" t="s">
        <v>3320</v>
      </c>
      <c r="HUE45" s="318" t="s">
        <v>3319</v>
      </c>
      <c r="HUF45" s="319" t="s">
        <v>3320</v>
      </c>
      <c r="HUG45" s="318" t="s">
        <v>3319</v>
      </c>
      <c r="HUH45" s="319" t="s">
        <v>3320</v>
      </c>
      <c r="HUI45" s="318" t="s">
        <v>3319</v>
      </c>
      <c r="HUJ45" s="319" t="s">
        <v>3320</v>
      </c>
      <c r="HUK45" s="318" t="s">
        <v>3319</v>
      </c>
      <c r="HUL45" s="319" t="s">
        <v>3320</v>
      </c>
      <c r="HUM45" s="318" t="s">
        <v>3319</v>
      </c>
      <c r="HUN45" s="319" t="s">
        <v>3320</v>
      </c>
      <c r="HUO45" s="318" t="s">
        <v>3319</v>
      </c>
      <c r="HUP45" s="319" t="s">
        <v>3320</v>
      </c>
      <c r="HUQ45" s="318" t="s">
        <v>3319</v>
      </c>
      <c r="HUR45" s="319" t="s">
        <v>3320</v>
      </c>
      <c r="HUS45" s="318" t="s">
        <v>3319</v>
      </c>
      <c r="HUT45" s="319" t="s">
        <v>3320</v>
      </c>
      <c r="HUU45" s="318" t="s">
        <v>3319</v>
      </c>
      <c r="HUV45" s="319" t="s">
        <v>3320</v>
      </c>
      <c r="HUW45" s="318" t="s">
        <v>3319</v>
      </c>
      <c r="HUX45" s="319" t="s">
        <v>3320</v>
      </c>
      <c r="HUY45" s="318" t="s">
        <v>3319</v>
      </c>
      <c r="HUZ45" s="319" t="s">
        <v>3320</v>
      </c>
      <c r="HVA45" s="318" t="s">
        <v>3319</v>
      </c>
      <c r="HVB45" s="319" t="s">
        <v>3320</v>
      </c>
      <c r="HVC45" s="318" t="s">
        <v>3319</v>
      </c>
      <c r="HVD45" s="319" t="s">
        <v>3320</v>
      </c>
      <c r="HVE45" s="318" t="s">
        <v>3319</v>
      </c>
      <c r="HVF45" s="319" t="s">
        <v>3320</v>
      </c>
      <c r="HVG45" s="318" t="s">
        <v>3319</v>
      </c>
      <c r="HVH45" s="319" t="s">
        <v>3320</v>
      </c>
      <c r="HVI45" s="318" t="s">
        <v>3319</v>
      </c>
      <c r="HVJ45" s="319" t="s">
        <v>3320</v>
      </c>
      <c r="HVK45" s="318" t="s">
        <v>3319</v>
      </c>
      <c r="HVL45" s="319" t="s">
        <v>3320</v>
      </c>
      <c r="HVM45" s="318" t="s">
        <v>3319</v>
      </c>
      <c r="HVN45" s="319" t="s">
        <v>3320</v>
      </c>
      <c r="HVO45" s="318" t="s">
        <v>3319</v>
      </c>
      <c r="HVP45" s="319" t="s">
        <v>3320</v>
      </c>
      <c r="HVQ45" s="318" t="s">
        <v>3319</v>
      </c>
      <c r="HVR45" s="319" t="s">
        <v>3320</v>
      </c>
      <c r="HVS45" s="318" t="s">
        <v>3319</v>
      </c>
      <c r="HVT45" s="319" t="s">
        <v>3320</v>
      </c>
      <c r="HVU45" s="318" t="s">
        <v>3319</v>
      </c>
      <c r="HVV45" s="319" t="s">
        <v>3320</v>
      </c>
      <c r="HVW45" s="318" t="s">
        <v>3319</v>
      </c>
      <c r="HVX45" s="319" t="s">
        <v>3320</v>
      </c>
      <c r="HVY45" s="318" t="s">
        <v>3319</v>
      </c>
      <c r="HVZ45" s="319" t="s">
        <v>3320</v>
      </c>
      <c r="HWA45" s="318" t="s">
        <v>3319</v>
      </c>
      <c r="HWB45" s="319" t="s">
        <v>3320</v>
      </c>
      <c r="HWC45" s="318" t="s">
        <v>3319</v>
      </c>
      <c r="HWD45" s="319" t="s">
        <v>3320</v>
      </c>
      <c r="HWE45" s="318" t="s">
        <v>3319</v>
      </c>
      <c r="HWF45" s="319" t="s">
        <v>3320</v>
      </c>
      <c r="HWG45" s="318" t="s">
        <v>3319</v>
      </c>
      <c r="HWH45" s="319" t="s">
        <v>3320</v>
      </c>
      <c r="HWI45" s="318" t="s">
        <v>3319</v>
      </c>
      <c r="HWJ45" s="319" t="s">
        <v>3320</v>
      </c>
      <c r="HWK45" s="318" t="s">
        <v>3319</v>
      </c>
      <c r="HWL45" s="319" t="s">
        <v>3320</v>
      </c>
      <c r="HWM45" s="318" t="s">
        <v>3319</v>
      </c>
      <c r="HWN45" s="319" t="s">
        <v>3320</v>
      </c>
      <c r="HWO45" s="318" t="s">
        <v>3319</v>
      </c>
      <c r="HWP45" s="319" t="s">
        <v>3320</v>
      </c>
      <c r="HWQ45" s="318" t="s">
        <v>3319</v>
      </c>
      <c r="HWR45" s="319" t="s">
        <v>3320</v>
      </c>
      <c r="HWS45" s="318" t="s">
        <v>3319</v>
      </c>
      <c r="HWT45" s="319" t="s">
        <v>3320</v>
      </c>
      <c r="HWU45" s="318" t="s">
        <v>3319</v>
      </c>
      <c r="HWV45" s="319" t="s">
        <v>3320</v>
      </c>
      <c r="HWW45" s="318" t="s">
        <v>3319</v>
      </c>
      <c r="HWX45" s="319" t="s">
        <v>3320</v>
      </c>
      <c r="HWY45" s="318" t="s">
        <v>3319</v>
      </c>
      <c r="HWZ45" s="319" t="s">
        <v>3320</v>
      </c>
      <c r="HXA45" s="318" t="s">
        <v>3319</v>
      </c>
      <c r="HXB45" s="319" t="s">
        <v>3320</v>
      </c>
      <c r="HXC45" s="318" t="s">
        <v>3319</v>
      </c>
      <c r="HXD45" s="319" t="s">
        <v>3320</v>
      </c>
      <c r="HXE45" s="318" t="s">
        <v>3319</v>
      </c>
      <c r="HXF45" s="319" t="s">
        <v>3320</v>
      </c>
      <c r="HXG45" s="318" t="s">
        <v>3319</v>
      </c>
      <c r="HXH45" s="319" t="s">
        <v>3320</v>
      </c>
      <c r="HXI45" s="318" t="s">
        <v>3319</v>
      </c>
      <c r="HXJ45" s="319" t="s">
        <v>3320</v>
      </c>
      <c r="HXK45" s="318" t="s">
        <v>3319</v>
      </c>
      <c r="HXL45" s="319" t="s">
        <v>3320</v>
      </c>
      <c r="HXM45" s="318" t="s">
        <v>3319</v>
      </c>
      <c r="HXN45" s="319" t="s">
        <v>3320</v>
      </c>
      <c r="HXO45" s="318" t="s">
        <v>3319</v>
      </c>
      <c r="HXP45" s="319" t="s">
        <v>3320</v>
      </c>
      <c r="HXQ45" s="318" t="s">
        <v>3319</v>
      </c>
      <c r="HXR45" s="319" t="s">
        <v>3320</v>
      </c>
      <c r="HXS45" s="318" t="s">
        <v>3319</v>
      </c>
      <c r="HXT45" s="319" t="s">
        <v>3320</v>
      </c>
      <c r="HXU45" s="318" t="s">
        <v>3319</v>
      </c>
      <c r="HXV45" s="319" t="s">
        <v>3320</v>
      </c>
      <c r="HXW45" s="318" t="s">
        <v>3319</v>
      </c>
      <c r="HXX45" s="319" t="s">
        <v>3320</v>
      </c>
      <c r="HXY45" s="318" t="s">
        <v>3319</v>
      </c>
      <c r="HXZ45" s="319" t="s">
        <v>3320</v>
      </c>
      <c r="HYA45" s="318" t="s">
        <v>3319</v>
      </c>
      <c r="HYB45" s="319" t="s">
        <v>3320</v>
      </c>
      <c r="HYC45" s="318" t="s">
        <v>3319</v>
      </c>
      <c r="HYD45" s="319" t="s">
        <v>3320</v>
      </c>
      <c r="HYE45" s="318" t="s">
        <v>3319</v>
      </c>
      <c r="HYF45" s="319" t="s">
        <v>3320</v>
      </c>
      <c r="HYG45" s="318" t="s">
        <v>3319</v>
      </c>
      <c r="HYH45" s="319" t="s">
        <v>3320</v>
      </c>
      <c r="HYI45" s="318" t="s">
        <v>3319</v>
      </c>
      <c r="HYJ45" s="319" t="s">
        <v>3320</v>
      </c>
      <c r="HYK45" s="318" t="s">
        <v>3319</v>
      </c>
      <c r="HYL45" s="319" t="s">
        <v>3320</v>
      </c>
      <c r="HYM45" s="318" t="s">
        <v>3319</v>
      </c>
      <c r="HYN45" s="319" t="s">
        <v>3320</v>
      </c>
      <c r="HYO45" s="318" t="s">
        <v>3319</v>
      </c>
      <c r="HYP45" s="319" t="s">
        <v>3320</v>
      </c>
      <c r="HYQ45" s="318" t="s">
        <v>3319</v>
      </c>
      <c r="HYR45" s="319" t="s">
        <v>3320</v>
      </c>
      <c r="HYS45" s="318" t="s">
        <v>3319</v>
      </c>
      <c r="HYT45" s="319" t="s">
        <v>3320</v>
      </c>
      <c r="HYU45" s="318" t="s">
        <v>3319</v>
      </c>
      <c r="HYV45" s="319" t="s">
        <v>3320</v>
      </c>
      <c r="HYW45" s="318" t="s">
        <v>3319</v>
      </c>
      <c r="HYX45" s="319" t="s">
        <v>3320</v>
      </c>
      <c r="HYY45" s="318" t="s">
        <v>3319</v>
      </c>
      <c r="HYZ45" s="319" t="s">
        <v>3320</v>
      </c>
      <c r="HZA45" s="318" t="s">
        <v>3319</v>
      </c>
      <c r="HZB45" s="319" t="s">
        <v>3320</v>
      </c>
      <c r="HZC45" s="318" t="s">
        <v>3319</v>
      </c>
      <c r="HZD45" s="319" t="s">
        <v>3320</v>
      </c>
      <c r="HZE45" s="318" t="s">
        <v>3319</v>
      </c>
      <c r="HZF45" s="319" t="s">
        <v>3320</v>
      </c>
      <c r="HZG45" s="318" t="s">
        <v>3319</v>
      </c>
      <c r="HZH45" s="319" t="s">
        <v>3320</v>
      </c>
      <c r="HZI45" s="318" t="s">
        <v>3319</v>
      </c>
      <c r="HZJ45" s="319" t="s">
        <v>3320</v>
      </c>
      <c r="HZK45" s="318" t="s">
        <v>3319</v>
      </c>
      <c r="HZL45" s="319" t="s">
        <v>3320</v>
      </c>
      <c r="HZM45" s="318" t="s">
        <v>3319</v>
      </c>
      <c r="HZN45" s="319" t="s">
        <v>3320</v>
      </c>
      <c r="HZO45" s="318" t="s">
        <v>3319</v>
      </c>
      <c r="HZP45" s="319" t="s">
        <v>3320</v>
      </c>
      <c r="HZQ45" s="318" t="s">
        <v>3319</v>
      </c>
      <c r="HZR45" s="319" t="s">
        <v>3320</v>
      </c>
      <c r="HZS45" s="318" t="s">
        <v>3319</v>
      </c>
      <c r="HZT45" s="319" t="s">
        <v>3320</v>
      </c>
      <c r="HZU45" s="318" t="s">
        <v>3319</v>
      </c>
      <c r="HZV45" s="319" t="s">
        <v>3320</v>
      </c>
      <c r="HZW45" s="318" t="s">
        <v>3319</v>
      </c>
      <c r="HZX45" s="319" t="s">
        <v>3320</v>
      </c>
      <c r="HZY45" s="318" t="s">
        <v>3319</v>
      </c>
      <c r="HZZ45" s="319" t="s">
        <v>3320</v>
      </c>
      <c r="IAA45" s="318" t="s">
        <v>3319</v>
      </c>
      <c r="IAB45" s="319" t="s">
        <v>3320</v>
      </c>
      <c r="IAC45" s="318" t="s">
        <v>3319</v>
      </c>
      <c r="IAD45" s="319" t="s">
        <v>3320</v>
      </c>
      <c r="IAE45" s="318" t="s">
        <v>3319</v>
      </c>
      <c r="IAF45" s="319" t="s">
        <v>3320</v>
      </c>
      <c r="IAG45" s="318" t="s">
        <v>3319</v>
      </c>
      <c r="IAH45" s="319" t="s">
        <v>3320</v>
      </c>
      <c r="IAI45" s="318" t="s">
        <v>3319</v>
      </c>
      <c r="IAJ45" s="319" t="s">
        <v>3320</v>
      </c>
      <c r="IAK45" s="318" t="s">
        <v>3319</v>
      </c>
      <c r="IAL45" s="319" t="s">
        <v>3320</v>
      </c>
      <c r="IAM45" s="318" t="s">
        <v>3319</v>
      </c>
      <c r="IAN45" s="319" t="s">
        <v>3320</v>
      </c>
      <c r="IAO45" s="318" t="s">
        <v>3319</v>
      </c>
      <c r="IAP45" s="319" t="s">
        <v>3320</v>
      </c>
      <c r="IAQ45" s="318" t="s">
        <v>3319</v>
      </c>
      <c r="IAR45" s="319" t="s">
        <v>3320</v>
      </c>
      <c r="IAS45" s="318" t="s">
        <v>3319</v>
      </c>
      <c r="IAT45" s="319" t="s">
        <v>3320</v>
      </c>
      <c r="IAU45" s="318" t="s">
        <v>3319</v>
      </c>
      <c r="IAV45" s="319" t="s">
        <v>3320</v>
      </c>
      <c r="IAW45" s="318" t="s">
        <v>3319</v>
      </c>
      <c r="IAX45" s="319" t="s">
        <v>3320</v>
      </c>
      <c r="IAY45" s="318" t="s">
        <v>3319</v>
      </c>
      <c r="IAZ45" s="319" t="s">
        <v>3320</v>
      </c>
      <c r="IBA45" s="318" t="s">
        <v>3319</v>
      </c>
      <c r="IBB45" s="319" t="s">
        <v>3320</v>
      </c>
      <c r="IBC45" s="318" t="s">
        <v>3319</v>
      </c>
      <c r="IBD45" s="319" t="s">
        <v>3320</v>
      </c>
      <c r="IBE45" s="318" t="s">
        <v>3319</v>
      </c>
      <c r="IBF45" s="319" t="s">
        <v>3320</v>
      </c>
      <c r="IBG45" s="318" t="s">
        <v>3319</v>
      </c>
      <c r="IBH45" s="319" t="s">
        <v>3320</v>
      </c>
      <c r="IBI45" s="318" t="s">
        <v>3319</v>
      </c>
      <c r="IBJ45" s="319" t="s">
        <v>3320</v>
      </c>
      <c r="IBK45" s="318" t="s">
        <v>3319</v>
      </c>
      <c r="IBL45" s="319" t="s">
        <v>3320</v>
      </c>
      <c r="IBM45" s="318" t="s">
        <v>3319</v>
      </c>
      <c r="IBN45" s="319" t="s">
        <v>3320</v>
      </c>
      <c r="IBO45" s="318" t="s">
        <v>3319</v>
      </c>
      <c r="IBP45" s="319" t="s">
        <v>3320</v>
      </c>
      <c r="IBQ45" s="318" t="s">
        <v>3319</v>
      </c>
      <c r="IBR45" s="319" t="s">
        <v>3320</v>
      </c>
      <c r="IBS45" s="318" t="s">
        <v>3319</v>
      </c>
      <c r="IBT45" s="319" t="s">
        <v>3320</v>
      </c>
      <c r="IBU45" s="318" t="s">
        <v>3319</v>
      </c>
      <c r="IBV45" s="319" t="s">
        <v>3320</v>
      </c>
      <c r="IBW45" s="318" t="s">
        <v>3319</v>
      </c>
      <c r="IBX45" s="319" t="s">
        <v>3320</v>
      </c>
      <c r="IBY45" s="318" t="s">
        <v>3319</v>
      </c>
      <c r="IBZ45" s="319" t="s">
        <v>3320</v>
      </c>
      <c r="ICA45" s="318" t="s">
        <v>3319</v>
      </c>
      <c r="ICB45" s="319" t="s">
        <v>3320</v>
      </c>
      <c r="ICC45" s="318" t="s">
        <v>3319</v>
      </c>
      <c r="ICD45" s="319" t="s">
        <v>3320</v>
      </c>
      <c r="ICE45" s="318" t="s">
        <v>3319</v>
      </c>
      <c r="ICF45" s="319" t="s">
        <v>3320</v>
      </c>
      <c r="ICG45" s="318" t="s">
        <v>3319</v>
      </c>
      <c r="ICH45" s="319" t="s">
        <v>3320</v>
      </c>
      <c r="ICI45" s="318" t="s">
        <v>3319</v>
      </c>
      <c r="ICJ45" s="319" t="s">
        <v>3320</v>
      </c>
      <c r="ICK45" s="318" t="s">
        <v>3319</v>
      </c>
      <c r="ICL45" s="319" t="s">
        <v>3320</v>
      </c>
      <c r="ICM45" s="318" t="s">
        <v>3319</v>
      </c>
      <c r="ICN45" s="319" t="s">
        <v>3320</v>
      </c>
      <c r="ICO45" s="318" t="s">
        <v>3319</v>
      </c>
      <c r="ICP45" s="319" t="s">
        <v>3320</v>
      </c>
      <c r="ICQ45" s="318" t="s">
        <v>3319</v>
      </c>
      <c r="ICR45" s="319" t="s">
        <v>3320</v>
      </c>
      <c r="ICS45" s="318" t="s">
        <v>3319</v>
      </c>
      <c r="ICT45" s="319" t="s">
        <v>3320</v>
      </c>
      <c r="ICU45" s="318" t="s">
        <v>3319</v>
      </c>
      <c r="ICV45" s="319" t="s">
        <v>3320</v>
      </c>
      <c r="ICW45" s="318" t="s">
        <v>3319</v>
      </c>
      <c r="ICX45" s="319" t="s">
        <v>3320</v>
      </c>
      <c r="ICY45" s="318" t="s">
        <v>3319</v>
      </c>
      <c r="ICZ45" s="319" t="s">
        <v>3320</v>
      </c>
      <c r="IDA45" s="318" t="s">
        <v>3319</v>
      </c>
      <c r="IDB45" s="319" t="s">
        <v>3320</v>
      </c>
      <c r="IDC45" s="318" t="s">
        <v>3319</v>
      </c>
      <c r="IDD45" s="319" t="s">
        <v>3320</v>
      </c>
      <c r="IDE45" s="318" t="s">
        <v>3319</v>
      </c>
      <c r="IDF45" s="319" t="s">
        <v>3320</v>
      </c>
      <c r="IDG45" s="318" t="s">
        <v>3319</v>
      </c>
      <c r="IDH45" s="319" t="s">
        <v>3320</v>
      </c>
      <c r="IDI45" s="318" t="s">
        <v>3319</v>
      </c>
      <c r="IDJ45" s="319" t="s">
        <v>3320</v>
      </c>
      <c r="IDK45" s="318" t="s">
        <v>3319</v>
      </c>
      <c r="IDL45" s="319" t="s">
        <v>3320</v>
      </c>
      <c r="IDM45" s="318" t="s">
        <v>3319</v>
      </c>
      <c r="IDN45" s="319" t="s">
        <v>3320</v>
      </c>
      <c r="IDO45" s="318" t="s">
        <v>3319</v>
      </c>
      <c r="IDP45" s="319" t="s">
        <v>3320</v>
      </c>
      <c r="IDQ45" s="318" t="s">
        <v>3319</v>
      </c>
      <c r="IDR45" s="319" t="s">
        <v>3320</v>
      </c>
      <c r="IDS45" s="318" t="s">
        <v>3319</v>
      </c>
      <c r="IDT45" s="319" t="s">
        <v>3320</v>
      </c>
      <c r="IDU45" s="318" t="s">
        <v>3319</v>
      </c>
      <c r="IDV45" s="319" t="s">
        <v>3320</v>
      </c>
      <c r="IDW45" s="318" t="s">
        <v>3319</v>
      </c>
      <c r="IDX45" s="319" t="s">
        <v>3320</v>
      </c>
      <c r="IDY45" s="318" t="s">
        <v>3319</v>
      </c>
      <c r="IDZ45" s="319" t="s">
        <v>3320</v>
      </c>
      <c r="IEA45" s="318" t="s">
        <v>3319</v>
      </c>
      <c r="IEB45" s="319" t="s">
        <v>3320</v>
      </c>
      <c r="IEC45" s="318" t="s">
        <v>3319</v>
      </c>
      <c r="IED45" s="319" t="s">
        <v>3320</v>
      </c>
      <c r="IEE45" s="318" t="s">
        <v>3319</v>
      </c>
      <c r="IEF45" s="319" t="s">
        <v>3320</v>
      </c>
      <c r="IEG45" s="318" t="s">
        <v>3319</v>
      </c>
      <c r="IEH45" s="319" t="s">
        <v>3320</v>
      </c>
      <c r="IEI45" s="318" t="s">
        <v>3319</v>
      </c>
      <c r="IEJ45" s="319" t="s">
        <v>3320</v>
      </c>
      <c r="IEK45" s="318" t="s">
        <v>3319</v>
      </c>
      <c r="IEL45" s="319" t="s">
        <v>3320</v>
      </c>
      <c r="IEM45" s="318" t="s">
        <v>3319</v>
      </c>
      <c r="IEN45" s="319" t="s">
        <v>3320</v>
      </c>
      <c r="IEO45" s="318" t="s">
        <v>3319</v>
      </c>
      <c r="IEP45" s="319" t="s">
        <v>3320</v>
      </c>
      <c r="IEQ45" s="318" t="s">
        <v>3319</v>
      </c>
      <c r="IER45" s="319" t="s">
        <v>3320</v>
      </c>
      <c r="IES45" s="318" t="s">
        <v>3319</v>
      </c>
      <c r="IET45" s="319" t="s">
        <v>3320</v>
      </c>
      <c r="IEU45" s="318" t="s">
        <v>3319</v>
      </c>
      <c r="IEV45" s="319" t="s">
        <v>3320</v>
      </c>
      <c r="IEW45" s="318" t="s">
        <v>3319</v>
      </c>
      <c r="IEX45" s="319" t="s">
        <v>3320</v>
      </c>
      <c r="IEY45" s="318" t="s">
        <v>3319</v>
      </c>
      <c r="IEZ45" s="319" t="s">
        <v>3320</v>
      </c>
      <c r="IFA45" s="318" t="s">
        <v>3319</v>
      </c>
      <c r="IFB45" s="319" t="s">
        <v>3320</v>
      </c>
      <c r="IFC45" s="318" t="s">
        <v>3319</v>
      </c>
      <c r="IFD45" s="319" t="s">
        <v>3320</v>
      </c>
      <c r="IFE45" s="318" t="s">
        <v>3319</v>
      </c>
      <c r="IFF45" s="319" t="s">
        <v>3320</v>
      </c>
      <c r="IFG45" s="318" t="s">
        <v>3319</v>
      </c>
      <c r="IFH45" s="319" t="s">
        <v>3320</v>
      </c>
      <c r="IFI45" s="318" t="s">
        <v>3319</v>
      </c>
      <c r="IFJ45" s="319" t="s">
        <v>3320</v>
      </c>
      <c r="IFK45" s="318" t="s">
        <v>3319</v>
      </c>
      <c r="IFL45" s="319" t="s">
        <v>3320</v>
      </c>
      <c r="IFM45" s="318" t="s">
        <v>3319</v>
      </c>
      <c r="IFN45" s="319" t="s">
        <v>3320</v>
      </c>
      <c r="IFO45" s="318" t="s">
        <v>3319</v>
      </c>
      <c r="IFP45" s="319" t="s">
        <v>3320</v>
      </c>
      <c r="IFQ45" s="318" t="s">
        <v>3319</v>
      </c>
      <c r="IFR45" s="319" t="s">
        <v>3320</v>
      </c>
      <c r="IFS45" s="318" t="s">
        <v>3319</v>
      </c>
      <c r="IFT45" s="319" t="s">
        <v>3320</v>
      </c>
      <c r="IFU45" s="318" t="s">
        <v>3319</v>
      </c>
      <c r="IFV45" s="319" t="s">
        <v>3320</v>
      </c>
      <c r="IFW45" s="318" t="s">
        <v>3319</v>
      </c>
      <c r="IFX45" s="319" t="s">
        <v>3320</v>
      </c>
      <c r="IFY45" s="318" t="s">
        <v>3319</v>
      </c>
      <c r="IFZ45" s="319" t="s">
        <v>3320</v>
      </c>
      <c r="IGA45" s="318" t="s">
        <v>3319</v>
      </c>
      <c r="IGB45" s="319" t="s">
        <v>3320</v>
      </c>
      <c r="IGC45" s="318" t="s">
        <v>3319</v>
      </c>
      <c r="IGD45" s="319" t="s">
        <v>3320</v>
      </c>
      <c r="IGE45" s="318" t="s">
        <v>3319</v>
      </c>
      <c r="IGF45" s="319" t="s">
        <v>3320</v>
      </c>
      <c r="IGG45" s="318" t="s">
        <v>3319</v>
      </c>
      <c r="IGH45" s="319" t="s">
        <v>3320</v>
      </c>
      <c r="IGI45" s="318" t="s">
        <v>3319</v>
      </c>
      <c r="IGJ45" s="319" t="s">
        <v>3320</v>
      </c>
      <c r="IGK45" s="318" t="s">
        <v>3319</v>
      </c>
      <c r="IGL45" s="319" t="s">
        <v>3320</v>
      </c>
      <c r="IGM45" s="318" t="s">
        <v>3319</v>
      </c>
      <c r="IGN45" s="319" t="s">
        <v>3320</v>
      </c>
      <c r="IGO45" s="318" t="s">
        <v>3319</v>
      </c>
      <c r="IGP45" s="319" t="s">
        <v>3320</v>
      </c>
      <c r="IGQ45" s="318" t="s">
        <v>3319</v>
      </c>
      <c r="IGR45" s="319" t="s">
        <v>3320</v>
      </c>
      <c r="IGS45" s="318" t="s">
        <v>3319</v>
      </c>
      <c r="IGT45" s="319" t="s">
        <v>3320</v>
      </c>
      <c r="IGU45" s="318" t="s">
        <v>3319</v>
      </c>
      <c r="IGV45" s="319" t="s">
        <v>3320</v>
      </c>
      <c r="IGW45" s="318" t="s">
        <v>3319</v>
      </c>
      <c r="IGX45" s="319" t="s">
        <v>3320</v>
      </c>
      <c r="IGY45" s="318" t="s">
        <v>3319</v>
      </c>
      <c r="IGZ45" s="319" t="s">
        <v>3320</v>
      </c>
      <c r="IHA45" s="318" t="s">
        <v>3319</v>
      </c>
      <c r="IHB45" s="319" t="s">
        <v>3320</v>
      </c>
      <c r="IHC45" s="318" t="s">
        <v>3319</v>
      </c>
      <c r="IHD45" s="319" t="s">
        <v>3320</v>
      </c>
      <c r="IHE45" s="318" t="s">
        <v>3319</v>
      </c>
      <c r="IHF45" s="319" t="s">
        <v>3320</v>
      </c>
      <c r="IHG45" s="318" t="s">
        <v>3319</v>
      </c>
      <c r="IHH45" s="319" t="s">
        <v>3320</v>
      </c>
      <c r="IHI45" s="318" t="s">
        <v>3319</v>
      </c>
      <c r="IHJ45" s="319" t="s">
        <v>3320</v>
      </c>
      <c r="IHK45" s="318" t="s">
        <v>3319</v>
      </c>
      <c r="IHL45" s="319" t="s">
        <v>3320</v>
      </c>
      <c r="IHM45" s="318" t="s">
        <v>3319</v>
      </c>
      <c r="IHN45" s="319" t="s">
        <v>3320</v>
      </c>
      <c r="IHO45" s="318" t="s">
        <v>3319</v>
      </c>
      <c r="IHP45" s="319" t="s">
        <v>3320</v>
      </c>
      <c r="IHQ45" s="318" t="s">
        <v>3319</v>
      </c>
      <c r="IHR45" s="319" t="s">
        <v>3320</v>
      </c>
      <c r="IHS45" s="318" t="s">
        <v>3319</v>
      </c>
      <c r="IHT45" s="319" t="s">
        <v>3320</v>
      </c>
      <c r="IHU45" s="318" t="s">
        <v>3319</v>
      </c>
      <c r="IHV45" s="319" t="s">
        <v>3320</v>
      </c>
      <c r="IHW45" s="318" t="s">
        <v>3319</v>
      </c>
      <c r="IHX45" s="319" t="s">
        <v>3320</v>
      </c>
      <c r="IHY45" s="318" t="s">
        <v>3319</v>
      </c>
      <c r="IHZ45" s="319" t="s">
        <v>3320</v>
      </c>
      <c r="IIA45" s="318" t="s">
        <v>3319</v>
      </c>
      <c r="IIB45" s="319" t="s">
        <v>3320</v>
      </c>
      <c r="IIC45" s="318" t="s">
        <v>3319</v>
      </c>
      <c r="IID45" s="319" t="s">
        <v>3320</v>
      </c>
      <c r="IIE45" s="318" t="s">
        <v>3319</v>
      </c>
      <c r="IIF45" s="319" t="s">
        <v>3320</v>
      </c>
      <c r="IIG45" s="318" t="s">
        <v>3319</v>
      </c>
      <c r="IIH45" s="319" t="s">
        <v>3320</v>
      </c>
      <c r="III45" s="318" t="s">
        <v>3319</v>
      </c>
      <c r="IIJ45" s="319" t="s">
        <v>3320</v>
      </c>
      <c r="IIK45" s="318" t="s">
        <v>3319</v>
      </c>
      <c r="IIL45" s="319" t="s">
        <v>3320</v>
      </c>
      <c r="IIM45" s="318" t="s">
        <v>3319</v>
      </c>
      <c r="IIN45" s="319" t="s">
        <v>3320</v>
      </c>
      <c r="IIO45" s="318" t="s">
        <v>3319</v>
      </c>
      <c r="IIP45" s="319" t="s">
        <v>3320</v>
      </c>
      <c r="IIQ45" s="318" t="s">
        <v>3319</v>
      </c>
      <c r="IIR45" s="319" t="s">
        <v>3320</v>
      </c>
      <c r="IIS45" s="318" t="s">
        <v>3319</v>
      </c>
      <c r="IIT45" s="319" t="s">
        <v>3320</v>
      </c>
      <c r="IIU45" s="318" t="s">
        <v>3319</v>
      </c>
      <c r="IIV45" s="319" t="s">
        <v>3320</v>
      </c>
      <c r="IIW45" s="318" t="s">
        <v>3319</v>
      </c>
      <c r="IIX45" s="319" t="s">
        <v>3320</v>
      </c>
      <c r="IIY45" s="318" t="s">
        <v>3319</v>
      </c>
      <c r="IIZ45" s="319" t="s">
        <v>3320</v>
      </c>
      <c r="IJA45" s="318" t="s">
        <v>3319</v>
      </c>
      <c r="IJB45" s="319" t="s">
        <v>3320</v>
      </c>
      <c r="IJC45" s="318" t="s">
        <v>3319</v>
      </c>
      <c r="IJD45" s="319" t="s">
        <v>3320</v>
      </c>
      <c r="IJE45" s="318" t="s">
        <v>3319</v>
      </c>
      <c r="IJF45" s="319" t="s">
        <v>3320</v>
      </c>
      <c r="IJG45" s="318" t="s">
        <v>3319</v>
      </c>
      <c r="IJH45" s="319" t="s">
        <v>3320</v>
      </c>
      <c r="IJI45" s="318" t="s">
        <v>3319</v>
      </c>
      <c r="IJJ45" s="319" t="s">
        <v>3320</v>
      </c>
      <c r="IJK45" s="318" t="s">
        <v>3319</v>
      </c>
      <c r="IJL45" s="319" t="s">
        <v>3320</v>
      </c>
      <c r="IJM45" s="318" t="s">
        <v>3319</v>
      </c>
      <c r="IJN45" s="319" t="s">
        <v>3320</v>
      </c>
      <c r="IJO45" s="318" t="s">
        <v>3319</v>
      </c>
      <c r="IJP45" s="319" t="s">
        <v>3320</v>
      </c>
      <c r="IJQ45" s="318" t="s">
        <v>3319</v>
      </c>
      <c r="IJR45" s="319" t="s">
        <v>3320</v>
      </c>
      <c r="IJS45" s="318" t="s">
        <v>3319</v>
      </c>
      <c r="IJT45" s="319" t="s">
        <v>3320</v>
      </c>
      <c r="IJU45" s="318" t="s">
        <v>3319</v>
      </c>
      <c r="IJV45" s="319" t="s">
        <v>3320</v>
      </c>
      <c r="IJW45" s="318" t="s">
        <v>3319</v>
      </c>
      <c r="IJX45" s="319" t="s">
        <v>3320</v>
      </c>
      <c r="IJY45" s="318" t="s">
        <v>3319</v>
      </c>
      <c r="IJZ45" s="319" t="s">
        <v>3320</v>
      </c>
      <c r="IKA45" s="318" t="s">
        <v>3319</v>
      </c>
      <c r="IKB45" s="319" t="s">
        <v>3320</v>
      </c>
      <c r="IKC45" s="318" t="s">
        <v>3319</v>
      </c>
      <c r="IKD45" s="319" t="s">
        <v>3320</v>
      </c>
      <c r="IKE45" s="318" t="s">
        <v>3319</v>
      </c>
      <c r="IKF45" s="319" t="s">
        <v>3320</v>
      </c>
      <c r="IKG45" s="318" t="s">
        <v>3319</v>
      </c>
      <c r="IKH45" s="319" t="s">
        <v>3320</v>
      </c>
      <c r="IKI45" s="318" t="s">
        <v>3319</v>
      </c>
      <c r="IKJ45" s="319" t="s">
        <v>3320</v>
      </c>
      <c r="IKK45" s="318" t="s">
        <v>3319</v>
      </c>
      <c r="IKL45" s="319" t="s">
        <v>3320</v>
      </c>
      <c r="IKM45" s="318" t="s">
        <v>3319</v>
      </c>
      <c r="IKN45" s="319" t="s">
        <v>3320</v>
      </c>
      <c r="IKO45" s="318" t="s">
        <v>3319</v>
      </c>
      <c r="IKP45" s="319" t="s">
        <v>3320</v>
      </c>
      <c r="IKQ45" s="318" t="s">
        <v>3319</v>
      </c>
      <c r="IKR45" s="319" t="s">
        <v>3320</v>
      </c>
      <c r="IKS45" s="318" t="s">
        <v>3319</v>
      </c>
      <c r="IKT45" s="319" t="s">
        <v>3320</v>
      </c>
      <c r="IKU45" s="318" t="s">
        <v>3319</v>
      </c>
      <c r="IKV45" s="319" t="s">
        <v>3320</v>
      </c>
      <c r="IKW45" s="318" t="s">
        <v>3319</v>
      </c>
      <c r="IKX45" s="319" t="s">
        <v>3320</v>
      </c>
      <c r="IKY45" s="318" t="s">
        <v>3319</v>
      </c>
      <c r="IKZ45" s="319" t="s">
        <v>3320</v>
      </c>
      <c r="ILA45" s="318" t="s">
        <v>3319</v>
      </c>
      <c r="ILB45" s="319" t="s">
        <v>3320</v>
      </c>
      <c r="ILC45" s="318" t="s">
        <v>3319</v>
      </c>
      <c r="ILD45" s="319" t="s">
        <v>3320</v>
      </c>
      <c r="ILE45" s="318" t="s">
        <v>3319</v>
      </c>
      <c r="ILF45" s="319" t="s">
        <v>3320</v>
      </c>
      <c r="ILG45" s="318" t="s">
        <v>3319</v>
      </c>
      <c r="ILH45" s="319" t="s">
        <v>3320</v>
      </c>
      <c r="ILI45" s="318" t="s">
        <v>3319</v>
      </c>
      <c r="ILJ45" s="319" t="s">
        <v>3320</v>
      </c>
      <c r="ILK45" s="318" t="s">
        <v>3319</v>
      </c>
      <c r="ILL45" s="319" t="s">
        <v>3320</v>
      </c>
      <c r="ILM45" s="318" t="s">
        <v>3319</v>
      </c>
      <c r="ILN45" s="319" t="s">
        <v>3320</v>
      </c>
      <c r="ILO45" s="318" t="s">
        <v>3319</v>
      </c>
      <c r="ILP45" s="319" t="s">
        <v>3320</v>
      </c>
      <c r="ILQ45" s="318" t="s">
        <v>3319</v>
      </c>
      <c r="ILR45" s="319" t="s">
        <v>3320</v>
      </c>
      <c r="ILS45" s="318" t="s">
        <v>3319</v>
      </c>
      <c r="ILT45" s="319" t="s">
        <v>3320</v>
      </c>
      <c r="ILU45" s="318" t="s">
        <v>3319</v>
      </c>
      <c r="ILV45" s="319" t="s">
        <v>3320</v>
      </c>
      <c r="ILW45" s="318" t="s">
        <v>3319</v>
      </c>
      <c r="ILX45" s="319" t="s">
        <v>3320</v>
      </c>
      <c r="ILY45" s="318" t="s">
        <v>3319</v>
      </c>
      <c r="ILZ45" s="319" t="s">
        <v>3320</v>
      </c>
      <c r="IMA45" s="318" t="s">
        <v>3319</v>
      </c>
      <c r="IMB45" s="319" t="s">
        <v>3320</v>
      </c>
      <c r="IMC45" s="318" t="s">
        <v>3319</v>
      </c>
      <c r="IMD45" s="319" t="s">
        <v>3320</v>
      </c>
      <c r="IME45" s="318" t="s">
        <v>3319</v>
      </c>
      <c r="IMF45" s="319" t="s">
        <v>3320</v>
      </c>
      <c r="IMG45" s="318" t="s">
        <v>3319</v>
      </c>
      <c r="IMH45" s="319" t="s">
        <v>3320</v>
      </c>
      <c r="IMI45" s="318" t="s">
        <v>3319</v>
      </c>
      <c r="IMJ45" s="319" t="s">
        <v>3320</v>
      </c>
      <c r="IMK45" s="318" t="s">
        <v>3319</v>
      </c>
      <c r="IML45" s="319" t="s">
        <v>3320</v>
      </c>
      <c r="IMM45" s="318" t="s">
        <v>3319</v>
      </c>
      <c r="IMN45" s="319" t="s">
        <v>3320</v>
      </c>
      <c r="IMO45" s="318" t="s">
        <v>3319</v>
      </c>
      <c r="IMP45" s="319" t="s">
        <v>3320</v>
      </c>
      <c r="IMQ45" s="318" t="s">
        <v>3319</v>
      </c>
      <c r="IMR45" s="319" t="s">
        <v>3320</v>
      </c>
      <c r="IMS45" s="318" t="s">
        <v>3319</v>
      </c>
      <c r="IMT45" s="319" t="s">
        <v>3320</v>
      </c>
      <c r="IMU45" s="318" t="s">
        <v>3319</v>
      </c>
      <c r="IMV45" s="319" t="s">
        <v>3320</v>
      </c>
      <c r="IMW45" s="318" t="s">
        <v>3319</v>
      </c>
      <c r="IMX45" s="319" t="s">
        <v>3320</v>
      </c>
      <c r="IMY45" s="318" t="s">
        <v>3319</v>
      </c>
      <c r="IMZ45" s="319" t="s">
        <v>3320</v>
      </c>
      <c r="INA45" s="318" t="s">
        <v>3319</v>
      </c>
      <c r="INB45" s="319" t="s">
        <v>3320</v>
      </c>
      <c r="INC45" s="318" t="s">
        <v>3319</v>
      </c>
      <c r="IND45" s="319" t="s">
        <v>3320</v>
      </c>
      <c r="INE45" s="318" t="s">
        <v>3319</v>
      </c>
      <c r="INF45" s="319" t="s">
        <v>3320</v>
      </c>
      <c r="ING45" s="318" t="s">
        <v>3319</v>
      </c>
      <c r="INH45" s="319" t="s">
        <v>3320</v>
      </c>
      <c r="INI45" s="318" t="s">
        <v>3319</v>
      </c>
      <c r="INJ45" s="319" t="s">
        <v>3320</v>
      </c>
      <c r="INK45" s="318" t="s">
        <v>3319</v>
      </c>
      <c r="INL45" s="319" t="s">
        <v>3320</v>
      </c>
      <c r="INM45" s="318" t="s">
        <v>3319</v>
      </c>
      <c r="INN45" s="319" t="s">
        <v>3320</v>
      </c>
      <c r="INO45" s="318" t="s">
        <v>3319</v>
      </c>
      <c r="INP45" s="319" t="s">
        <v>3320</v>
      </c>
      <c r="INQ45" s="318" t="s">
        <v>3319</v>
      </c>
      <c r="INR45" s="319" t="s">
        <v>3320</v>
      </c>
      <c r="INS45" s="318" t="s">
        <v>3319</v>
      </c>
      <c r="INT45" s="319" t="s">
        <v>3320</v>
      </c>
      <c r="INU45" s="318" t="s">
        <v>3319</v>
      </c>
      <c r="INV45" s="319" t="s">
        <v>3320</v>
      </c>
      <c r="INW45" s="318" t="s">
        <v>3319</v>
      </c>
      <c r="INX45" s="319" t="s">
        <v>3320</v>
      </c>
      <c r="INY45" s="318" t="s">
        <v>3319</v>
      </c>
      <c r="INZ45" s="319" t="s">
        <v>3320</v>
      </c>
      <c r="IOA45" s="318" t="s">
        <v>3319</v>
      </c>
      <c r="IOB45" s="319" t="s">
        <v>3320</v>
      </c>
      <c r="IOC45" s="318" t="s">
        <v>3319</v>
      </c>
      <c r="IOD45" s="319" t="s">
        <v>3320</v>
      </c>
      <c r="IOE45" s="318" t="s">
        <v>3319</v>
      </c>
      <c r="IOF45" s="319" t="s">
        <v>3320</v>
      </c>
      <c r="IOG45" s="318" t="s">
        <v>3319</v>
      </c>
      <c r="IOH45" s="319" t="s">
        <v>3320</v>
      </c>
      <c r="IOI45" s="318" t="s">
        <v>3319</v>
      </c>
      <c r="IOJ45" s="319" t="s">
        <v>3320</v>
      </c>
      <c r="IOK45" s="318" t="s">
        <v>3319</v>
      </c>
      <c r="IOL45" s="319" t="s">
        <v>3320</v>
      </c>
      <c r="IOM45" s="318" t="s">
        <v>3319</v>
      </c>
      <c r="ION45" s="319" t="s">
        <v>3320</v>
      </c>
      <c r="IOO45" s="318" t="s">
        <v>3319</v>
      </c>
      <c r="IOP45" s="319" t="s">
        <v>3320</v>
      </c>
      <c r="IOQ45" s="318" t="s">
        <v>3319</v>
      </c>
      <c r="IOR45" s="319" t="s">
        <v>3320</v>
      </c>
      <c r="IOS45" s="318" t="s">
        <v>3319</v>
      </c>
      <c r="IOT45" s="319" t="s">
        <v>3320</v>
      </c>
      <c r="IOU45" s="318" t="s">
        <v>3319</v>
      </c>
      <c r="IOV45" s="319" t="s">
        <v>3320</v>
      </c>
      <c r="IOW45" s="318" t="s">
        <v>3319</v>
      </c>
      <c r="IOX45" s="319" t="s">
        <v>3320</v>
      </c>
      <c r="IOY45" s="318" t="s">
        <v>3319</v>
      </c>
      <c r="IOZ45" s="319" t="s">
        <v>3320</v>
      </c>
      <c r="IPA45" s="318" t="s">
        <v>3319</v>
      </c>
      <c r="IPB45" s="319" t="s">
        <v>3320</v>
      </c>
      <c r="IPC45" s="318" t="s">
        <v>3319</v>
      </c>
      <c r="IPD45" s="319" t="s">
        <v>3320</v>
      </c>
      <c r="IPE45" s="318" t="s">
        <v>3319</v>
      </c>
      <c r="IPF45" s="319" t="s">
        <v>3320</v>
      </c>
      <c r="IPG45" s="318" t="s">
        <v>3319</v>
      </c>
      <c r="IPH45" s="319" t="s">
        <v>3320</v>
      </c>
      <c r="IPI45" s="318" t="s">
        <v>3319</v>
      </c>
      <c r="IPJ45" s="319" t="s">
        <v>3320</v>
      </c>
      <c r="IPK45" s="318" t="s">
        <v>3319</v>
      </c>
      <c r="IPL45" s="319" t="s">
        <v>3320</v>
      </c>
      <c r="IPM45" s="318" t="s">
        <v>3319</v>
      </c>
      <c r="IPN45" s="319" t="s">
        <v>3320</v>
      </c>
      <c r="IPO45" s="318" t="s">
        <v>3319</v>
      </c>
      <c r="IPP45" s="319" t="s">
        <v>3320</v>
      </c>
      <c r="IPQ45" s="318" t="s">
        <v>3319</v>
      </c>
      <c r="IPR45" s="319" t="s">
        <v>3320</v>
      </c>
      <c r="IPS45" s="318" t="s">
        <v>3319</v>
      </c>
      <c r="IPT45" s="319" t="s">
        <v>3320</v>
      </c>
      <c r="IPU45" s="318" t="s">
        <v>3319</v>
      </c>
      <c r="IPV45" s="319" t="s">
        <v>3320</v>
      </c>
      <c r="IPW45" s="318" t="s">
        <v>3319</v>
      </c>
      <c r="IPX45" s="319" t="s">
        <v>3320</v>
      </c>
      <c r="IPY45" s="318" t="s">
        <v>3319</v>
      </c>
      <c r="IPZ45" s="319" t="s">
        <v>3320</v>
      </c>
      <c r="IQA45" s="318" t="s">
        <v>3319</v>
      </c>
      <c r="IQB45" s="319" t="s">
        <v>3320</v>
      </c>
      <c r="IQC45" s="318" t="s">
        <v>3319</v>
      </c>
      <c r="IQD45" s="319" t="s">
        <v>3320</v>
      </c>
      <c r="IQE45" s="318" t="s">
        <v>3319</v>
      </c>
      <c r="IQF45" s="319" t="s">
        <v>3320</v>
      </c>
      <c r="IQG45" s="318" t="s">
        <v>3319</v>
      </c>
      <c r="IQH45" s="319" t="s">
        <v>3320</v>
      </c>
      <c r="IQI45" s="318" t="s">
        <v>3319</v>
      </c>
      <c r="IQJ45" s="319" t="s">
        <v>3320</v>
      </c>
      <c r="IQK45" s="318" t="s">
        <v>3319</v>
      </c>
      <c r="IQL45" s="319" t="s">
        <v>3320</v>
      </c>
      <c r="IQM45" s="318" t="s">
        <v>3319</v>
      </c>
      <c r="IQN45" s="319" t="s">
        <v>3320</v>
      </c>
      <c r="IQO45" s="318" t="s">
        <v>3319</v>
      </c>
      <c r="IQP45" s="319" t="s">
        <v>3320</v>
      </c>
      <c r="IQQ45" s="318" t="s">
        <v>3319</v>
      </c>
      <c r="IQR45" s="319" t="s">
        <v>3320</v>
      </c>
      <c r="IQS45" s="318" t="s">
        <v>3319</v>
      </c>
      <c r="IQT45" s="319" t="s">
        <v>3320</v>
      </c>
      <c r="IQU45" s="318" t="s">
        <v>3319</v>
      </c>
      <c r="IQV45" s="319" t="s">
        <v>3320</v>
      </c>
      <c r="IQW45" s="318" t="s">
        <v>3319</v>
      </c>
      <c r="IQX45" s="319" t="s">
        <v>3320</v>
      </c>
      <c r="IQY45" s="318" t="s">
        <v>3319</v>
      </c>
      <c r="IQZ45" s="319" t="s">
        <v>3320</v>
      </c>
      <c r="IRA45" s="318" t="s">
        <v>3319</v>
      </c>
      <c r="IRB45" s="319" t="s">
        <v>3320</v>
      </c>
      <c r="IRC45" s="318" t="s">
        <v>3319</v>
      </c>
      <c r="IRD45" s="319" t="s">
        <v>3320</v>
      </c>
      <c r="IRE45" s="318" t="s">
        <v>3319</v>
      </c>
      <c r="IRF45" s="319" t="s">
        <v>3320</v>
      </c>
      <c r="IRG45" s="318" t="s">
        <v>3319</v>
      </c>
      <c r="IRH45" s="319" t="s">
        <v>3320</v>
      </c>
      <c r="IRI45" s="318" t="s">
        <v>3319</v>
      </c>
      <c r="IRJ45" s="319" t="s">
        <v>3320</v>
      </c>
      <c r="IRK45" s="318" t="s">
        <v>3319</v>
      </c>
      <c r="IRL45" s="319" t="s">
        <v>3320</v>
      </c>
      <c r="IRM45" s="318" t="s">
        <v>3319</v>
      </c>
      <c r="IRN45" s="319" t="s">
        <v>3320</v>
      </c>
      <c r="IRO45" s="318" t="s">
        <v>3319</v>
      </c>
      <c r="IRP45" s="319" t="s">
        <v>3320</v>
      </c>
      <c r="IRQ45" s="318" t="s">
        <v>3319</v>
      </c>
      <c r="IRR45" s="319" t="s">
        <v>3320</v>
      </c>
      <c r="IRS45" s="318" t="s">
        <v>3319</v>
      </c>
      <c r="IRT45" s="319" t="s">
        <v>3320</v>
      </c>
      <c r="IRU45" s="318" t="s">
        <v>3319</v>
      </c>
      <c r="IRV45" s="319" t="s">
        <v>3320</v>
      </c>
      <c r="IRW45" s="318" t="s">
        <v>3319</v>
      </c>
      <c r="IRX45" s="319" t="s">
        <v>3320</v>
      </c>
      <c r="IRY45" s="318" t="s">
        <v>3319</v>
      </c>
      <c r="IRZ45" s="319" t="s">
        <v>3320</v>
      </c>
      <c r="ISA45" s="318" t="s">
        <v>3319</v>
      </c>
      <c r="ISB45" s="319" t="s">
        <v>3320</v>
      </c>
      <c r="ISC45" s="318" t="s">
        <v>3319</v>
      </c>
      <c r="ISD45" s="319" t="s">
        <v>3320</v>
      </c>
      <c r="ISE45" s="318" t="s">
        <v>3319</v>
      </c>
      <c r="ISF45" s="319" t="s">
        <v>3320</v>
      </c>
      <c r="ISG45" s="318" t="s">
        <v>3319</v>
      </c>
      <c r="ISH45" s="319" t="s">
        <v>3320</v>
      </c>
      <c r="ISI45" s="318" t="s">
        <v>3319</v>
      </c>
      <c r="ISJ45" s="319" t="s">
        <v>3320</v>
      </c>
      <c r="ISK45" s="318" t="s">
        <v>3319</v>
      </c>
      <c r="ISL45" s="319" t="s">
        <v>3320</v>
      </c>
      <c r="ISM45" s="318" t="s">
        <v>3319</v>
      </c>
      <c r="ISN45" s="319" t="s">
        <v>3320</v>
      </c>
      <c r="ISO45" s="318" t="s">
        <v>3319</v>
      </c>
      <c r="ISP45" s="319" t="s">
        <v>3320</v>
      </c>
      <c r="ISQ45" s="318" t="s">
        <v>3319</v>
      </c>
      <c r="ISR45" s="319" t="s">
        <v>3320</v>
      </c>
      <c r="ISS45" s="318" t="s">
        <v>3319</v>
      </c>
      <c r="IST45" s="319" t="s">
        <v>3320</v>
      </c>
      <c r="ISU45" s="318" t="s">
        <v>3319</v>
      </c>
      <c r="ISV45" s="319" t="s">
        <v>3320</v>
      </c>
      <c r="ISW45" s="318" t="s">
        <v>3319</v>
      </c>
      <c r="ISX45" s="319" t="s">
        <v>3320</v>
      </c>
      <c r="ISY45" s="318" t="s">
        <v>3319</v>
      </c>
      <c r="ISZ45" s="319" t="s">
        <v>3320</v>
      </c>
      <c r="ITA45" s="318" t="s">
        <v>3319</v>
      </c>
      <c r="ITB45" s="319" t="s">
        <v>3320</v>
      </c>
      <c r="ITC45" s="318" t="s">
        <v>3319</v>
      </c>
      <c r="ITD45" s="319" t="s">
        <v>3320</v>
      </c>
      <c r="ITE45" s="318" t="s">
        <v>3319</v>
      </c>
      <c r="ITF45" s="319" t="s">
        <v>3320</v>
      </c>
      <c r="ITG45" s="318" t="s">
        <v>3319</v>
      </c>
      <c r="ITH45" s="319" t="s">
        <v>3320</v>
      </c>
      <c r="ITI45" s="318" t="s">
        <v>3319</v>
      </c>
      <c r="ITJ45" s="319" t="s">
        <v>3320</v>
      </c>
      <c r="ITK45" s="318" t="s">
        <v>3319</v>
      </c>
      <c r="ITL45" s="319" t="s">
        <v>3320</v>
      </c>
      <c r="ITM45" s="318" t="s">
        <v>3319</v>
      </c>
      <c r="ITN45" s="319" t="s">
        <v>3320</v>
      </c>
      <c r="ITO45" s="318" t="s">
        <v>3319</v>
      </c>
      <c r="ITP45" s="319" t="s">
        <v>3320</v>
      </c>
      <c r="ITQ45" s="318" t="s">
        <v>3319</v>
      </c>
      <c r="ITR45" s="319" t="s">
        <v>3320</v>
      </c>
      <c r="ITS45" s="318" t="s">
        <v>3319</v>
      </c>
      <c r="ITT45" s="319" t="s">
        <v>3320</v>
      </c>
      <c r="ITU45" s="318" t="s">
        <v>3319</v>
      </c>
      <c r="ITV45" s="319" t="s">
        <v>3320</v>
      </c>
      <c r="ITW45" s="318" t="s">
        <v>3319</v>
      </c>
      <c r="ITX45" s="319" t="s">
        <v>3320</v>
      </c>
      <c r="ITY45" s="318" t="s">
        <v>3319</v>
      </c>
      <c r="ITZ45" s="319" t="s">
        <v>3320</v>
      </c>
      <c r="IUA45" s="318" t="s">
        <v>3319</v>
      </c>
      <c r="IUB45" s="319" t="s">
        <v>3320</v>
      </c>
      <c r="IUC45" s="318" t="s">
        <v>3319</v>
      </c>
      <c r="IUD45" s="319" t="s">
        <v>3320</v>
      </c>
      <c r="IUE45" s="318" t="s">
        <v>3319</v>
      </c>
      <c r="IUF45" s="319" t="s">
        <v>3320</v>
      </c>
      <c r="IUG45" s="318" t="s">
        <v>3319</v>
      </c>
      <c r="IUH45" s="319" t="s">
        <v>3320</v>
      </c>
      <c r="IUI45" s="318" t="s">
        <v>3319</v>
      </c>
      <c r="IUJ45" s="319" t="s">
        <v>3320</v>
      </c>
      <c r="IUK45" s="318" t="s">
        <v>3319</v>
      </c>
      <c r="IUL45" s="319" t="s">
        <v>3320</v>
      </c>
      <c r="IUM45" s="318" t="s">
        <v>3319</v>
      </c>
      <c r="IUN45" s="319" t="s">
        <v>3320</v>
      </c>
      <c r="IUO45" s="318" t="s">
        <v>3319</v>
      </c>
      <c r="IUP45" s="319" t="s">
        <v>3320</v>
      </c>
      <c r="IUQ45" s="318" t="s">
        <v>3319</v>
      </c>
      <c r="IUR45" s="319" t="s">
        <v>3320</v>
      </c>
      <c r="IUS45" s="318" t="s">
        <v>3319</v>
      </c>
      <c r="IUT45" s="319" t="s">
        <v>3320</v>
      </c>
      <c r="IUU45" s="318" t="s">
        <v>3319</v>
      </c>
      <c r="IUV45" s="319" t="s">
        <v>3320</v>
      </c>
      <c r="IUW45" s="318" t="s">
        <v>3319</v>
      </c>
      <c r="IUX45" s="319" t="s">
        <v>3320</v>
      </c>
      <c r="IUY45" s="318" t="s">
        <v>3319</v>
      </c>
      <c r="IUZ45" s="319" t="s">
        <v>3320</v>
      </c>
      <c r="IVA45" s="318" t="s">
        <v>3319</v>
      </c>
      <c r="IVB45" s="319" t="s">
        <v>3320</v>
      </c>
      <c r="IVC45" s="318" t="s">
        <v>3319</v>
      </c>
      <c r="IVD45" s="319" t="s">
        <v>3320</v>
      </c>
      <c r="IVE45" s="318" t="s">
        <v>3319</v>
      </c>
      <c r="IVF45" s="319" t="s">
        <v>3320</v>
      </c>
      <c r="IVG45" s="318" t="s">
        <v>3319</v>
      </c>
      <c r="IVH45" s="319" t="s">
        <v>3320</v>
      </c>
      <c r="IVI45" s="318" t="s">
        <v>3319</v>
      </c>
      <c r="IVJ45" s="319" t="s">
        <v>3320</v>
      </c>
      <c r="IVK45" s="318" t="s">
        <v>3319</v>
      </c>
      <c r="IVL45" s="319" t="s">
        <v>3320</v>
      </c>
      <c r="IVM45" s="318" t="s">
        <v>3319</v>
      </c>
      <c r="IVN45" s="319" t="s">
        <v>3320</v>
      </c>
      <c r="IVO45" s="318" t="s">
        <v>3319</v>
      </c>
      <c r="IVP45" s="319" t="s">
        <v>3320</v>
      </c>
      <c r="IVQ45" s="318" t="s">
        <v>3319</v>
      </c>
      <c r="IVR45" s="319" t="s">
        <v>3320</v>
      </c>
      <c r="IVS45" s="318" t="s">
        <v>3319</v>
      </c>
      <c r="IVT45" s="319" t="s">
        <v>3320</v>
      </c>
      <c r="IVU45" s="318" t="s">
        <v>3319</v>
      </c>
      <c r="IVV45" s="319" t="s">
        <v>3320</v>
      </c>
      <c r="IVW45" s="318" t="s">
        <v>3319</v>
      </c>
      <c r="IVX45" s="319" t="s">
        <v>3320</v>
      </c>
      <c r="IVY45" s="318" t="s">
        <v>3319</v>
      </c>
      <c r="IVZ45" s="319" t="s">
        <v>3320</v>
      </c>
      <c r="IWA45" s="318" t="s">
        <v>3319</v>
      </c>
      <c r="IWB45" s="319" t="s">
        <v>3320</v>
      </c>
      <c r="IWC45" s="318" t="s">
        <v>3319</v>
      </c>
      <c r="IWD45" s="319" t="s">
        <v>3320</v>
      </c>
      <c r="IWE45" s="318" t="s">
        <v>3319</v>
      </c>
      <c r="IWF45" s="319" t="s">
        <v>3320</v>
      </c>
      <c r="IWG45" s="318" t="s">
        <v>3319</v>
      </c>
      <c r="IWH45" s="319" t="s">
        <v>3320</v>
      </c>
      <c r="IWI45" s="318" t="s">
        <v>3319</v>
      </c>
      <c r="IWJ45" s="319" t="s">
        <v>3320</v>
      </c>
      <c r="IWK45" s="318" t="s">
        <v>3319</v>
      </c>
      <c r="IWL45" s="319" t="s">
        <v>3320</v>
      </c>
      <c r="IWM45" s="318" t="s">
        <v>3319</v>
      </c>
      <c r="IWN45" s="319" t="s">
        <v>3320</v>
      </c>
      <c r="IWO45" s="318" t="s">
        <v>3319</v>
      </c>
      <c r="IWP45" s="319" t="s">
        <v>3320</v>
      </c>
      <c r="IWQ45" s="318" t="s">
        <v>3319</v>
      </c>
      <c r="IWR45" s="319" t="s">
        <v>3320</v>
      </c>
      <c r="IWS45" s="318" t="s">
        <v>3319</v>
      </c>
      <c r="IWT45" s="319" t="s">
        <v>3320</v>
      </c>
      <c r="IWU45" s="318" t="s">
        <v>3319</v>
      </c>
      <c r="IWV45" s="319" t="s">
        <v>3320</v>
      </c>
      <c r="IWW45" s="318" t="s">
        <v>3319</v>
      </c>
      <c r="IWX45" s="319" t="s">
        <v>3320</v>
      </c>
      <c r="IWY45" s="318" t="s">
        <v>3319</v>
      </c>
      <c r="IWZ45" s="319" t="s">
        <v>3320</v>
      </c>
      <c r="IXA45" s="318" t="s">
        <v>3319</v>
      </c>
      <c r="IXB45" s="319" t="s">
        <v>3320</v>
      </c>
      <c r="IXC45" s="318" t="s">
        <v>3319</v>
      </c>
      <c r="IXD45" s="319" t="s">
        <v>3320</v>
      </c>
      <c r="IXE45" s="318" t="s">
        <v>3319</v>
      </c>
      <c r="IXF45" s="319" t="s">
        <v>3320</v>
      </c>
      <c r="IXG45" s="318" t="s">
        <v>3319</v>
      </c>
      <c r="IXH45" s="319" t="s">
        <v>3320</v>
      </c>
      <c r="IXI45" s="318" t="s">
        <v>3319</v>
      </c>
      <c r="IXJ45" s="319" t="s">
        <v>3320</v>
      </c>
      <c r="IXK45" s="318" t="s">
        <v>3319</v>
      </c>
      <c r="IXL45" s="319" t="s">
        <v>3320</v>
      </c>
      <c r="IXM45" s="318" t="s">
        <v>3319</v>
      </c>
      <c r="IXN45" s="319" t="s">
        <v>3320</v>
      </c>
      <c r="IXO45" s="318" t="s">
        <v>3319</v>
      </c>
      <c r="IXP45" s="319" t="s">
        <v>3320</v>
      </c>
      <c r="IXQ45" s="318" t="s">
        <v>3319</v>
      </c>
      <c r="IXR45" s="319" t="s">
        <v>3320</v>
      </c>
      <c r="IXS45" s="318" t="s">
        <v>3319</v>
      </c>
      <c r="IXT45" s="319" t="s">
        <v>3320</v>
      </c>
      <c r="IXU45" s="318" t="s">
        <v>3319</v>
      </c>
      <c r="IXV45" s="319" t="s">
        <v>3320</v>
      </c>
      <c r="IXW45" s="318" t="s">
        <v>3319</v>
      </c>
      <c r="IXX45" s="319" t="s">
        <v>3320</v>
      </c>
      <c r="IXY45" s="318" t="s">
        <v>3319</v>
      </c>
      <c r="IXZ45" s="319" t="s">
        <v>3320</v>
      </c>
      <c r="IYA45" s="318" t="s">
        <v>3319</v>
      </c>
      <c r="IYB45" s="319" t="s">
        <v>3320</v>
      </c>
      <c r="IYC45" s="318" t="s">
        <v>3319</v>
      </c>
      <c r="IYD45" s="319" t="s">
        <v>3320</v>
      </c>
      <c r="IYE45" s="318" t="s">
        <v>3319</v>
      </c>
      <c r="IYF45" s="319" t="s">
        <v>3320</v>
      </c>
      <c r="IYG45" s="318" t="s">
        <v>3319</v>
      </c>
      <c r="IYH45" s="319" t="s">
        <v>3320</v>
      </c>
      <c r="IYI45" s="318" t="s">
        <v>3319</v>
      </c>
      <c r="IYJ45" s="319" t="s">
        <v>3320</v>
      </c>
      <c r="IYK45" s="318" t="s">
        <v>3319</v>
      </c>
      <c r="IYL45" s="319" t="s">
        <v>3320</v>
      </c>
      <c r="IYM45" s="318" t="s">
        <v>3319</v>
      </c>
      <c r="IYN45" s="319" t="s">
        <v>3320</v>
      </c>
      <c r="IYO45" s="318" t="s">
        <v>3319</v>
      </c>
      <c r="IYP45" s="319" t="s">
        <v>3320</v>
      </c>
      <c r="IYQ45" s="318" t="s">
        <v>3319</v>
      </c>
      <c r="IYR45" s="319" t="s">
        <v>3320</v>
      </c>
      <c r="IYS45" s="318" t="s">
        <v>3319</v>
      </c>
      <c r="IYT45" s="319" t="s">
        <v>3320</v>
      </c>
      <c r="IYU45" s="318" t="s">
        <v>3319</v>
      </c>
      <c r="IYV45" s="319" t="s">
        <v>3320</v>
      </c>
      <c r="IYW45" s="318" t="s">
        <v>3319</v>
      </c>
      <c r="IYX45" s="319" t="s">
        <v>3320</v>
      </c>
      <c r="IYY45" s="318" t="s">
        <v>3319</v>
      </c>
      <c r="IYZ45" s="319" t="s">
        <v>3320</v>
      </c>
      <c r="IZA45" s="318" t="s">
        <v>3319</v>
      </c>
      <c r="IZB45" s="319" t="s">
        <v>3320</v>
      </c>
      <c r="IZC45" s="318" t="s">
        <v>3319</v>
      </c>
      <c r="IZD45" s="319" t="s">
        <v>3320</v>
      </c>
      <c r="IZE45" s="318" t="s">
        <v>3319</v>
      </c>
      <c r="IZF45" s="319" t="s">
        <v>3320</v>
      </c>
      <c r="IZG45" s="318" t="s">
        <v>3319</v>
      </c>
      <c r="IZH45" s="319" t="s">
        <v>3320</v>
      </c>
      <c r="IZI45" s="318" t="s">
        <v>3319</v>
      </c>
      <c r="IZJ45" s="319" t="s">
        <v>3320</v>
      </c>
      <c r="IZK45" s="318" t="s">
        <v>3319</v>
      </c>
      <c r="IZL45" s="319" t="s">
        <v>3320</v>
      </c>
      <c r="IZM45" s="318" t="s">
        <v>3319</v>
      </c>
      <c r="IZN45" s="319" t="s">
        <v>3320</v>
      </c>
      <c r="IZO45" s="318" t="s">
        <v>3319</v>
      </c>
      <c r="IZP45" s="319" t="s">
        <v>3320</v>
      </c>
      <c r="IZQ45" s="318" t="s">
        <v>3319</v>
      </c>
      <c r="IZR45" s="319" t="s">
        <v>3320</v>
      </c>
      <c r="IZS45" s="318" t="s">
        <v>3319</v>
      </c>
      <c r="IZT45" s="319" t="s">
        <v>3320</v>
      </c>
      <c r="IZU45" s="318" t="s">
        <v>3319</v>
      </c>
      <c r="IZV45" s="319" t="s">
        <v>3320</v>
      </c>
      <c r="IZW45" s="318" t="s">
        <v>3319</v>
      </c>
      <c r="IZX45" s="319" t="s">
        <v>3320</v>
      </c>
      <c r="IZY45" s="318" t="s">
        <v>3319</v>
      </c>
      <c r="IZZ45" s="319" t="s">
        <v>3320</v>
      </c>
      <c r="JAA45" s="318" t="s">
        <v>3319</v>
      </c>
      <c r="JAB45" s="319" t="s">
        <v>3320</v>
      </c>
      <c r="JAC45" s="318" t="s">
        <v>3319</v>
      </c>
      <c r="JAD45" s="319" t="s">
        <v>3320</v>
      </c>
      <c r="JAE45" s="318" t="s">
        <v>3319</v>
      </c>
      <c r="JAF45" s="319" t="s">
        <v>3320</v>
      </c>
      <c r="JAG45" s="318" t="s">
        <v>3319</v>
      </c>
      <c r="JAH45" s="319" t="s">
        <v>3320</v>
      </c>
      <c r="JAI45" s="318" t="s">
        <v>3319</v>
      </c>
      <c r="JAJ45" s="319" t="s">
        <v>3320</v>
      </c>
      <c r="JAK45" s="318" t="s">
        <v>3319</v>
      </c>
      <c r="JAL45" s="319" t="s">
        <v>3320</v>
      </c>
      <c r="JAM45" s="318" t="s">
        <v>3319</v>
      </c>
      <c r="JAN45" s="319" t="s">
        <v>3320</v>
      </c>
      <c r="JAO45" s="318" t="s">
        <v>3319</v>
      </c>
      <c r="JAP45" s="319" t="s">
        <v>3320</v>
      </c>
      <c r="JAQ45" s="318" t="s">
        <v>3319</v>
      </c>
      <c r="JAR45" s="319" t="s">
        <v>3320</v>
      </c>
      <c r="JAS45" s="318" t="s">
        <v>3319</v>
      </c>
      <c r="JAT45" s="319" t="s">
        <v>3320</v>
      </c>
      <c r="JAU45" s="318" t="s">
        <v>3319</v>
      </c>
      <c r="JAV45" s="319" t="s">
        <v>3320</v>
      </c>
      <c r="JAW45" s="318" t="s">
        <v>3319</v>
      </c>
      <c r="JAX45" s="319" t="s">
        <v>3320</v>
      </c>
      <c r="JAY45" s="318" t="s">
        <v>3319</v>
      </c>
      <c r="JAZ45" s="319" t="s">
        <v>3320</v>
      </c>
      <c r="JBA45" s="318" t="s">
        <v>3319</v>
      </c>
      <c r="JBB45" s="319" t="s">
        <v>3320</v>
      </c>
      <c r="JBC45" s="318" t="s">
        <v>3319</v>
      </c>
      <c r="JBD45" s="319" t="s">
        <v>3320</v>
      </c>
      <c r="JBE45" s="318" t="s">
        <v>3319</v>
      </c>
      <c r="JBF45" s="319" t="s">
        <v>3320</v>
      </c>
      <c r="JBG45" s="318" t="s">
        <v>3319</v>
      </c>
      <c r="JBH45" s="319" t="s">
        <v>3320</v>
      </c>
      <c r="JBI45" s="318" t="s">
        <v>3319</v>
      </c>
      <c r="JBJ45" s="319" t="s">
        <v>3320</v>
      </c>
      <c r="JBK45" s="318" t="s">
        <v>3319</v>
      </c>
      <c r="JBL45" s="319" t="s">
        <v>3320</v>
      </c>
      <c r="JBM45" s="318" t="s">
        <v>3319</v>
      </c>
      <c r="JBN45" s="319" t="s">
        <v>3320</v>
      </c>
      <c r="JBO45" s="318" t="s">
        <v>3319</v>
      </c>
      <c r="JBP45" s="319" t="s">
        <v>3320</v>
      </c>
      <c r="JBQ45" s="318" t="s">
        <v>3319</v>
      </c>
      <c r="JBR45" s="319" t="s">
        <v>3320</v>
      </c>
      <c r="JBS45" s="318" t="s">
        <v>3319</v>
      </c>
      <c r="JBT45" s="319" t="s">
        <v>3320</v>
      </c>
      <c r="JBU45" s="318" t="s">
        <v>3319</v>
      </c>
      <c r="JBV45" s="319" t="s">
        <v>3320</v>
      </c>
      <c r="JBW45" s="318" t="s">
        <v>3319</v>
      </c>
      <c r="JBX45" s="319" t="s">
        <v>3320</v>
      </c>
      <c r="JBY45" s="318" t="s">
        <v>3319</v>
      </c>
      <c r="JBZ45" s="319" t="s">
        <v>3320</v>
      </c>
      <c r="JCA45" s="318" t="s">
        <v>3319</v>
      </c>
      <c r="JCB45" s="319" t="s">
        <v>3320</v>
      </c>
      <c r="JCC45" s="318" t="s">
        <v>3319</v>
      </c>
      <c r="JCD45" s="319" t="s">
        <v>3320</v>
      </c>
      <c r="JCE45" s="318" t="s">
        <v>3319</v>
      </c>
      <c r="JCF45" s="319" t="s">
        <v>3320</v>
      </c>
      <c r="JCG45" s="318" t="s">
        <v>3319</v>
      </c>
      <c r="JCH45" s="319" t="s">
        <v>3320</v>
      </c>
      <c r="JCI45" s="318" t="s">
        <v>3319</v>
      </c>
      <c r="JCJ45" s="319" t="s">
        <v>3320</v>
      </c>
      <c r="JCK45" s="318" t="s">
        <v>3319</v>
      </c>
      <c r="JCL45" s="319" t="s">
        <v>3320</v>
      </c>
      <c r="JCM45" s="318" t="s">
        <v>3319</v>
      </c>
      <c r="JCN45" s="319" t="s">
        <v>3320</v>
      </c>
      <c r="JCO45" s="318" t="s">
        <v>3319</v>
      </c>
      <c r="JCP45" s="319" t="s">
        <v>3320</v>
      </c>
      <c r="JCQ45" s="318" t="s">
        <v>3319</v>
      </c>
      <c r="JCR45" s="319" t="s">
        <v>3320</v>
      </c>
      <c r="JCS45" s="318" t="s">
        <v>3319</v>
      </c>
      <c r="JCT45" s="319" t="s">
        <v>3320</v>
      </c>
      <c r="JCU45" s="318" t="s">
        <v>3319</v>
      </c>
      <c r="JCV45" s="319" t="s">
        <v>3320</v>
      </c>
      <c r="JCW45" s="318" t="s">
        <v>3319</v>
      </c>
      <c r="JCX45" s="319" t="s">
        <v>3320</v>
      </c>
      <c r="JCY45" s="318" t="s">
        <v>3319</v>
      </c>
      <c r="JCZ45" s="319" t="s">
        <v>3320</v>
      </c>
      <c r="JDA45" s="318" t="s">
        <v>3319</v>
      </c>
      <c r="JDB45" s="319" t="s">
        <v>3320</v>
      </c>
      <c r="JDC45" s="318" t="s">
        <v>3319</v>
      </c>
      <c r="JDD45" s="319" t="s">
        <v>3320</v>
      </c>
      <c r="JDE45" s="318" t="s">
        <v>3319</v>
      </c>
      <c r="JDF45" s="319" t="s">
        <v>3320</v>
      </c>
      <c r="JDG45" s="318" t="s">
        <v>3319</v>
      </c>
      <c r="JDH45" s="319" t="s">
        <v>3320</v>
      </c>
      <c r="JDI45" s="318" t="s">
        <v>3319</v>
      </c>
      <c r="JDJ45" s="319" t="s">
        <v>3320</v>
      </c>
      <c r="JDK45" s="318" t="s">
        <v>3319</v>
      </c>
      <c r="JDL45" s="319" t="s">
        <v>3320</v>
      </c>
      <c r="JDM45" s="318" t="s">
        <v>3319</v>
      </c>
      <c r="JDN45" s="319" t="s">
        <v>3320</v>
      </c>
      <c r="JDO45" s="318" t="s">
        <v>3319</v>
      </c>
      <c r="JDP45" s="319" t="s">
        <v>3320</v>
      </c>
      <c r="JDQ45" s="318" t="s">
        <v>3319</v>
      </c>
      <c r="JDR45" s="319" t="s">
        <v>3320</v>
      </c>
      <c r="JDS45" s="318" t="s">
        <v>3319</v>
      </c>
      <c r="JDT45" s="319" t="s">
        <v>3320</v>
      </c>
      <c r="JDU45" s="318" t="s">
        <v>3319</v>
      </c>
      <c r="JDV45" s="319" t="s">
        <v>3320</v>
      </c>
      <c r="JDW45" s="318" t="s">
        <v>3319</v>
      </c>
      <c r="JDX45" s="319" t="s">
        <v>3320</v>
      </c>
      <c r="JDY45" s="318" t="s">
        <v>3319</v>
      </c>
      <c r="JDZ45" s="319" t="s">
        <v>3320</v>
      </c>
      <c r="JEA45" s="318" t="s">
        <v>3319</v>
      </c>
      <c r="JEB45" s="319" t="s">
        <v>3320</v>
      </c>
      <c r="JEC45" s="318" t="s">
        <v>3319</v>
      </c>
      <c r="JED45" s="319" t="s">
        <v>3320</v>
      </c>
      <c r="JEE45" s="318" t="s">
        <v>3319</v>
      </c>
      <c r="JEF45" s="319" t="s">
        <v>3320</v>
      </c>
      <c r="JEG45" s="318" t="s">
        <v>3319</v>
      </c>
      <c r="JEH45" s="319" t="s">
        <v>3320</v>
      </c>
      <c r="JEI45" s="318" t="s">
        <v>3319</v>
      </c>
      <c r="JEJ45" s="319" t="s">
        <v>3320</v>
      </c>
      <c r="JEK45" s="318" t="s">
        <v>3319</v>
      </c>
      <c r="JEL45" s="319" t="s">
        <v>3320</v>
      </c>
      <c r="JEM45" s="318" t="s">
        <v>3319</v>
      </c>
      <c r="JEN45" s="319" t="s">
        <v>3320</v>
      </c>
      <c r="JEO45" s="318" t="s">
        <v>3319</v>
      </c>
      <c r="JEP45" s="319" t="s">
        <v>3320</v>
      </c>
      <c r="JEQ45" s="318" t="s">
        <v>3319</v>
      </c>
      <c r="JER45" s="319" t="s">
        <v>3320</v>
      </c>
      <c r="JES45" s="318" t="s">
        <v>3319</v>
      </c>
      <c r="JET45" s="319" t="s">
        <v>3320</v>
      </c>
      <c r="JEU45" s="318" t="s">
        <v>3319</v>
      </c>
      <c r="JEV45" s="319" t="s">
        <v>3320</v>
      </c>
      <c r="JEW45" s="318" t="s">
        <v>3319</v>
      </c>
      <c r="JEX45" s="319" t="s">
        <v>3320</v>
      </c>
      <c r="JEY45" s="318" t="s">
        <v>3319</v>
      </c>
      <c r="JEZ45" s="319" t="s">
        <v>3320</v>
      </c>
      <c r="JFA45" s="318" t="s">
        <v>3319</v>
      </c>
      <c r="JFB45" s="319" t="s">
        <v>3320</v>
      </c>
      <c r="JFC45" s="318" t="s">
        <v>3319</v>
      </c>
      <c r="JFD45" s="319" t="s">
        <v>3320</v>
      </c>
      <c r="JFE45" s="318" t="s">
        <v>3319</v>
      </c>
      <c r="JFF45" s="319" t="s">
        <v>3320</v>
      </c>
      <c r="JFG45" s="318" t="s">
        <v>3319</v>
      </c>
      <c r="JFH45" s="319" t="s">
        <v>3320</v>
      </c>
      <c r="JFI45" s="318" t="s">
        <v>3319</v>
      </c>
      <c r="JFJ45" s="319" t="s">
        <v>3320</v>
      </c>
      <c r="JFK45" s="318" t="s">
        <v>3319</v>
      </c>
      <c r="JFL45" s="319" t="s">
        <v>3320</v>
      </c>
      <c r="JFM45" s="318" t="s">
        <v>3319</v>
      </c>
      <c r="JFN45" s="319" t="s">
        <v>3320</v>
      </c>
      <c r="JFO45" s="318" t="s">
        <v>3319</v>
      </c>
      <c r="JFP45" s="319" t="s">
        <v>3320</v>
      </c>
      <c r="JFQ45" s="318" t="s">
        <v>3319</v>
      </c>
      <c r="JFR45" s="319" t="s">
        <v>3320</v>
      </c>
      <c r="JFS45" s="318" t="s">
        <v>3319</v>
      </c>
      <c r="JFT45" s="319" t="s">
        <v>3320</v>
      </c>
      <c r="JFU45" s="318" t="s">
        <v>3319</v>
      </c>
      <c r="JFV45" s="319" t="s">
        <v>3320</v>
      </c>
      <c r="JFW45" s="318" t="s">
        <v>3319</v>
      </c>
      <c r="JFX45" s="319" t="s">
        <v>3320</v>
      </c>
      <c r="JFY45" s="318" t="s">
        <v>3319</v>
      </c>
      <c r="JFZ45" s="319" t="s">
        <v>3320</v>
      </c>
      <c r="JGA45" s="318" t="s">
        <v>3319</v>
      </c>
      <c r="JGB45" s="319" t="s">
        <v>3320</v>
      </c>
      <c r="JGC45" s="318" t="s">
        <v>3319</v>
      </c>
      <c r="JGD45" s="319" t="s">
        <v>3320</v>
      </c>
      <c r="JGE45" s="318" t="s">
        <v>3319</v>
      </c>
      <c r="JGF45" s="319" t="s">
        <v>3320</v>
      </c>
      <c r="JGG45" s="318" t="s">
        <v>3319</v>
      </c>
      <c r="JGH45" s="319" t="s">
        <v>3320</v>
      </c>
      <c r="JGI45" s="318" t="s">
        <v>3319</v>
      </c>
      <c r="JGJ45" s="319" t="s">
        <v>3320</v>
      </c>
      <c r="JGK45" s="318" t="s">
        <v>3319</v>
      </c>
      <c r="JGL45" s="319" t="s">
        <v>3320</v>
      </c>
      <c r="JGM45" s="318" t="s">
        <v>3319</v>
      </c>
      <c r="JGN45" s="319" t="s">
        <v>3320</v>
      </c>
      <c r="JGO45" s="318" t="s">
        <v>3319</v>
      </c>
      <c r="JGP45" s="319" t="s">
        <v>3320</v>
      </c>
      <c r="JGQ45" s="318" t="s">
        <v>3319</v>
      </c>
      <c r="JGR45" s="319" t="s">
        <v>3320</v>
      </c>
      <c r="JGS45" s="318" t="s">
        <v>3319</v>
      </c>
      <c r="JGT45" s="319" t="s">
        <v>3320</v>
      </c>
      <c r="JGU45" s="318" t="s">
        <v>3319</v>
      </c>
      <c r="JGV45" s="319" t="s">
        <v>3320</v>
      </c>
      <c r="JGW45" s="318" t="s">
        <v>3319</v>
      </c>
      <c r="JGX45" s="319" t="s">
        <v>3320</v>
      </c>
      <c r="JGY45" s="318" t="s">
        <v>3319</v>
      </c>
      <c r="JGZ45" s="319" t="s">
        <v>3320</v>
      </c>
      <c r="JHA45" s="318" t="s">
        <v>3319</v>
      </c>
      <c r="JHB45" s="319" t="s">
        <v>3320</v>
      </c>
      <c r="JHC45" s="318" t="s">
        <v>3319</v>
      </c>
      <c r="JHD45" s="319" t="s">
        <v>3320</v>
      </c>
      <c r="JHE45" s="318" t="s">
        <v>3319</v>
      </c>
      <c r="JHF45" s="319" t="s">
        <v>3320</v>
      </c>
      <c r="JHG45" s="318" t="s">
        <v>3319</v>
      </c>
      <c r="JHH45" s="319" t="s">
        <v>3320</v>
      </c>
      <c r="JHI45" s="318" t="s">
        <v>3319</v>
      </c>
      <c r="JHJ45" s="319" t="s">
        <v>3320</v>
      </c>
      <c r="JHK45" s="318" t="s">
        <v>3319</v>
      </c>
      <c r="JHL45" s="319" t="s">
        <v>3320</v>
      </c>
      <c r="JHM45" s="318" t="s">
        <v>3319</v>
      </c>
      <c r="JHN45" s="319" t="s">
        <v>3320</v>
      </c>
      <c r="JHO45" s="318" t="s">
        <v>3319</v>
      </c>
      <c r="JHP45" s="319" t="s">
        <v>3320</v>
      </c>
      <c r="JHQ45" s="318" t="s">
        <v>3319</v>
      </c>
      <c r="JHR45" s="319" t="s">
        <v>3320</v>
      </c>
      <c r="JHS45" s="318" t="s">
        <v>3319</v>
      </c>
      <c r="JHT45" s="319" t="s">
        <v>3320</v>
      </c>
      <c r="JHU45" s="318" t="s">
        <v>3319</v>
      </c>
      <c r="JHV45" s="319" t="s">
        <v>3320</v>
      </c>
      <c r="JHW45" s="318" t="s">
        <v>3319</v>
      </c>
      <c r="JHX45" s="319" t="s">
        <v>3320</v>
      </c>
      <c r="JHY45" s="318" t="s">
        <v>3319</v>
      </c>
      <c r="JHZ45" s="319" t="s">
        <v>3320</v>
      </c>
      <c r="JIA45" s="318" t="s">
        <v>3319</v>
      </c>
      <c r="JIB45" s="319" t="s">
        <v>3320</v>
      </c>
      <c r="JIC45" s="318" t="s">
        <v>3319</v>
      </c>
      <c r="JID45" s="319" t="s">
        <v>3320</v>
      </c>
      <c r="JIE45" s="318" t="s">
        <v>3319</v>
      </c>
      <c r="JIF45" s="319" t="s">
        <v>3320</v>
      </c>
      <c r="JIG45" s="318" t="s">
        <v>3319</v>
      </c>
      <c r="JIH45" s="319" t="s">
        <v>3320</v>
      </c>
      <c r="JII45" s="318" t="s">
        <v>3319</v>
      </c>
      <c r="JIJ45" s="319" t="s">
        <v>3320</v>
      </c>
      <c r="JIK45" s="318" t="s">
        <v>3319</v>
      </c>
      <c r="JIL45" s="319" t="s">
        <v>3320</v>
      </c>
      <c r="JIM45" s="318" t="s">
        <v>3319</v>
      </c>
      <c r="JIN45" s="319" t="s">
        <v>3320</v>
      </c>
      <c r="JIO45" s="318" t="s">
        <v>3319</v>
      </c>
      <c r="JIP45" s="319" t="s">
        <v>3320</v>
      </c>
      <c r="JIQ45" s="318" t="s">
        <v>3319</v>
      </c>
      <c r="JIR45" s="319" t="s">
        <v>3320</v>
      </c>
      <c r="JIS45" s="318" t="s">
        <v>3319</v>
      </c>
      <c r="JIT45" s="319" t="s">
        <v>3320</v>
      </c>
      <c r="JIU45" s="318" t="s">
        <v>3319</v>
      </c>
      <c r="JIV45" s="319" t="s">
        <v>3320</v>
      </c>
      <c r="JIW45" s="318" t="s">
        <v>3319</v>
      </c>
      <c r="JIX45" s="319" t="s">
        <v>3320</v>
      </c>
      <c r="JIY45" s="318" t="s">
        <v>3319</v>
      </c>
      <c r="JIZ45" s="319" t="s">
        <v>3320</v>
      </c>
      <c r="JJA45" s="318" t="s">
        <v>3319</v>
      </c>
      <c r="JJB45" s="319" t="s">
        <v>3320</v>
      </c>
      <c r="JJC45" s="318" t="s">
        <v>3319</v>
      </c>
      <c r="JJD45" s="319" t="s">
        <v>3320</v>
      </c>
      <c r="JJE45" s="318" t="s">
        <v>3319</v>
      </c>
      <c r="JJF45" s="319" t="s">
        <v>3320</v>
      </c>
      <c r="JJG45" s="318" t="s">
        <v>3319</v>
      </c>
      <c r="JJH45" s="319" t="s">
        <v>3320</v>
      </c>
      <c r="JJI45" s="318" t="s">
        <v>3319</v>
      </c>
      <c r="JJJ45" s="319" t="s">
        <v>3320</v>
      </c>
      <c r="JJK45" s="318" t="s">
        <v>3319</v>
      </c>
      <c r="JJL45" s="319" t="s">
        <v>3320</v>
      </c>
      <c r="JJM45" s="318" t="s">
        <v>3319</v>
      </c>
      <c r="JJN45" s="319" t="s">
        <v>3320</v>
      </c>
      <c r="JJO45" s="318" t="s">
        <v>3319</v>
      </c>
      <c r="JJP45" s="319" t="s">
        <v>3320</v>
      </c>
      <c r="JJQ45" s="318" t="s">
        <v>3319</v>
      </c>
      <c r="JJR45" s="319" t="s">
        <v>3320</v>
      </c>
      <c r="JJS45" s="318" t="s">
        <v>3319</v>
      </c>
      <c r="JJT45" s="319" t="s">
        <v>3320</v>
      </c>
      <c r="JJU45" s="318" t="s">
        <v>3319</v>
      </c>
      <c r="JJV45" s="319" t="s">
        <v>3320</v>
      </c>
      <c r="JJW45" s="318" t="s">
        <v>3319</v>
      </c>
      <c r="JJX45" s="319" t="s">
        <v>3320</v>
      </c>
      <c r="JJY45" s="318" t="s">
        <v>3319</v>
      </c>
      <c r="JJZ45" s="319" t="s">
        <v>3320</v>
      </c>
      <c r="JKA45" s="318" t="s">
        <v>3319</v>
      </c>
      <c r="JKB45" s="319" t="s">
        <v>3320</v>
      </c>
      <c r="JKC45" s="318" t="s">
        <v>3319</v>
      </c>
      <c r="JKD45" s="319" t="s">
        <v>3320</v>
      </c>
      <c r="JKE45" s="318" t="s">
        <v>3319</v>
      </c>
      <c r="JKF45" s="319" t="s">
        <v>3320</v>
      </c>
      <c r="JKG45" s="318" t="s">
        <v>3319</v>
      </c>
      <c r="JKH45" s="319" t="s">
        <v>3320</v>
      </c>
      <c r="JKI45" s="318" t="s">
        <v>3319</v>
      </c>
      <c r="JKJ45" s="319" t="s">
        <v>3320</v>
      </c>
      <c r="JKK45" s="318" t="s">
        <v>3319</v>
      </c>
      <c r="JKL45" s="319" t="s">
        <v>3320</v>
      </c>
      <c r="JKM45" s="318" t="s">
        <v>3319</v>
      </c>
      <c r="JKN45" s="319" t="s">
        <v>3320</v>
      </c>
      <c r="JKO45" s="318" t="s">
        <v>3319</v>
      </c>
      <c r="JKP45" s="319" t="s">
        <v>3320</v>
      </c>
      <c r="JKQ45" s="318" t="s">
        <v>3319</v>
      </c>
      <c r="JKR45" s="319" t="s">
        <v>3320</v>
      </c>
      <c r="JKS45" s="318" t="s">
        <v>3319</v>
      </c>
      <c r="JKT45" s="319" t="s">
        <v>3320</v>
      </c>
      <c r="JKU45" s="318" t="s">
        <v>3319</v>
      </c>
      <c r="JKV45" s="319" t="s">
        <v>3320</v>
      </c>
      <c r="JKW45" s="318" t="s">
        <v>3319</v>
      </c>
      <c r="JKX45" s="319" t="s">
        <v>3320</v>
      </c>
      <c r="JKY45" s="318" t="s">
        <v>3319</v>
      </c>
      <c r="JKZ45" s="319" t="s">
        <v>3320</v>
      </c>
      <c r="JLA45" s="318" t="s">
        <v>3319</v>
      </c>
      <c r="JLB45" s="319" t="s">
        <v>3320</v>
      </c>
      <c r="JLC45" s="318" t="s">
        <v>3319</v>
      </c>
      <c r="JLD45" s="319" t="s">
        <v>3320</v>
      </c>
      <c r="JLE45" s="318" t="s">
        <v>3319</v>
      </c>
      <c r="JLF45" s="319" t="s">
        <v>3320</v>
      </c>
      <c r="JLG45" s="318" t="s">
        <v>3319</v>
      </c>
      <c r="JLH45" s="319" t="s">
        <v>3320</v>
      </c>
      <c r="JLI45" s="318" t="s">
        <v>3319</v>
      </c>
      <c r="JLJ45" s="319" t="s">
        <v>3320</v>
      </c>
      <c r="JLK45" s="318" t="s">
        <v>3319</v>
      </c>
      <c r="JLL45" s="319" t="s">
        <v>3320</v>
      </c>
      <c r="JLM45" s="318" t="s">
        <v>3319</v>
      </c>
      <c r="JLN45" s="319" t="s">
        <v>3320</v>
      </c>
      <c r="JLO45" s="318" t="s">
        <v>3319</v>
      </c>
      <c r="JLP45" s="319" t="s">
        <v>3320</v>
      </c>
      <c r="JLQ45" s="318" t="s">
        <v>3319</v>
      </c>
      <c r="JLR45" s="319" t="s">
        <v>3320</v>
      </c>
      <c r="JLS45" s="318" t="s">
        <v>3319</v>
      </c>
      <c r="JLT45" s="319" t="s">
        <v>3320</v>
      </c>
      <c r="JLU45" s="318" t="s">
        <v>3319</v>
      </c>
      <c r="JLV45" s="319" t="s">
        <v>3320</v>
      </c>
      <c r="JLW45" s="318" t="s">
        <v>3319</v>
      </c>
      <c r="JLX45" s="319" t="s">
        <v>3320</v>
      </c>
      <c r="JLY45" s="318" t="s">
        <v>3319</v>
      </c>
      <c r="JLZ45" s="319" t="s">
        <v>3320</v>
      </c>
      <c r="JMA45" s="318" t="s">
        <v>3319</v>
      </c>
      <c r="JMB45" s="319" t="s">
        <v>3320</v>
      </c>
      <c r="JMC45" s="318" t="s">
        <v>3319</v>
      </c>
      <c r="JMD45" s="319" t="s">
        <v>3320</v>
      </c>
      <c r="JME45" s="318" t="s">
        <v>3319</v>
      </c>
      <c r="JMF45" s="319" t="s">
        <v>3320</v>
      </c>
      <c r="JMG45" s="318" t="s">
        <v>3319</v>
      </c>
      <c r="JMH45" s="319" t="s">
        <v>3320</v>
      </c>
      <c r="JMI45" s="318" t="s">
        <v>3319</v>
      </c>
      <c r="JMJ45" s="319" t="s">
        <v>3320</v>
      </c>
      <c r="JMK45" s="318" t="s">
        <v>3319</v>
      </c>
      <c r="JML45" s="319" t="s">
        <v>3320</v>
      </c>
      <c r="JMM45" s="318" t="s">
        <v>3319</v>
      </c>
      <c r="JMN45" s="319" t="s">
        <v>3320</v>
      </c>
      <c r="JMO45" s="318" t="s">
        <v>3319</v>
      </c>
      <c r="JMP45" s="319" t="s">
        <v>3320</v>
      </c>
      <c r="JMQ45" s="318" t="s">
        <v>3319</v>
      </c>
      <c r="JMR45" s="319" t="s">
        <v>3320</v>
      </c>
      <c r="JMS45" s="318" t="s">
        <v>3319</v>
      </c>
      <c r="JMT45" s="319" t="s">
        <v>3320</v>
      </c>
      <c r="JMU45" s="318" t="s">
        <v>3319</v>
      </c>
      <c r="JMV45" s="319" t="s">
        <v>3320</v>
      </c>
      <c r="JMW45" s="318" t="s">
        <v>3319</v>
      </c>
      <c r="JMX45" s="319" t="s">
        <v>3320</v>
      </c>
      <c r="JMY45" s="318" t="s">
        <v>3319</v>
      </c>
      <c r="JMZ45" s="319" t="s">
        <v>3320</v>
      </c>
      <c r="JNA45" s="318" t="s">
        <v>3319</v>
      </c>
      <c r="JNB45" s="319" t="s">
        <v>3320</v>
      </c>
      <c r="JNC45" s="318" t="s">
        <v>3319</v>
      </c>
      <c r="JND45" s="319" t="s">
        <v>3320</v>
      </c>
      <c r="JNE45" s="318" t="s">
        <v>3319</v>
      </c>
      <c r="JNF45" s="319" t="s">
        <v>3320</v>
      </c>
      <c r="JNG45" s="318" t="s">
        <v>3319</v>
      </c>
      <c r="JNH45" s="319" t="s">
        <v>3320</v>
      </c>
      <c r="JNI45" s="318" t="s">
        <v>3319</v>
      </c>
      <c r="JNJ45" s="319" t="s">
        <v>3320</v>
      </c>
      <c r="JNK45" s="318" t="s">
        <v>3319</v>
      </c>
      <c r="JNL45" s="319" t="s">
        <v>3320</v>
      </c>
      <c r="JNM45" s="318" t="s">
        <v>3319</v>
      </c>
      <c r="JNN45" s="319" t="s">
        <v>3320</v>
      </c>
      <c r="JNO45" s="318" t="s">
        <v>3319</v>
      </c>
      <c r="JNP45" s="319" t="s">
        <v>3320</v>
      </c>
      <c r="JNQ45" s="318" t="s">
        <v>3319</v>
      </c>
      <c r="JNR45" s="319" t="s">
        <v>3320</v>
      </c>
      <c r="JNS45" s="318" t="s">
        <v>3319</v>
      </c>
      <c r="JNT45" s="319" t="s">
        <v>3320</v>
      </c>
      <c r="JNU45" s="318" t="s">
        <v>3319</v>
      </c>
      <c r="JNV45" s="319" t="s">
        <v>3320</v>
      </c>
      <c r="JNW45" s="318" t="s">
        <v>3319</v>
      </c>
      <c r="JNX45" s="319" t="s">
        <v>3320</v>
      </c>
      <c r="JNY45" s="318" t="s">
        <v>3319</v>
      </c>
      <c r="JNZ45" s="319" t="s">
        <v>3320</v>
      </c>
      <c r="JOA45" s="318" t="s">
        <v>3319</v>
      </c>
      <c r="JOB45" s="319" t="s">
        <v>3320</v>
      </c>
      <c r="JOC45" s="318" t="s">
        <v>3319</v>
      </c>
      <c r="JOD45" s="319" t="s">
        <v>3320</v>
      </c>
      <c r="JOE45" s="318" t="s">
        <v>3319</v>
      </c>
      <c r="JOF45" s="319" t="s">
        <v>3320</v>
      </c>
      <c r="JOG45" s="318" t="s">
        <v>3319</v>
      </c>
      <c r="JOH45" s="319" t="s">
        <v>3320</v>
      </c>
      <c r="JOI45" s="318" t="s">
        <v>3319</v>
      </c>
      <c r="JOJ45" s="319" t="s">
        <v>3320</v>
      </c>
      <c r="JOK45" s="318" t="s">
        <v>3319</v>
      </c>
      <c r="JOL45" s="319" t="s">
        <v>3320</v>
      </c>
      <c r="JOM45" s="318" t="s">
        <v>3319</v>
      </c>
      <c r="JON45" s="319" t="s">
        <v>3320</v>
      </c>
      <c r="JOO45" s="318" t="s">
        <v>3319</v>
      </c>
      <c r="JOP45" s="319" t="s">
        <v>3320</v>
      </c>
      <c r="JOQ45" s="318" t="s">
        <v>3319</v>
      </c>
      <c r="JOR45" s="319" t="s">
        <v>3320</v>
      </c>
      <c r="JOS45" s="318" t="s">
        <v>3319</v>
      </c>
      <c r="JOT45" s="319" t="s">
        <v>3320</v>
      </c>
      <c r="JOU45" s="318" t="s">
        <v>3319</v>
      </c>
      <c r="JOV45" s="319" t="s">
        <v>3320</v>
      </c>
      <c r="JOW45" s="318" t="s">
        <v>3319</v>
      </c>
      <c r="JOX45" s="319" t="s">
        <v>3320</v>
      </c>
      <c r="JOY45" s="318" t="s">
        <v>3319</v>
      </c>
      <c r="JOZ45" s="319" t="s">
        <v>3320</v>
      </c>
      <c r="JPA45" s="318" t="s">
        <v>3319</v>
      </c>
      <c r="JPB45" s="319" t="s">
        <v>3320</v>
      </c>
      <c r="JPC45" s="318" t="s">
        <v>3319</v>
      </c>
      <c r="JPD45" s="319" t="s">
        <v>3320</v>
      </c>
      <c r="JPE45" s="318" t="s">
        <v>3319</v>
      </c>
      <c r="JPF45" s="319" t="s">
        <v>3320</v>
      </c>
      <c r="JPG45" s="318" t="s">
        <v>3319</v>
      </c>
      <c r="JPH45" s="319" t="s">
        <v>3320</v>
      </c>
      <c r="JPI45" s="318" t="s">
        <v>3319</v>
      </c>
      <c r="JPJ45" s="319" t="s">
        <v>3320</v>
      </c>
      <c r="JPK45" s="318" t="s">
        <v>3319</v>
      </c>
      <c r="JPL45" s="319" t="s">
        <v>3320</v>
      </c>
      <c r="JPM45" s="318" t="s">
        <v>3319</v>
      </c>
      <c r="JPN45" s="319" t="s">
        <v>3320</v>
      </c>
      <c r="JPO45" s="318" t="s">
        <v>3319</v>
      </c>
      <c r="JPP45" s="319" t="s">
        <v>3320</v>
      </c>
      <c r="JPQ45" s="318" t="s">
        <v>3319</v>
      </c>
      <c r="JPR45" s="319" t="s">
        <v>3320</v>
      </c>
      <c r="JPS45" s="318" t="s">
        <v>3319</v>
      </c>
      <c r="JPT45" s="319" t="s">
        <v>3320</v>
      </c>
      <c r="JPU45" s="318" t="s">
        <v>3319</v>
      </c>
      <c r="JPV45" s="319" t="s">
        <v>3320</v>
      </c>
      <c r="JPW45" s="318" t="s">
        <v>3319</v>
      </c>
      <c r="JPX45" s="319" t="s">
        <v>3320</v>
      </c>
      <c r="JPY45" s="318" t="s">
        <v>3319</v>
      </c>
      <c r="JPZ45" s="319" t="s">
        <v>3320</v>
      </c>
      <c r="JQA45" s="318" t="s">
        <v>3319</v>
      </c>
      <c r="JQB45" s="319" t="s">
        <v>3320</v>
      </c>
      <c r="JQC45" s="318" t="s">
        <v>3319</v>
      </c>
      <c r="JQD45" s="319" t="s">
        <v>3320</v>
      </c>
      <c r="JQE45" s="318" t="s">
        <v>3319</v>
      </c>
      <c r="JQF45" s="319" t="s">
        <v>3320</v>
      </c>
      <c r="JQG45" s="318" t="s">
        <v>3319</v>
      </c>
      <c r="JQH45" s="319" t="s">
        <v>3320</v>
      </c>
      <c r="JQI45" s="318" t="s">
        <v>3319</v>
      </c>
      <c r="JQJ45" s="319" t="s">
        <v>3320</v>
      </c>
      <c r="JQK45" s="318" t="s">
        <v>3319</v>
      </c>
      <c r="JQL45" s="319" t="s">
        <v>3320</v>
      </c>
      <c r="JQM45" s="318" t="s">
        <v>3319</v>
      </c>
      <c r="JQN45" s="319" t="s">
        <v>3320</v>
      </c>
      <c r="JQO45" s="318" t="s">
        <v>3319</v>
      </c>
      <c r="JQP45" s="319" t="s">
        <v>3320</v>
      </c>
      <c r="JQQ45" s="318" t="s">
        <v>3319</v>
      </c>
      <c r="JQR45" s="319" t="s">
        <v>3320</v>
      </c>
      <c r="JQS45" s="318" t="s">
        <v>3319</v>
      </c>
      <c r="JQT45" s="319" t="s">
        <v>3320</v>
      </c>
      <c r="JQU45" s="318" t="s">
        <v>3319</v>
      </c>
      <c r="JQV45" s="319" t="s">
        <v>3320</v>
      </c>
      <c r="JQW45" s="318" t="s">
        <v>3319</v>
      </c>
      <c r="JQX45" s="319" t="s">
        <v>3320</v>
      </c>
      <c r="JQY45" s="318" t="s">
        <v>3319</v>
      </c>
      <c r="JQZ45" s="319" t="s">
        <v>3320</v>
      </c>
      <c r="JRA45" s="318" t="s">
        <v>3319</v>
      </c>
      <c r="JRB45" s="319" t="s">
        <v>3320</v>
      </c>
      <c r="JRC45" s="318" t="s">
        <v>3319</v>
      </c>
      <c r="JRD45" s="319" t="s">
        <v>3320</v>
      </c>
      <c r="JRE45" s="318" t="s">
        <v>3319</v>
      </c>
      <c r="JRF45" s="319" t="s">
        <v>3320</v>
      </c>
      <c r="JRG45" s="318" t="s">
        <v>3319</v>
      </c>
      <c r="JRH45" s="319" t="s">
        <v>3320</v>
      </c>
      <c r="JRI45" s="318" t="s">
        <v>3319</v>
      </c>
      <c r="JRJ45" s="319" t="s">
        <v>3320</v>
      </c>
      <c r="JRK45" s="318" t="s">
        <v>3319</v>
      </c>
      <c r="JRL45" s="319" t="s">
        <v>3320</v>
      </c>
      <c r="JRM45" s="318" t="s">
        <v>3319</v>
      </c>
      <c r="JRN45" s="319" t="s">
        <v>3320</v>
      </c>
      <c r="JRO45" s="318" t="s">
        <v>3319</v>
      </c>
      <c r="JRP45" s="319" t="s">
        <v>3320</v>
      </c>
      <c r="JRQ45" s="318" t="s">
        <v>3319</v>
      </c>
      <c r="JRR45" s="319" t="s">
        <v>3320</v>
      </c>
      <c r="JRS45" s="318" t="s">
        <v>3319</v>
      </c>
      <c r="JRT45" s="319" t="s">
        <v>3320</v>
      </c>
      <c r="JRU45" s="318" t="s">
        <v>3319</v>
      </c>
      <c r="JRV45" s="319" t="s">
        <v>3320</v>
      </c>
      <c r="JRW45" s="318" t="s">
        <v>3319</v>
      </c>
      <c r="JRX45" s="319" t="s">
        <v>3320</v>
      </c>
      <c r="JRY45" s="318" t="s">
        <v>3319</v>
      </c>
      <c r="JRZ45" s="319" t="s">
        <v>3320</v>
      </c>
      <c r="JSA45" s="318" t="s">
        <v>3319</v>
      </c>
      <c r="JSB45" s="319" t="s">
        <v>3320</v>
      </c>
      <c r="JSC45" s="318" t="s">
        <v>3319</v>
      </c>
      <c r="JSD45" s="319" t="s">
        <v>3320</v>
      </c>
      <c r="JSE45" s="318" t="s">
        <v>3319</v>
      </c>
      <c r="JSF45" s="319" t="s">
        <v>3320</v>
      </c>
      <c r="JSG45" s="318" t="s">
        <v>3319</v>
      </c>
      <c r="JSH45" s="319" t="s">
        <v>3320</v>
      </c>
      <c r="JSI45" s="318" t="s">
        <v>3319</v>
      </c>
      <c r="JSJ45" s="319" t="s">
        <v>3320</v>
      </c>
      <c r="JSK45" s="318" t="s">
        <v>3319</v>
      </c>
      <c r="JSL45" s="319" t="s">
        <v>3320</v>
      </c>
      <c r="JSM45" s="318" t="s">
        <v>3319</v>
      </c>
      <c r="JSN45" s="319" t="s">
        <v>3320</v>
      </c>
      <c r="JSO45" s="318" t="s">
        <v>3319</v>
      </c>
      <c r="JSP45" s="319" t="s">
        <v>3320</v>
      </c>
      <c r="JSQ45" s="318" t="s">
        <v>3319</v>
      </c>
      <c r="JSR45" s="319" t="s">
        <v>3320</v>
      </c>
      <c r="JSS45" s="318" t="s">
        <v>3319</v>
      </c>
      <c r="JST45" s="319" t="s">
        <v>3320</v>
      </c>
      <c r="JSU45" s="318" t="s">
        <v>3319</v>
      </c>
      <c r="JSV45" s="319" t="s">
        <v>3320</v>
      </c>
      <c r="JSW45" s="318" t="s">
        <v>3319</v>
      </c>
      <c r="JSX45" s="319" t="s">
        <v>3320</v>
      </c>
      <c r="JSY45" s="318" t="s">
        <v>3319</v>
      </c>
      <c r="JSZ45" s="319" t="s">
        <v>3320</v>
      </c>
      <c r="JTA45" s="318" t="s">
        <v>3319</v>
      </c>
      <c r="JTB45" s="319" t="s">
        <v>3320</v>
      </c>
      <c r="JTC45" s="318" t="s">
        <v>3319</v>
      </c>
      <c r="JTD45" s="319" t="s">
        <v>3320</v>
      </c>
      <c r="JTE45" s="318" t="s">
        <v>3319</v>
      </c>
      <c r="JTF45" s="319" t="s">
        <v>3320</v>
      </c>
      <c r="JTG45" s="318" t="s">
        <v>3319</v>
      </c>
      <c r="JTH45" s="319" t="s">
        <v>3320</v>
      </c>
      <c r="JTI45" s="318" t="s">
        <v>3319</v>
      </c>
      <c r="JTJ45" s="319" t="s">
        <v>3320</v>
      </c>
      <c r="JTK45" s="318" t="s">
        <v>3319</v>
      </c>
      <c r="JTL45" s="319" t="s">
        <v>3320</v>
      </c>
      <c r="JTM45" s="318" t="s">
        <v>3319</v>
      </c>
      <c r="JTN45" s="319" t="s">
        <v>3320</v>
      </c>
      <c r="JTO45" s="318" t="s">
        <v>3319</v>
      </c>
      <c r="JTP45" s="319" t="s">
        <v>3320</v>
      </c>
      <c r="JTQ45" s="318" t="s">
        <v>3319</v>
      </c>
      <c r="JTR45" s="319" t="s">
        <v>3320</v>
      </c>
      <c r="JTS45" s="318" t="s">
        <v>3319</v>
      </c>
      <c r="JTT45" s="319" t="s">
        <v>3320</v>
      </c>
      <c r="JTU45" s="318" t="s">
        <v>3319</v>
      </c>
      <c r="JTV45" s="319" t="s">
        <v>3320</v>
      </c>
      <c r="JTW45" s="318" t="s">
        <v>3319</v>
      </c>
      <c r="JTX45" s="319" t="s">
        <v>3320</v>
      </c>
      <c r="JTY45" s="318" t="s">
        <v>3319</v>
      </c>
      <c r="JTZ45" s="319" t="s">
        <v>3320</v>
      </c>
      <c r="JUA45" s="318" t="s">
        <v>3319</v>
      </c>
      <c r="JUB45" s="319" t="s">
        <v>3320</v>
      </c>
      <c r="JUC45" s="318" t="s">
        <v>3319</v>
      </c>
      <c r="JUD45" s="319" t="s">
        <v>3320</v>
      </c>
      <c r="JUE45" s="318" t="s">
        <v>3319</v>
      </c>
      <c r="JUF45" s="319" t="s">
        <v>3320</v>
      </c>
      <c r="JUG45" s="318" t="s">
        <v>3319</v>
      </c>
      <c r="JUH45" s="319" t="s">
        <v>3320</v>
      </c>
      <c r="JUI45" s="318" t="s">
        <v>3319</v>
      </c>
      <c r="JUJ45" s="319" t="s">
        <v>3320</v>
      </c>
      <c r="JUK45" s="318" t="s">
        <v>3319</v>
      </c>
      <c r="JUL45" s="319" t="s">
        <v>3320</v>
      </c>
      <c r="JUM45" s="318" t="s">
        <v>3319</v>
      </c>
      <c r="JUN45" s="319" t="s">
        <v>3320</v>
      </c>
      <c r="JUO45" s="318" t="s">
        <v>3319</v>
      </c>
      <c r="JUP45" s="319" t="s">
        <v>3320</v>
      </c>
      <c r="JUQ45" s="318" t="s">
        <v>3319</v>
      </c>
      <c r="JUR45" s="319" t="s">
        <v>3320</v>
      </c>
      <c r="JUS45" s="318" t="s">
        <v>3319</v>
      </c>
      <c r="JUT45" s="319" t="s">
        <v>3320</v>
      </c>
      <c r="JUU45" s="318" t="s">
        <v>3319</v>
      </c>
      <c r="JUV45" s="319" t="s">
        <v>3320</v>
      </c>
      <c r="JUW45" s="318" t="s">
        <v>3319</v>
      </c>
      <c r="JUX45" s="319" t="s">
        <v>3320</v>
      </c>
      <c r="JUY45" s="318" t="s">
        <v>3319</v>
      </c>
      <c r="JUZ45" s="319" t="s">
        <v>3320</v>
      </c>
      <c r="JVA45" s="318" t="s">
        <v>3319</v>
      </c>
      <c r="JVB45" s="319" t="s">
        <v>3320</v>
      </c>
      <c r="JVC45" s="318" t="s">
        <v>3319</v>
      </c>
      <c r="JVD45" s="319" t="s">
        <v>3320</v>
      </c>
      <c r="JVE45" s="318" t="s">
        <v>3319</v>
      </c>
      <c r="JVF45" s="319" t="s">
        <v>3320</v>
      </c>
      <c r="JVG45" s="318" t="s">
        <v>3319</v>
      </c>
      <c r="JVH45" s="319" t="s">
        <v>3320</v>
      </c>
      <c r="JVI45" s="318" t="s">
        <v>3319</v>
      </c>
      <c r="JVJ45" s="319" t="s">
        <v>3320</v>
      </c>
      <c r="JVK45" s="318" t="s">
        <v>3319</v>
      </c>
      <c r="JVL45" s="319" t="s">
        <v>3320</v>
      </c>
      <c r="JVM45" s="318" t="s">
        <v>3319</v>
      </c>
      <c r="JVN45" s="319" t="s">
        <v>3320</v>
      </c>
      <c r="JVO45" s="318" t="s">
        <v>3319</v>
      </c>
      <c r="JVP45" s="319" t="s">
        <v>3320</v>
      </c>
      <c r="JVQ45" s="318" t="s">
        <v>3319</v>
      </c>
      <c r="JVR45" s="319" t="s">
        <v>3320</v>
      </c>
      <c r="JVS45" s="318" t="s">
        <v>3319</v>
      </c>
      <c r="JVT45" s="319" t="s">
        <v>3320</v>
      </c>
      <c r="JVU45" s="318" t="s">
        <v>3319</v>
      </c>
      <c r="JVV45" s="319" t="s">
        <v>3320</v>
      </c>
      <c r="JVW45" s="318" t="s">
        <v>3319</v>
      </c>
      <c r="JVX45" s="319" t="s">
        <v>3320</v>
      </c>
      <c r="JVY45" s="318" t="s">
        <v>3319</v>
      </c>
      <c r="JVZ45" s="319" t="s">
        <v>3320</v>
      </c>
      <c r="JWA45" s="318" t="s">
        <v>3319</v>
      </c>
      <c r="JWB45" s="319" t="s">
        <v>3320</v>
      </c>
      <c r="JWC45" s="318" t="s">
        <v>3319</v>
      </c>
      <c r="JWD45" s="319" t="s">
        <v>3320</v>
      </c>
      <c r="JWE45" s="318" t="s">
        <v>3319</v>
      </c>
      <c r="JWF45" s="319" t="s">
        <v>3320</v>
      </c>
      <c r="JWG45" s="318" t="s">
        <v>3319</v>
      </c>
      <c r="JWH45" s="319" t="s">
        <v>3320</v>
      </c>
      <c r="JWI45" s="318" t="s">
        <v>3319</v>
      </c>
      <c r="JWJ45" s="319" t="s">
        <v>3320</v>
      </c>
      <c r="JWK45" s="318" t="s">
        <v>3319</v>
      </c>
      <c r="JWL45" s="319" t="s">
        <v>3320</v>
      </c>
      <c r="JWM45" s="318" t="s">
        <v>3319</v>
      </c>
      <c r="JWN45" s="319" t="s">
        <v>3320</v>
      </c>
      <c r="JWO45" s="318" t="s">
        <v>3319</v>
      </c>
      <c r="JWP45" s="319" t="s">
        <v>3320</v>
      </c>
      <c r="JWQ45" s="318" t="s">
        <v>3319</v>
      </c>
      <c r="JWR45" s="319" t="s">
        <v>3320</v>
      </c>
      <c r="JWS45" s="318" t="s">
        <v>3319</v>
      </c>
      <c r="JWT45" s="319" t="s">
        <v>3320</v>
      </c>
      <c r="JWU45" s="318" t="s">
        <v>3319</v>
      </c>
      <c r="JWV45" s="319" t="s">
        <v>3320</v>
      </c>
      <c r="JWW45" s="318" t="s">
        <v>3319</v>
      </c>
      <c r="JWX45" s="319" t="s">
        <v>3320</v>
      </c>
      <c r="JWY45" s="318" t="s">
        <v>3319</v>
      </c>
      <c r="JWZ45" s="319" t="s">
        <v>3320</v>
      </c>
      <c r="JXA45" s="318" t="s">
        <v>3319</v>
      </c>
      <c r="JXB45" s="319" t="s">
        <v>3320</v>
      </c>
      <c r="JXC45" s="318" t="s">
        <v>3319</v>
      </c>
      <c r="JXD45" s="319" t="s">
        <v>3320</v>
      </c>
      <c r="JXE45" s="318" t="s">
        <v>3319</v>
      </c>
      <c r="JXF45" s="319" t="s">
        <v>3320</v>
      </c>
      <c r="JXG45" s="318" t="s">
        <v>3319</v>
      </c>
      <c r="JXH45" s="319" t="s">
        <v>3320</v>
      </c>
      <c r="JXI45" s="318" t="s">
        <v>3319</v>
      </c>
      <c r="JXJ45" s="319" t="s">
        <v>3320</v>
      </c>
      <c r="JXK45" s="318" t="s">
        <v>3319</v>
      </c>
      <c r="JXL45" s="319" t="s">
        <v>3320</v>
      </c>
      <c r="JXM45" s="318" t="s">
        <v>3319</v>
      </c>
      <c r="JXN45" s="319" t="s">
        <v>3320</v>
      </c>
      <c r="JXO45" s="318" t="s">
        <v>3319</v>
      </c>
      <c r="JXP45" s="319" t="s">
        <v>3320</v>
      </c>
      <c r="JXQ45" s="318" t="s">
        <v>3319</v>
      </c>
      <c r="JXR45" s="319" t="s">
        <v>3320</v>
      </c>
      <c r="JXS45" s="318" t="s">
        <v>3319</v>
      </c>
      <c r="JXT45" s="319" t="s">
        <v>3320</v>
      </c>
      <c r="JXU45" s="318" t="s">
        <v>3319</v>
      </c>
      <c r="JXV45" s="319" t="s">
        <v>3320</v>
      </c>
      <c r="JXW45" s="318" t="s">
        <v>3319</v>
      </c>
      <c r="JXX45" s="319" t="s">
        <v>3320</v>
      </c>
      <c r="JXY45" s="318" t="s">
        <v>3319</v>
      </c>
      <c r="JXZ45" s="319" t="s">
        <v>3320</v>
      </c>
      <c r="JYA45" s="318" t="s">
        <v>3319</v>
      </c>
      <c r="JYB45" s="319" t="s">
        <v>3320</v>
      </c>
      <c r="JYC45" s="318" t="s">
        <v>3319</v>
      </c>
      <c r="JYD45" s="319" t="s">
        <v>3320</v>
      </c>
      <c r="JYE45" s="318" t="s">
        <v>3319</v>
      </c>
      <c r="JYF45" s="319" t="s">
        <v>3320</v>
      </c>
      <c r="JYG45" s="318" t="s">
        <v>3319</v>
      </c>
      <c r="JYH45" s="319" t="s">
        <v>3320</v>
      </c>
      <c r="JYI45" s="318" t="s">
        <v>3319</v>
      </c>
      <c r="JYJ45" s="319" t="s">
        <v>3320</v>
      </c>
      <c r="JYK45" s="318" t="s">
        <v>3319</v>
      </c>
      <c r="JYL45" s="319" t="s">
        <v>3320</v>
      </c>
      <c r="JYM45" s="318" t="s">
        <v>3319</v>
      </c>
      <c r="JYN45" s="319" t="s">
        <v>3320</v>
      </c>
      <c r="JYO45" s="318" t="s">
        <v>3319</v>
      </c>
      <c r="JYP45" s="319" t="s">
        <v>3320</v>
      </c>
      <c r="JYQ45" s="318" t="s">
        <v>3319</v>
      </c>
      <c r="JYR45" s="319" t="s">
        <v>3320</v>
      </c>
      <c r="JYS45" s="318" t="s">
        <v>3319</v>
      </c>
      <c r="JYT45" s="319" t="s">
        <v>3320</v>
      </c>
      <c r="JYU45" s="318" t="s">
        <v>3319</v>
      </c>
      <c r="JYV45" s="319" t="s">
        <v>3320</v>
      </c>
      <c r="JYW45" s="318" t="s">
        <v>3319</v>
      </c>
      <c r="JYX45" s="319" t="s">
        <v>3320</v>
      </c>
      <c r="JYY45" s="318" t="s">
        <v>3319</v>
      </c>
      <c r="JYZ45" s="319" t="s">
        <v>3320</v>
      </c>
      <c r="JZA45" s="318" t="s">
        <v>3319</v>
      </c>
      <c r="JZB45" s="319" t="s">
        <v>3320</v>
      </c>
      <c r="JZC45" s="318" t="s">
        <v>3319</v>
      </c>
      <c r="JZD45" s="319" t="s">
        <v>3320</v>
      </c>
      <c r="JZE45" s="318" t="s">
        <v>3319</v>
      </c>
      <c r="JZF45" s="319" t="s">
        <v>3320</v>
      </c>
      <c r="JZG45" s="318" t="s">
        <v>3319</v>
      </c>
      <c r="JZH45" s="319" t="s">
        <v>3320</v>
      </c>
      <c r="JZI45" s="318" t="s">
        <v>3319</v>
      </c>
      <c r="JZJ45" s="319" t="s">
        <v>3320</v>
      </c>
      <c r="JZK45" s="318" t="s">
        <v>3319</v>
      </c>
      <c r="JZL45" s="319" t="s">
        <v>3320</v>
      </c>
      <c r="JZM45" s="318" t="s">
        <v>3319</v>
      </c>
      <c r="JZN45" s="319" t="s">
        <v>3320</v>
      </c>
      <c r="JZO45" s="318" t="s">
        <v>3319</v>
      </c>
      <c r="JZP45" s="319" t="s">
        <v>3320</v>
      </c>
      <c r="JZQ45" s="318" t="s">
        <v>3319</v>
      </c>
      <c r="JZR45" s="319" t="s">
        <v>3320</v>
      </c>
      <c r="JZS45" s="318" t="s">
        <v>3319</v>
      </c>
      <c r="JZT45" s="319" t="s">
        <v>3320</v>
      </c>
      <c r="JZU45" s="318" t="s">
        <v>3319</v>
      </c>
      <c r="JZV45" s="319" t="s">
        <v>3320</v>
      </c>
      <c r="JZW45" s="318" t="s">
        <v>3319</v>
      </c>
      <c r="JZX45" s="319" t="s">
        <v>3320</v>
      </c>
      <c r="JZY45" s="318" t="s">
        <v>3319</v>
      </c>
      <c r="JZZ45" s="319" t="s">
        <v>3320</v>
      </c>
      <c r="KAA45" s="318" t="s">
        <v>3319</v>
      </c>
      <c r="KAB45" s="319" t="s">
        <v>3320</v>
      </c>
      <c r="KAC45" s="318" t="s">
        <v>3319</v>
      </c>
      <c r="KAD45" s="319" t="s">
        <v>3320</v>
      </c>
      <c r="KAE45" s="318" t="s">
        <v>3319</v>
      </c>
      <c r="KAF45" s="319" t="s">
        <v>3320</v>
      </c>
      <c r="KAG45" s="318" t="s">
        <v>3319</v>
      </c>
      <c r="KAH45" s="319" t="s">
        <v>3320</v>
      </c>
      <c r="KAI45" s="318" t="s">
        <v>3319</v>
      </c>
      <c r="KAJ45" s="319" t="s">
        <v>3320</v>
      </c>
      <c r="KAK45" s="318" t="s">
        <v>3319</v>
      </c>
      <c r="KAL45" s="319" t="s">
        <v>3320</v>
      </c>
      <c r="KAM45" s="318" t="s">
        <v>3319</v>
      </c>
      <c r="KAN45" s="319" t="s">
        <v>3320</v>
      </c>
      <c r="KAO45" s="318" t="s">
        <v>3319</v>
      </c>
      <c r="KAP45" s="319" t="s">
        <v>3320</v>
      </c>
      <c r="KAQ45" s="318" t="s">
        <v>3319</v>
      </c>
      <c r="KAR45" s="319" t="s">
        <v>3320</v>
      </c>
      <c r="KAS45" s="318" t="s">
        <v>3319</v>
      </c>
      <c r="KAT45" s="319" t="s">
        <v>3320</v>
      </c>
      <c r="KAU45" s="318" t="s">
        <v>3319</v>
      </c>
      <c r="KAV45" s="319" t="s">
        <v>3320</v>
      </c>
      <c r="KAW45" s="318" t="s">
        <v>3319</v>
      </c>
      <c r="KAX45" s="319" t="s">
        <v>3320</v>
      </c>
      <c r="KAY45" s="318" t="s">
        <v>3319</v>
      </c>
      <c r="KAZ45" s="319" t="s">
        <v>3320</v>
      </c>
      <c r="KBA45" s="318" t="s">
        <v>3319</v>
      </c>
      <c r="KBB45" s="319" t="s">
        <v>3320</v>
      </c>
      <c r="KBC45" s="318" t="s">
        <v>3319</v>
      </c>
      <c r="KBD45" s="319" t="s">
        <v>3320</v>
      </c>
      <c r="KBE45" s="318" t="s">
        <v>3319</v>
      </c>
      <c r="KBF45" s="319" t="s">
        <v>3320</v>
      </c>
      <c r="KBG45" s="318" t="s">
        <v>3319</v>
      </c>
      <c r="KBH45" s="319" t="s">
        <v>3320</v>
      </c>
      <c r="KBI45" s="318" t="s">
        <v>3319</v>
      </c>
      <c r="KBJ45" s="319" t="s">
        <v>3320</v>
      </c>
      <c r="KBK45" s="318" t="s">
        <v>3319</v>
      </c>
      <c r="KBL45" s="319" t="s">
        <v>3320</v>
      </c>
      <c r="KBM45" s="318" t="s">
        <v>3319</v>
      </c>
      <c r="KBN45" s="319" t="s">
        <v>3320</v>
      </c>
      <c r="KBO45" s="318" t="s">
        <v>3319</v>
      </c>
      <c r="KBP45" s="319" t="s">
        <v>3320</v>
      </c>
      <c r="KBQ45" s="318" t="s">
        <v>3319</v>
      </c>
      <c r="KBR45" s="319" t="s">
        <v>3320</v>
      </c>
      <c r="KBS45" s="318" t="s">
        <v>3319</v>
      </c>
      <c r="KBT45" s="319" t="s">
        <v>3320</v>
      </c>
      <c r="KBU45" s="318" t="s">
        <v>3319</v>
      </c>
      <c r="KBV45" s="319" t="s">
        <v>3320</v>
      </c>
      <c r="KBW45" s="318" t="s">
        <v>3319</v>
      </c>
      <c r="KBX45" s="319" t="s">
        <v>3320</v>
      </c>
      <c r="KBY45" s="318" t="s">
        <v>3319</v>
      </c>
      <c r="KBZ45" s="319" t="s">
        <v>3320</v>
      </c>
      <c r="KCA45" s="318" t="s">
        <v>3319</v>
      </c>
      <c r="KCB45" s="319" t="s">
        <v>3320</v>
      </c>
      <c r="KCC45" s="318" t="s">
        <v>3319</v>
      </c>
      <c r="KCD45" s="319" t="s">
        <v>3320</v>
      </c>
      <c r="KCE45" s="318" t="s">
        <v>3319</v>
      </c>
      <c r="KCF45" s="319" t="s">
        <v>3320</v>
      </c>
      <c r="KCG45" s="318" t="s">
        <v>3319</v>
      </c>
      <c r="KCH45" s="319" t="s">
        <v>3320</v>
      </c>
      <c r="KCI45" s="318" t="s">
        <v>3319</v>
      </c>
      <c r="KCJ45" s="319" t="s">
        <v>3320</v>
      </c>
      <c r="KCK45" s="318" t="s">
        <v>3319</v>
      </c>
      <c r="KCL45" s="319" t="s">
        <v>3320</v>
      </c>
      <c r="KCM45" s="318" t="s">
        <v>3319</v>
      </c>
      <c r="KCN45" s="319" t="s">
        <v>3320</v>
      </c>
      <c r="KCO45" s="318" t="s">
        <v>3319</v>
      </c>
      <c r="KCP45" s="319" t="s">
        <v>3320</v>
      </c>
      <c r="KCQ45" s="318" t="s">
        <v>3319</v>
      </c>
      <c r="KCR45" s="319" t="s">
        <v>3320</v>
      </c>
      <c r="KCS45" s="318" t="s">
        <v>3319</v>
      </c>
      <c r="KCT45" s="319" t="s">
        <v>3320</v>
      </c>
      <c r="KCU45" s="318" t="s">
        <v>3319</v>
      </c>
      <c r="KCV45" s="319" t="s">
        <v>3320</v>
      </c>
      <c r="KCW45" s="318" t="s">
        <v>3319</v>
      </c>
      <c r="KCX45" s="319" t="s">
        <v>3320</v>
      </c>
      <c r="KCY45" s="318" t="s">
        <v>3319</v>
      </c>
      <c r="KCZ45" s="319" t="s">
        <v>3320</v>
      </c>
      <c r="KDA45" s="318" t="s">
        <v>3319</v>
      </c>
      <c r="KDB45" s="319" t="s">
        <v>3320</v>
      </c>
      <c r="KDC45" s="318" t="s">
        <v>3319</v>
      </c>
      <c r="KDD45" s="319" t="s">
        <v>3320</v>
      </c>
      <c r="KDE45" s="318" t="s">
        <v>3319</v>
      </c>
      <c r="KDF45" s="319" t="s">
        <v>3320</v>
      </c>
      <c r="KDG45" s="318" t="s">
        <v>3319</v>
      </c>
      <c r="KDH45" s="319" t="s">
        <v>3320</v>
      </c>
      <c r="KDI45" s="318" t="s">
        <v>3319</v>
      </c>
      <c r="KDJ45" s="319" t="s">
        <v>3320</v>
      </c>
      <c r="KDK45" s="318" t="s">
        <v>3319</v>
      </c>
      <c r="KDL45" s="319" t="s">
        <v>3320</v>
      </c>
      <c r="KDM45" s="318" t="s">
        <v>3319</v>
      </c>
      <c r="KDN45" s="319" t="s">
        <v>3320</v>
      </c>
      <c r="KDO45" s="318" t="s">
        <v>3319</v>
      </c>
      <c r="KDP45" s="319" t="s">
        <v>3320</v>
      </c>
      <c r="KDQ45" s="318" t="s">
        <v>3319</v>
      </c>
      <c r="KDR45" s="319" t="s">
        <v>3320</v>
      </c>
      <c r="KDS45" s="318" t="s">
        <v>3319</v>
      </c>
      <c r="KDT45" s="319" t="s">
        <v>3320</v>
      </c>
      <c r="KDU45" s="318" t="s">
        <v>3319</v>
      </c>
      <c r="KDV45" s="319" t="s">
        <v>3320</v>
      </c>
      <c r="KDW45" s="318" t="s">
        <v>3319</v>
      </c>
      <c r="KDX45" s="319" t="s">
        <v>3320</v>
      </c>
      <c r="KDY45" s="318" t="s">
        <v>3319</v>
      </c>
      <c r="KDZ45" s="319" t="s">
        <v>3320</v>
      </c>
      <c r="KEA45" s="318" t="s">
        <v>3319</v>
      </c>
      <c r="KEB45" s="319" t="s">
        <v>3320</v>
      </c>
      <c r="KEC45" s="318" t="s">
        <v>3319</v>
      </c>
      <c r="KED45" s="319" t="s">
        <v>3320</v>
      </c>
      <c r="KEE45" s="318" t="s">
        <v>3319</v>
      </c>
      <c r="KEF45" s="319" t="s">
        <v>3320</v>
      </c>
      <c r="KEG45" s="318" t="s">
        <v>3319</v>
      </c>
      <c r="KEH45" s="319" t="s">
        <v>3320</v>
      </c>
      <c r="KEI45" s="318" t="s">
        <v>3319</v>
      </c>
      <c r="KEJ45" s="319" t="s">
        <v>3320</v>
      </c>
      <c r="KEK45" s="318" t="s">
        <v>3319</v>
      </c>
      <c r="KEL45" s="319" t="s">
        <v>3320</v>
      </c>
      <c r="KEM45" s="318" t="s">
        <v>3319</v>
      </c>
      <c r="KEN45" s="319" t="s">
        <v>3320</v>
      </c>
      <c r="KEO45" s="318" t="s">
        <v>3319</v>
      </c>
      <c r="KEP45" s="319" t="s">
        <v>3320</v>
      </c>
      <c r="KEQ45" s="318" t="s">
        <v>3319</v>
      </c>
      <c r="KER45" s="319" t="s">
        <v>3320</v>
      </c>
      <c r="KES45" s="318" t="s">
        <v>3319</v>
      </c>
      <c r="KET45" s="319" t="s">
        <v>3320</v>
      </c>
      <c r="KEU45" s="318" t="s">
        <v>3319</v>
      </c>
      <c r="KEV45" s="319" t="s">
        <v>3320</v>
      </c>
      <c r="KEW45" s="318" t="s">
        <v>3319</v>
      </c>
      <c r="KEX45" s="319" t="s">
        <v>3320</v>
      </c>
      <c r="KEY45" s="318" t="s">
        <v>3319</v>
      </c>
      <c r="KEZ45" s="319" t="s">
        <v>3320</v>
      </c>
      <c r="KFA45" s="318" t="s">
        <v>3319</v>
      </c>
      <c r="KFB45" s="319" t="s">
        <v>3320</v>
      </c>
      <c r="KFC45" s="318" t="s">
        <v>3319</v>
      </c>
      <c r="KFD45" s="319" t="s">
        <v>3320</v>
      </c>
      <c r="KFE45" s="318" t="s">
        <v>3319</v>
      </c>
      <c r="KFF45" s="319" t="s">
        <v>3320</v>
      </c>
      <c r="KFG45" s="318" t="s">
        <v>3319</v>
      </c>
      <c r="KFH45" s="319" t="s">
        <v>3320</v>
      </c>
      <c r="KFI45" s="318" t="s">
        <v>3319</v>
      </c>
      <c r="KFJ45" s="319" t="s">
        <v>3320</v>
      </c>
      <c r="KFK45" s="318" t="s">
        <v>3319</v>
      </c>
      <c r="KFL45" s="319" t="s">
        <v>3320</v>
      </c>
      <c r="KFM45" s="318" t="s">
        <v>3319</v>
      </c>
      <c r="KFN45" s="319" t="s">
        <v>3320</v>
      </c>
      <c r="KFO45" s="318" t="s">
        <v>3319</v>
      </c>
      <c r="KFP45" s="319" t="s">
        <v>3320</v>
      </c>
      <c r="KFQ45" s="318" t="s">
        <v>3319</v>
      </c>
      <c r="KFR45" s="319" t="s">
        <v>3320</v>
      </c>
      <c r="KFS45" s="318" t="s">
        <v>3319</v>
      </c>
      <c r="KFT45" s="319" t="s">
        <v>3320</v>
      </c>
      <c r="KFU45" s="318" t="s">
        <v>3319</v>
      </c>
      <c r="KFV45" s="319" t="s">
        <v>3320</v>
      </c>
      <c r="KFW45" s="318" t="s">
        <v>3319</v>
      </c>
      <c r="KFX45" s="319" t="s">
        <v>3320</v>
      </c>
      <c r="KFY45" s="318" t="s">
        <v>3319</v>
      </c>
      <c r="KFZ45" s="319" t="s">
        <v>3320</v>
      </c>
      <c r="KGA45" s="318" t="s">
        <v>3319</v>
      </c>
      <c r="KGB45" s="319" t="s">
        <v>3320</v>
      </c>
      <c r="KGC45" s="318" t="s">
        <v>3319</v>
      </c>
      <c r="KGD45" s="319" t="s">
        <v>3320</v>
      </c>
      <c r="KGE45" s="318" t="s">
        <v>3319</v>
      </c>
      <c r="KGF45" s="319" t="s">
        <v>3320</v>
      </c>
      <c r="KGG45" s="318" t="s">
        <v>3319</v>
      </c>
      <c r="KGH45" s="319" t="s">
        <v>3320</v>
      </c>
      <c r="KGI45" s="318" t="s">
        <v>3319</v>
      </c>
      <c r="KGJ45" s="319" t="s">
        <v>3320</v>
      </c>
      <c r="KGK45" s="318" t="s">
        <v>3319</v>
      </c>
      <c r="KGL45" s="319" t="s">
        <v>3320</v>
      </c>
      <c r="KGM45" s="318" t="s">
        <v>3319</v>
      </c>
      <c r="KGN45" s="319" t="s">
        <v>3320</v>
      </c>
      <c r="KGO45" s="318" t="s">
        <v>3319</v>
      </c>
      <c r="KGP45" s="319" t="s">
        <v>3320</v>
      </c>
      <c r="KGQ45" s="318" t="s">
        <v>3319</v>
      </c>
      <c r="KGR45" s="319" t="s">
        <v>3320</v>
      </c>
      <c r="KGS45" s="318" t="s">
        <v>3319</v>
      </c>
      <c r="KGT45" s="319" t="s">
        <v>3320</v>
      </c>
      <c r="KGU45" s="318" t="s">
        <v>3319</v>
      </c>
      <c r="KGV45" s="319" t="s">
        <v>3320</v>
      </c>
      <c r="KGW45" s="318" t="s">
        <v>3319</v>
      </c>
      <c r="KGX45" s="319" t="s">
        <v>3320</v>
      </c>
      <c r="KGY45" s="318" t="s">
        <v>3319</v>
      </c>
      <c r="KGZ45" s="319" t="s">
        <v>3320</v>
      </c>
      <c r="KHA45" s="318" t="s">
        <v>3319</v>
      </c>
      <c r="KHB45" s="319" t="s">
        <v>3320</v>
      </c>
      <c r="KHC45" s="318" t="s">
        <v>3319</v>
      </c>
      <c r="KHD45" s="319" t="s">
        <v>3320</v>
      </c>
      <c r="KHE45" s="318" t="s">
        <v>3319</v>
      </c>
      <c r="KHF45" s="319" t="s">
        <v>3320</v>
      </c>
      <c r="KHG45" s="318" t="s">
        <v>3319</v>
      </c>
      <c r="KHH45" s="319" t="s">
        <v>3320</v>
      </c>
      <c r="KHI45" s="318" t="s">
        <v>3319</v>
      </c>
      <c r="KHJ45" s="319" t="s">
        <v>3320</v>
      </c>
      <c r="KHK45" s="318" t="s">
        <v>3319</v>
      </c>
      <c r="KHL45" s="319" t="s">
        <v>3320</v>
      </c>
      <c r="KHM45" s="318" t="s">
        <v>3319</v>
      </c>
      <c r="KHN45" s="319" t="s">
        <v>3320</v>
      </c>
      <c r="KHO45" s="318" t="s">
        <v>3319</v>
      </c>
      <c r="KHP45" s="319" t="s">
        <v>3320</v>
      </c>
      <c r="KHQ45" s="318" t="s">
        <v>3319</v>
      </c>
      <c r="KHR45" s="319" t="s">
        <v>3320</v>
      </c>
      <c r="KHS45" s="318" t="s">
        <v>3319</v>
      </c>
      <c r="KHT45" s="319" t="s">
        <v>3320</v>
      </c>
      <c r="KHU45" s="318" t="s">
        <v>3319</v>
      </c>
      <c r="KHV45" s="319" t="s">
        <v>3320</v>
      </c>
      <c r="KHW45" s="318" t="s">
        <v>3319</v>
      </c>
      <c r="KHX45" s="319" t="s">
        <v>3320</v>
      </c>
      <c r="KHY45" s="318" t="s">
        <v>3319</v>
      </c>
      <c r="KHZ45" s="319" t="s">
        <v>3320</v>
      </c>
      <c r="KIA45" s="318" t="s">
        <v>3319</v>
      </c>
      <c r="KIB45" s="319" t="s">
        <v>3320</v>
      </c>
      <c r="KIC45" s="318" t="s">
        <v>3319</v>
      </c>
      <c r="KID45" s="319" t="s">
        <v>3320</v>
      </c>
      <c r="KIE45" s="318" t="s">
        <v>3319</v>
      </c>
      <c r="KIF45" s="319" t="s">
        <v>3320</v>
      </c>
      <c r="KIG45" s="318" t="s">
        <v>3319</v>
      </c>
      <c r="KIH45" s="319" t="s">
        <v>3320</v>
      </c>
      <c r="KII45" s="318" t="s">
        <v>3319</v>
      </c>
      <c r="KIJ45" s="319" t="s">
        <v>3320</v>
      </c>
      <c r="KIK45" s="318" t="s">
        <v>3319</v>
      </c>
      <c r="KIL45" s="319" t="s">
        <v>3320</v>
      </c>
      <c r="KIM45" s="318" t="s">
        <v>3319</v>
      </c>
      <c r="KIN45" s="319" t="s">
        <v>3320</v>
      </c>
      <c r="KIO45" s="318" t="s">
        <v>3319</v>
      </c>
      <c r="KIP45" s="319" t="s">
        <v>3320</v>
      </c>
      <c r="KIQ45" s="318" t="s">
        <v>3319</v>
      </c>
      <c r="KIR45" s="319" t="s">
        <v>3320</v>
      </c>
      <c r="KIS45" s="318" t="s">
        <v>3319</v>
      </c>
      <c r="KIT45" s="319" t="s">
        <v>3320</v>
      </c>
      <c r="KIU45" s="318" t="s">
        <v>3319</v>
      </c>
      <c r="KIV45" s="319" t="s">
        <v>3320</v>
      </c>
      <c r="KIW45" s="318" t="s">
        <v>3319</v>
      </c>
      <c r="KIX45" s="319" t="s">
        <v>3320</v>
      </c>
      <c r="KIY45" s="318" t="s">
        <v>3319</v>
      </c>
      <c r="KIZ45" s="319" t="s">
        <v>3320</v>
      </c>
      <c r="KJA45" s="318" t="s">
        <v>3319</v>
      </c>
      <c r="KJB45" s="319" t="s">
        <v>3320</v>
      </c>
      <c r="KJC45" s="318" t="s">
        <v>3319</v>
      </c>
      <c r="KJD45" s="319" t="s">
        <v>3320</v>
      </c>
      <c r="KJE45" s="318" t="s">
        <v>3319</v>
      </c>
      <c r="KJF45" s="319" t="s">
        <v>3320</v>
      </c>
      <c r="KJG45" s="318" t="s">
        <v>3319</v>
      </c>
      <c r="KJH45" s="319" t="s">
        <v>3320</v>
      </c>
      <c r="KJI45" s="318" t="s">
        <v>3319</v>
      </c>
      <c r="KJJ45" s="319" t="s">
        <v>3320</v>
      </c>
      <c r="KJK45" s="318" t="s">
        <v>3319</v>
      </c>
      <c r="KJL45" s="319" t="s">
        <v>3320</v>
      </c>
      <c r="KJM45" s="318" t="s">
        <v>3319</v>
      </c>
      <c r="KJN45" s="319" t="s">
        <v>3320</v>
      </c>
      <c r="KJO45" s="318" t="s">
        <v>3319</v>
      </c>
      <c r="KJP45" s="319" t="s">
        <v>3320</v>
      </c>
      <c r="KJQ45" s="318" t="s">
        <v>3319</v>
      </c>
      <c r="KJR45" s="319" t="s">
        <v>3320</v>
      </c>
      <c r="KJS45" s="318" t="s">
        <v>3319</v>
      </c>
      <c r="KJT45" s="319" t="s">
        <v>3320</v>
      </c>
      <c r="KJU45" s="318" t="s">
        <v>3319</v>
      </c>
      <c r="KJV45" s="319" t="s">
        <v>3320</v>
      </c>
      <c r="KJW45" s="318" t="s">
        <v>3319</v>
      </c>
      <c r="KJX45" s="319" t="s">
        <v>3320</v>
      </c>
      <c r="KJY45" s="318" t="s">
        <v>3319</v>
      </c>
      <c r="KJZ45" s="319" t="s">
        <v>3320</v>
      </c>
      <c r="KKA45" s="318" t="s">
        <v>3319</v>
      </c>
      <c r="KKB45" s="319" t="s">
        <v>3320</v>
      </c>
      <c r="KKC45" s="318" t="s">
        <v>3319</v>
      </c>
      <c r="KKD45" s="319" t="s">
        <v>3320</v>
      </c>
      <c r="KKE45" s="318" t="s">
        <v>3319</v>
      </c>
      <c r="KKF45" s="319" t="s">
        <v>3320</v>
      </c>
      <c r="KKG45" s="318" t="s">
        <v>3319</v>
      </c>
      <c r="KKH45" s="319" t="s">
        <v>3320</v>
      </c>
      <c r="KKI45" s="318" t="s">
        <v>3319</v>
      </c>
      <c r="KKJ45" s="319" t="s">
        <v>3320</v>
      </c>
      <c r="KKK45" s="318" t="s">
        <v>3319</v>
      </c>
      <c r="KKL45" s="319" t="s">
        <v>3320</v>
      </c>
      <c r="KKM45" s="318" t="s">
        <v>3319</v>
      </c>
      <c r="KKN45" s="319" t="s">
        <v>3320</v>
      </c>
      <c r="KKO45" s="318" t="s">
        <v>3319</v>
      </c>
      <c r="KKP45" s="319" t="s">
        <v>3320</v>
      </c>
      <c r="KKQ45" s="318" t="s">
        <v>3319</v>
      </c>
      <c r="KKR45" s="319" t="s">
        <v>3320</v>
      </c>
      <c r="KKS45" s="318" t="s">
        <v>3319</v>
      </c>
      <c r="KKT45" s="319" t="s">
        <v>3320</v>
      </c>
      <c r="KKU45" s="318" t="s">
        <v>3319</v>
      </c>
      <c r="KKV45" s="319" t="s">
        <v>3320</v>
      </c>
      <c r="KKW45" s="318" t="s">
        <v>3319</v>
      </c>
      <c r="KKX45" s="319" t="s">
        <v>3320</v>
      </c>
      <c r="KKY45" s="318" t="s">
        <v>3319</v>
      </c>
      <c r="KKZ45" s="319" t="s">
        <v>3320</v>
      </c>
      <c r="KLA45" s="318" t="s">
        <v>3319</v>
      </c>
      <c r="KLB45" s="319" t="s">
        <v>3320</v>
      </c>
      <c r="KLC45" s="318" t="s">
        <v>3319</v>
      </c>
      <c r="KLD45" s="319" t="s">
        <v>3320</v>
      </c>
      <c r="KLE45" s="318" t="s">
        <v>3319</v>
      </c>
      <c r="KLF45" s="319" t="s">
        <v>3320</v>
      </c>
      <c r="KLG45" s="318" t="s">
        <v>3319</v>
      </c>
      <c r="KLH45" s="319" t="s">
        <v>3320</v>
      </c>
      <c r="KLI45" s="318" t="s">
        <v>3319</v>
      </c>
      <c r="KLJ45" s="319" t="s">
        <v>3320</v>
      </c>
      <c r="KLK45" s="318" t="s">
        <v>3319</v>
      </c>
      <c r="KLL45" s="319" t="s">
        <v>3320</v>
      </c>
      <c r="KLM45" s="318" t="s">
        <v>3319</v>
      </c>
      <c r="KLN45" s="319" t="s">
        <v>3320</v>
      </c>
      <c r="KLO45" s="318" t="s">
        <v>3319</v>
      </c>
      <c r="KLP45" s="319" t="s">
        <v>3320</v>
      </c>
      <c r="KLQ45" s="318" t="s">
        <v>3319</v>
      </c>
      <c r="KLR45" s="319" t="s">
        <v>3320</v>
      </c>
      <c r="KLS45" s="318" t="s">
        <v>3319</v>
      </c>
      <c r="KLT45" s="319" t="s">
        <v>3320</v>
      </c>
      <c r="KLU45" s="318" t="s">
        <v>3319</v>
      </c>
      <c r="KLV45" s="319" t="s">
        <v>3320</v>
      </c>
      <c r="KLW45" s="318" t="s">
        <v>3319</v>
      </c>
      <c r="KLX45" s="319" t="s">
        <v>3320</v>
      </c>
      <c r="KLY45" s="318" t="s">
        <v>3319</v>
      </c>
      <c r="KLZ45" s="319" t="s">
        <v>3320</v>
      </c>
      <c r="KMA45" s="318" t="s">
        <v>3319</v>
      </c>
      <c r="KMB45" s="319" t="s">
        <v>3320</v>
      </c>
      <c r="KMC45" s="318" t="s">
        <v>3319</v>
      </c>
      <c r="KMD45" s="319" t="s">
        <v>3320</v>
      </c>
      <c r="KME45" s="318" t="s">
        <v>3319</v>
      </c>
      <c r="KMF45" s="319" t="s">
        <v>3320</v>
      </c>
      <c r="KMG45" s="318" t="s">
        <v>3319</v>
      </c>
      <c r="KMH45" s="319" t="s">
        <v>3320</v>
      </c>
      <c r="KMI45" s="318" t="s">
        <v>3319</v>
      </c>
      <c r="KMJ45" s="319" t="s">
        <v>3320</v>
      </c>
      <c r="KMK45" s="318" t="s">
        <v>3319</v>
      </c>
      <c r="KML45" s="319" t="s">
        <v>3320</v>
      </c>
      <c r="KMM45" s="318" t="s">
        <v>3319</v>
      </c>
      <c r="KMN45" s="319" t="s">
        <v>3320</v>
      </c>
      <c r="KMO45" s="318" t="s">
        <v>3319</v>
      </c>
      <c r="KMP45" s="319" t="s">
        <v>3320</v>
      </c>
      <c r="KMQ45" s="318" t="s">
        <v>3319</v>
      </c>
      <c r="KMR45" s="319" t="s">
        <v>3320</v>
      </c>
      <c r="KMS45" s="318" t="s">
        <v>3319</v>
      </c>
      <c r="KMT45" s="319" t="s">
        <v>3320</v>
      </c>
      <c r="KMU45" s="318" t="s">
        <v>3319</v>
      </c>
      <c r="KMV45" s="319" t="s">
        <v>3320</v>
      </c>
      <c r="KMW45" s="318" t="s">
        <v>3319</v>
      </c>
      <c r="KMX45" s="319" t="s">
        <v>3320</v>
      </c>
      <c r="KMY45" s="318" t="s">
        <v>3319</v>
      </c>
      <c r="KMZ45" s="319" t="s">
        <v>3320</v>
      </c>
      <c r="KNA45" s="318" t="s">
        <v>3319</v>
      </c>
      <c r="KNB45" s="319" t="s">
        <v>3320</v>
      </c>
      <c r="KNC45" s="318" t="s">
        <v>3319</v>
      </c>
      <c r="KND45" s="319" t="s">
        <v>3320</v>
      </c>
      <c r="KNE45" s="318" t="s">
        <v>3319</v>
      </c>
      <c r="KNF45" s="319" t="s">
        <v>3320</v>
      </c>
      <c r="KNG45" s="318" t="s">
        <v>3319</v>
      </c>
      <c r="KNH45" s="319" t="s">
        <v>3320</v>
      </c>
      <c r="KNI45" s="318" t="s">
        <v>3319</v>
      </c>
      <c r="KNJ45" s="319" t="s">
        <v>3320</v>
      </c>
      <c r="KNK45" s="318" t="s">
        <v>3319</v>
      </c>
      <c r="KNL45" s="319" t="s">
        <v>3320</v>
      </c>
      <c r="KNM45" s="318" t="s">
        <v>3319</v>
      </c>
      <c r="KNN45" s="319" t="s">
        <v>3320</v>
      </c>
      <c r="KNO45" s="318" t="s">
        <v>3319</v>
      </c>
      <c r="KNP45" s="319" t="s">
        <v>3320</v>
      </c>
      <c r="KNQ45" s="318" t="s">
        <v>3319</v>
      </c>
      <c r="KNR45" s="319" t="s">
        <v>3320</v>
      </c>
      <c r="KNS45" s="318" t="s">
        <v>3319</v>
      </c>
      <c r="KNT45" s="319" t="s">
        <v>3320</v>
      </c>
      <c r="KNU45" s="318" t="s">
        <v>3319</v>
      </c>
      <c r="KNV45" s="319" t="s">
        <v>3320</v>
      </c>
      <c r="KNW45" s="318" t="s">
        <v>3319</v>
      </c>
      <c r="KNX45" s="319" t="s">
        <v>3320</v>
      </c>
      <c r="KNY45" s="318" t="s">
        <v>3319</v>
      </c>
      <c r="KNZ45" s="319" t="s">
        <v>3320</v>
      </c>
      <c r="KOA45" s="318" t="s">
        <v>3319</v>
      </c>
      <c r="KOB45" s="319" t="s">
        <v>3320</v>
      </c>
      <c r="KOC45" s="318" t="s">
        <v>3319</v>
      </c>
      <c r="KOD45" s="319" t="s">
        <v>3320</v>
      </c>
      <c r="KOE45" s="318" t="s">
        <v>3319</v>
      </c>
      <c r="KOF45" s="319" t="s">
        <v>3320</v>
      </c>
      <c r="KOG45" s="318" t="s">
        <v>3319</v>
      </c>
      <c r="KOH45" s="319" t="s">
        <v>3320</v>
      </c>
      <c r="KOI45" s="318" t="s">
        <v>3319</v>
      </c>
      <c r="KOJ45" s="319" t="s">
        <v>3320</v>
      </c>
      <c r="KOK45" s="318" t="s">
        <v>3319</v>
      </c>
      <c r="KOL45" s="319" t="s">
        <v>3320</v>
      </c>
      <c r="KOM45" s="318" t="s">
        <v>3319</v>
      </c>
      <c r="KON45" s="319" t="s">
        <v>3320</v>
      </c>
      <c r="KOO45" s="318" t="s">
        <v>3319</v>
      </c>
      <c r="KOP45" s="319" t="s">
        <v>3320</v>
      </c>
      <c r="KOQ45" s="318" t="s">
        <v>3319</v>
      </c>
      <c r="KOR45" s="319" t="s">
        <v>3320</v>
      </c>
      <c r="KOS45" s="318" t="s">
        <v>3319</v>
      </c>
      <c r="KOT45" s="319" t="s">
        <v>3320</v>
      </c>
      <c r="KOU45" s="318" t="s">
        <v>3319</v>
      </c>
      <c r="KOV45" s="319" t="s">
        <v>3320</v>
      </c>
      <c r="KOW45" s="318" t="s">
        <v>3319</v>
      </c>
      <c r="KOX45" s="319" t="s">
        <v>3320</v>
      </c>
      <c r="KOY45" s="318" t="s">
        <v>3319</v>
      </c>
      <c r="KOZ45" s="319" t="s">
        <v>3320</v>
      </c>
      <c r="KPA45" s="318" t="s">
        <v>3319</v>
      </c>
      <c r="KPB45" s="319" t="s">
        <v>3320</v>
      </c>
      <c r="KPC45" s="318" t="s">
        <v>3319</v>
      </c>
      <c r="KPD45" s="319" t="s">
        <v>3320</v>
      </c>
      <c r="KPE45" s="318" t="s">
        <v>3319</v>
      </c>
      <c r="KPF45" s="319" t="s">
        <v>3320</v>
      </c>
      <c r="KPG45" s="318" t="s">
        <v>3319</v>
      </c>
      <c r="KPH45" s="319" t="s">
        <v>3320</v>
      </c>
      <c r="KPI45" s="318" t="s">
        <v>3319</v>
      </c>
      <c r="KPJ45" s="319" t="s">
        <v>3320</v>
      </c>
      <c r="KPK45" s="318" t="s">
        <v>3319</v>
      </c>
      <c r="KPL45" s="319" t="s">
        <v>3320</v>
      </c>
      <c r="KPM45" s="318" t="s">
        <v>3319</v>
      </c>
      <c r="KPN45" s="319" t="s">
        <v>3320</v>
      </c>
      <c r="KPO45" s="318" t="s">
        <v>3319</v>
      </c>
      <c r="KPP45" s="319" t="s">
        <v>3320</v>
      </c>
      <c r="KPQ45" s="318" t="s">
        <v>3319</v>
      </c>
      <c r="KPR45" s="319" t="s">
        <v>3320</v>
      </c>
      <c r="KPS45" s="318" t="s">
        <v>3319</v>
      </c>
      <c r="KPT45" s="319" t="s">
        <v>3320</v>
      </c>
      <c r="KPU45" s="318" t="s">
        <v>3319</v>
      </c>
      <c r="KPV45" s="319" t="s">
        <v>3320</v>
      </c>
      <c r="KPW45" s="318" t="s">
        <v>3319</v>
      </c>
      <c r="KPX45" s="319" t="s">
        <v>3320</v>
      </c>
      <c r="KPY45" s="318" t="s">
        <v>3319</v>
      </c>
      <c r="KPZ45" s="319" t="s">
        <v>3320</v>
      </c>
      <c r="KQA45" s="318" t="s">
        <v>3319</v>
      </c>
      <c r="KQB45" s="319" t="s">
        <v>3320</v>
      </c>
      <c r="KQC45" s="318" t="s">
        <v>3319</v>
      </c>
      <c r="KQD45" s="319" t="s">
        <v>3320</v>
      </c>
      <c r="KQE45" s="318" t="s">
        <v>3319</v>
      </c>
      <c r="KQF45" s="319" t="s">
        <v>3320</v>
      </c>
      <c r="KQG45" s="318" t="s">
        <v>3319</v>
      </c>
      <c r="KQH45" s="319" t="s">
        <v>3320</v>
      </c>
      <c r="KQI45" s="318" t="s">
        <v>3319</v>
      </c>
      <c r="KQJ45" s="319" t="s">
        <v>3320</v>
      </c>
      <c r="KQK45" s="318" t="s">
        <v>3319</v>
      </c>
      <c r="KQL45" s="319" t="s">
        <v>3320</v>
      </c>
      <c r="KQM45" s="318" t="s">
        <v>3319</v>
      </c>
      <c r="KQN45" s="319" t="s">
        <v>3320</v>
      </c>
      <c r="KQO45" s="318" t="s">
        <v>3319</v>
      </c>
      <c r="KQP45" s="319" t="s">
        <v>3320</v>
      </c>
      <c r="KQQ45" s="318" t="s">
        <v>3319</v>
      </c>
      <c r="KQR45" s="319" t="s">
        <v>3320</v>
      </c>
      <c r="KQS45" s="318" t="s">
        <v>3319</v>
      </c>
      <c r="KQT45" s="319" t="s">
        <v>3320</v>
      </c>
      <c r="KQU45" s="318" t="s">
        <v>3319</v>
      </c>
      <c r="KQV45" s="319" t="s">
        <v>3320</v>
      </c>
      <c r="KQW45" s="318" t="s">
        <v>3319</v>
      </c>
      <c r="KQX45" s="319" t="s">
        <v>3320</v>
      </c>
      <c r="KQY45" s="318" t="s">
        <v>3319</v>
      </c>
      <c r="KQZ45" s="319" t="s">
        <v>3320</v>
      </c>
      <c r="KRA45" s="318" t="s">
        <v>3319</v>
      </c>
      <c r="KRB45" s="319" t="s">
        <v>3320</v>
      </c>
      <c r="KRC45" s="318" t="s">
        <v>3319</v>
      </c>
      <c r="KRD45" s="319" t="s">
        <v>3320</v>
      </c>
      <c r="KRE45" s="318" t="s">
        <v>3319</v>
      </c>
      <c r="KRF45" s="319" t="s">
        <v>3320</v>
      </c>
      <c r="KRG45" s="318" t="s">
        <v>3319</v>
      </c>
      <c r="KRH45" s="319" t="s">
        <v>3320</v>
      </c>
      <c r="KRI45" s="318" t="s">
        <v>3319</v>
      </c>
      <c r="KRJ45" s="319" t="s">
        <v>3320</v>
      </c>
      <c r="KRK45" s="318" t="s">
        <v>3319</v>
      </c>
      <c r="KRL45" s="319" t="s">
        <v>3320</v>
      </c>
      <c r="KRM45" s="318" t="s">
        <v>3319</v>
      </c>
      <c r="KRN45" s="319" t="s">
        <v>3320</v>
      </c>
      <c r="KRO45" s="318" t="s">
        <v>3319</v>
      </c>
      <c r="KRP45" s="319" t="s">
        <v>3320</v>
      </c>
      <c r="KRQ45" s="318" t="s">
        <v>3319</v>
      </c>
      <c r="KRR45" s="319" t="s">
        <v>3320</v>
      </c>
      <c r="KRS45" s="318" t="s">
        <v>3319</v>
      </c>
      <c r="KRT45" s="319" t="s">
        <v>3320</v>
      </c>
      <c r="KRU45" s="318" t="s">
        <v>3319</v>
      </c>
      <c r="KRV45" s="319" t="s">
        <v>3320</v>
      </c>
      <c r="KRW45" s="318" t="s">
        <v>3319</v>
      </c>
      <c r="KRX45" s="319" t="s">
        <v>3320</v>
      </c>
      <c r="KRY45" s="318" t="s">
        <v>3319</v>
      </c>
      <c r="KRZ45" s="319" t="s">
        <v>3320</v>
      </c>
      <c r="KSA45" s="318" t="s">
        <v>3319</v>
      </c>
      <c r="KSB45" s="319" t="s">
        <v>3320</v>
      </c>
      <c r="KSC45" s="318" t="s">
        <v>3319</v>
      </c>
      <c r="KSD45" s="319" t="s">
        <v>3320</v>
      </c>
      <c r="KSE45" s="318" t="s">
        <v>3319</v>
      </c>
      <c r="KSF45" s="319" t="s">
        <v>3320</v>
      </c>
      <c r="KSG45" s="318" t="s">
        <v>3319</v>
      </c>
      <c r="KSH45" s="319" t="s">
        <v>3320</v>
      </c>
      <c r="KSI45" s="318" t="s">
        <v>3319</v>
      </c>
      <c r="KSJ45" s="319" t="s">
        <v>3320</v>
      </c>
      <c r="KSK45" s="318" t="s">
        <v>3319</v>
      </c>
      <c r="KSL45" s="319" t="s">
        <v>3320</v>
      </c>
      <c r="KSM45" s="318" t="s">
        <v>3319</v>
      </c>
      <c r="KSN45" s="319" t="s">
        <v>3320</v>
      </c>
      <c r="KSO45" s="318" t="s">
        <v>3319</v>
      </c>
      <c r="KSP45" s="319" t="s">
        <v>3320</v>
      </c>
      <c r="KSQ45" s="318" t="s">
        <v>3319</v>
      </c>
      <c r="KSR45" s="319" t="s">
        <v>3320</v>
      </c>
      <c r="KSS45" s="318" t="s">
        <v>3319</v>
      </c>
      <c r="KST45" s="319" t="s">
        <v>3320</v>
      </c>
      <c r="KSU45" s="318" t="s">
        <v>3319</v>
      </c>
      <c r="KSV45" s="319" t="s">
        <v>3320</v>
      </c>
      <c r="KSW45" s="318" t="s">
        <v>3319</v>
      </c>
      <c r="KSX45" s="319" t="s">
        <v>3320</v>
      </c>
      <c r="KSY45" s="318" t="s">
        <v>3319</v>
      </c>
      <c r="KSZ45" s="319" t="s">
        <v>3320</v>
      </c>
      <c r="KTA45" s="318" t="s">
        <v>3319</v>
      </c>
      <c r="KTB45" s="319" t="s">
        <v>3320</v>
      </c>
      <c r="KTC45" s="318" t="s">
        <v>3319</v>
      </c>
      <c r="KTD45" s="319" t="s">
        <v>3320</v>
      </c>
      <c r="KTE45" s="318" t="s">
        <v>3319</v>
      </c>
      <c r="KTF45" s="319" t="s">
        <v>3320</v>
      </c>
      <c r="KTG45" s="318" t="s">
        <v>3319</v>
      </c>
      <c r="KTH45" s="319" t="s">
        <v>3320</v>
      </c>
      <c r="KTI45" s="318" t="s">
        <v>3319</v>
      </c>
      <c r="KTJ45" s="319" t="s">
        <v>3320</v>
      </c>
      <c r="KTK45" s="318" t="s">
        <v>3319</v>
      </c>
      <c r="KTL45" s="319" t="s">
        <v>3320</v>
      </c>
      <c r="KTM45" s="318" t="s">
        <v>3319</v>
      </c>
      <c r="KTN45" s="319" t="s">
        <v>3320</v>
      </c>
      <c r="KTO45" s="318" t="s">
        <v>3319</v>
      </c>
      <c r="KTP45" s="319" t="s">
        <v>3320</v>
      </c>
      <c r="KTQ45" s="318" t="s">
        <v>3319</v>
      </c>
      <c r="KTR45" s="319" t="s">
        <v>3320</v>
      </c>
      <c r="KTS45" s="318" t="s">
        <v>3319</v>
      </c>
      <c r="KTT45" s="319" t="s">
        <v>3320</v>
      </c>
      <c r="KTU45" s="318" t="s">
        <v>3319</v>
      </c>
      <c r="KTV45" s="319" t="s">
        <v>3320</v>
      </c>
      <c r="KTW45" s="318" t="s">
        <v>3319</v>
      </c>
      <c r="KTX45" s="319" t="s">
        <v>3320</v>
      </c>
      <c r="KTY45" s="318" t="s">
        <v>3319</v>
      </c>
      <c r="KTZ45" s="319" t="s">
        <v>3320</v>
      </c>
      <c r="KUA45" s="318" t="s">
        <v>3319</v>
      </c>
      <c r="KUB45" s="319" t="s">
        <v>3320</v>
      </c>
      <c r="KUC45" s="318" t="s">
        <v>3319</v>
      </c>
      <c r="KUD45" s="319" t="s">
        <v>3320</v>
      </c>
      <c r="KUE45" s="318" t="s">
        <v>3319</v>
      </c>
      <c r="KUF45" s="319" t="s">
        <v>3320</v>
      </c>
      <c r="KUG45" s="318" t="s">
        <v>3319</v>
      </c>
      <c r="KUH45" s="319" t="s">
        <v>3320</v>
      </c>
      <c r="KUI45" s="318" t="s">
        <v>3319</v>
      </c>
      <c r="KUJ45" s="319" t="s">
        <v>3320</v>
      </c>
      <c r="KUK45" s="318" t="s">
        <v>3319</v>
      </c>
      <c r="KUL45" s="319" t="s">
        <v>3320</v>
      </c>
      <c r="KUM45" s="318" t="s">
        <v>3319</v>
      </c>
      <c r="KUN45" s="319" t="s">
        <v>3320</v>
      </c>
      <c r="KUO45" s="318" t="s">
        <v>3319</v>
      </c>
      <c r="KUP45" s="319" t="s">
        <v>3320</v>
      </c>
      <c r="KUQ45" s="318" t="s">
        <v>3319</v>
      </c>
      <c r="KUR45" s="319" t="s">
        <v>3320</v>
      </c>
      <c r="KUS45" s="318" t="s">
        <v>3319</v>
      </c>
      <c r="KUT45" s="319" t="s">
        <v>3320</v>
      </c>
      <c r="KUU45" s="318" t="s">
        <v>3319</v>
      </c>
      <c r="KUV45" s="319" t="s">
        <v>3320</v>
      </c>
      <c r="KUW45" s="318" t="s">
        <v>3319</v>
      </c>
      <c r="KUX45" s="319" t="s">
        <v>3320</v>
      </c>
      <c r="KUY45" s="318" t="s">
        <v>3319</v>
      </c>
      <c r="KUZ45" s="319" t="s">
        <v>3320</v>
      </c>
      <c r="KVA45" s="318" t="s">
        <v>3319</v>
      </c>
      <c r="KVB45" s="319" t="s">
        <v>3320</v>
      </c>
      <c r="KVC45" s="318" t="s">
        <v>3319</v>
      </c>
      <c r="KVD45" s="319" t="s">
        <v>3320</v>
      </c>
      <c r="KVE45" s="318" t="s">
        <v>3319</v>
      </c>
      <c r="KVF45" s="319" t="s">
        <v>3320</v>
      </c>
      <c r="KVG45" s="318" t="s">
        <v>3319</v>
      </c>
      <c r="KVH45" s="319" t="s">
        <v>3320</v>
      </c>
      <c r="KVI45" s="318" t="s">
        <v>3319</v>
      </c>
      <c r="KVJ45" s="319" t="s">
        <v>3320</v>
      </c>
      <c r="KVK45" s="318" t="s">
        <v>3319</v>
      </c>
      <c r="KVL45" s="319" t="s">
        <v>3320</v>
      </c>
      <c r="KVM45" s="318" t="s">
        <v>3319</v>
      </c>
      <c r="KVN45" s="319" t="s">
        <v>3320</v>
      </c>
      <c r="KVO45" s="318" t="s">
        <v>3319</v>
      </c>
      <c r="KVP45" s="319" t="s">
        <v>3320</v>
      </c>
      <c r="KVQ45" s="318" t="s">
        <v>3319</v>
      </c>
      <c r="KVR45" s="319" t="s">
        <v>3320</v>
      </c>
      <c r="KVS45" s="318" t="s">
        <v>3319</v>
      </c>
      <c r="KVT45" s="319" t="s">
        <v>3320</v>
      </c>
      <c r="KVU45" s="318" t="s">
        <v>3319</v>
      </c>
      <c r="KVV45" s="319" t="s">
        <v>3320</v>
      </c>
      <c r="KVW45" s="318" t="s">
        <v>3319</v>
      </c>
      <c r="KVX45" s="319" t="s">
        <v>3320</v>
      </c>
      <c r="KVY45" s="318" t="s">
        <v>3319</v>
      </c>
      <c r="KVZ45" s="319" t="s">
        <v>3320</v>
      </c>
      <c r="KWA45" s="318" t="s">
        <v>3319</v>
      </c>
      <c r="KWB45" s="319" t="s">
        <v>3320</v>
      </c>
      <c r="KWC45" s="318" t="s">
        <v>3319</v>
      </c>
      <c r="KWD45" s="319" t="s">
        <v>3320</v>
      </c>
      <c r="KWE45" s="318" t="s">
        <v>3319</v>
      </c>
      <c r="KWF45" s="319" t="s">
        <v>3320</v>
      </c>
      <c r="KWG45" s="318" t="s">
        <v>3319</v>
      </c>
      <c r="KWH45" s="319" t="s">
        <v>3320</v>
      </c>
      <c r="KWI45" s="318" t="s">
        <v>3319</v>
      </c>
      <c r="KWJ45" s="319" t="s">
        <v>3320</v>
      </c>
      <c r="KWK45" s="318" t="s">
        <v>3319</v>
      </c>
      <c r="KWL45" s="319" t="s">
        <v>3320</v>
      </c>
      <c r="KWM45" s="318" t="s">
        <v>3319</v>
      </c>
      <c r="KWN45" s="319" t="s">
        <v>3320</v>
      </c>
      <c r="KWO45" s="318" t="s">
        <v>3319</v>
      </c>
      <c r="KWP45" s="319" t="s">
        <v>3320</v>
      </c>
      <c r="KWQ45" s="318" t="s">
        <v>3319</v>
      </c>
      <c r="KWR45" s="319" t="s">
        <v>3320</v>
      </c>
      <c r="KWS45" s="318" t="s">
        <v>3319</v>
      </c>
      <c r="KWT45" s="319" t="s">
        <v>3320</v>
      </c>
      <c r="KWU45" s="318" t="s">
        <v>3319</v>
      </c>
      <c r="KWV45" s="319" t="s">
        <v>3320</v>
      </c>
      <c r="KWW45" s="318" t="s">
        <v>3319</v>
      </c>
      <c r="KWX45" s="319" t="s">
        <v>3320</v>
      </c>
      <c r="KWY45" s="318" t="s">
        <v>3319</v>
      </c>
      <c r="KWZ45" s="319" t="s">
        <v>3320</v>
      </c>
      <c r="KXA45" s="318" t="s">
        <v>3319</v>
      </c>
      <c r="KXB45" s="319" t="s">
        <v>3320</v>
      </c>
      <c r="KXC45" s="318" t="s">
        <v>3319</v>
      </c>
      <c r="KXD45" s="319" t="s">
        <v>3320</v>
      </c>
      <c r="KXE45" s="318" t="s">
        <v>3319</v>
      </c>
      <c r="KXF45" s="319" t="s">
        <v>3320</v>
      </c>
      <c r="KXG45" s="318" t="s">
        <v>3319</v>
      </c>
      <c r="KXH45" s="319" t="s">
        <v>3320</v>
      </c>
      <c r="KXI45" s="318" t="s">
        <v>3319</v>
      </c>
      <c r="KXJ45" s="319" t="s">
        <v>3320</v>
      </c>
      <c r="KXK45" s="318" t="s">
        <v>3319</v>
      </c>
      <c r="KXL45" s="319" t="s">
        <v>3320</v>
      </c>
      <c r="KXM45" s="318" t="s">
        <v>3319</v>
      </c>
      <c r="KXN45" s="319" t="s">
        <v>3320</v>
      </c>
      <c r="KXO45" s="318" t="s">
        <v>3319</v>
      </c>
      <c r="KXP45" s="319" t="s">
        <v>3320</v>
      </c>
      <c r="KXQ45" s="318" t="s">
        <v>3319</v>
      </c>
      <c r="KXR45" s="319" t="s">
        <v>3320</v>
      </c>
      <c r="KXS45" s="318" t="s">
        <v>3319</v>
      </c>
      <c r="KXT45" s="319" t="s">
        <v>3320</v>
      </c>
      <c r="KXU45" s="318" t="s">
        <v>3319</v>
      </c>
      <c r="KXV45" s="319" t="s">
        <v>3320</v>
      </c>
      <c r="KXW45" s="318" t="s">
        <v>3319</v>
      </c>
      <c r="KXX45" s="319" t="s">
        <v>3320</v>
      </c>
      <c r="KXY45" s="318" t="s">
        <v>3319</v>
      </c>
      <c r="KXZ45" s="319" t="s">
        <v>3320</v>
      </c>
      <c r="KYA45" s="318" t="s">
        <v>3319</v>
      </c>
      <c r="KYB45" s="319" t="s">
        <v>3320</v>
      </c>
      <c r="KYC45" s="318" t="s">
        <v>3319</v>
      </c>
      <c r="KYD45" s="319" t="s">
        <v>3320</v>
      </c>
      <c r="KYE45" s="318" t="s">
        <v>3319</v>
      </c>
      <c r="KYF45" s="319" t="s">
        <v>3320</v>
      </c>
      <c r="KYG45" s="318" t="s">
        <v>3319</v>
      </c>
      <c r="KYH45" s="319" t="s">
        <v>3320</v>
      </c>
      <c r="KYI45" s="318" t="s">
        <v>3319</v>
      </c>
      <c r="KYJ45" s="319" t="s">
        <v>3320</v>
      </c>
      <c r="KYK45" s="318" t="s">
        <v>3319</v>
      </c>
      <c r="KYL45" s="319" t="s">
        <v>3320</v>
      </c>
      <c r="KYM45" s="318" t="s">
        <v>3319</v>
      </c>
      <c r="KYN45" s="319" t="s">
        <v>3320</v>
      </c>
      <c r="KYO45" s="318" t="s">
        <v>3319</v>
      </c>
      <c r="KYP45" s="319" t="s">
        <v>3320</v>
      </c>
      <c r="KYQ45" s="318" t="s">
        <v>3319</v>
      </c>
      <c r="KYR45" s="319" t="s">
        <v>3320</v>
      </c>
      <c r="KYS45" s="318" t="s">
        <v>3319</v>
      </c>
      <c r="KYT45" s="319" t="s">
        <v>3320</v>
      </c>
      <c r="KYU45" s="318" t="s">
        <v>3319</v>
      </c>
      <c r="KYV45" s="319" t="s">
        <v>3320</v>
      </c>
      <c r="KYW45" s="318" t="s">
        <v>3319</v>
      </c>
      <c r="KYX45" s="319" t="s">
        <v>3320</v>
      </c>
      <c r="KYY45" s="318" t="s">
        <v>3319</v>
      </c>
      <c r="KYZ45" s="319" t="s">
        <v>3320</v>
      </c>
      <c r="KZA45" s="318" t="s">
        <v>3319</v>
      </c>
      <c r="KZB45" s="319" t="s">
        <v>3320</v>
      </c>
      <c r="KZC45" s="318" t="s">
        <v>3319</v>
      </c>
      <c r="KZD45" s="319" t="s">
        <v>3320</v>
      </c>
      <c r="KZE45" s="318" t="s">
        <v>3319</v>
      </c>
      <c r="KZF45" s="319" t="s">
        <v>3320</v>
      </c>
      <c r="KZG45" s="318" t="s">
        <v>3319</v>
      </c>
      <c r="KZH45" s="319" t="s">
        <v>3320</v>
      </c>
      <c r="KZI45" s="318" t="s">
        <v>3319</v>
      </c>
      <c r="KZJ45" s="319" t="s">
        <v>3320</v>
      </c>
      <c r="KZK45" s="318" t="s">
        <v>3319</v>
      </c>
      <c r="KZL45" s="319" t="s">
        <v>3320</v>
      </c>
      <c r="KZM45" s="318" t="s">
        <v>3319</v>
      </c>
      <c r="KZN45" s="319" t="s">
        <v>3320</v>
      </c>
      <c r="KZO45" s="318" t="s">
        <v>3319</v>
      </c>
      <c r="KZP45" s="319" t="s">
        <v>3320</v>
      </c>
      <c r="KZQ45" s="318" t="s">
        <v>3319</v>
      </c>
      <c r="KZR45" s="319" t="s">
        <v>3320</v>
      </c>
      <c r="KZS45" s="318" t="s">
        <v>3319</v>
      </c>
      <c r="KZT45" s="319" t="s">
        <v>3320</v>
      </c>
      <c r="KZU45" s="318" t="s">
        <v>3319</v>
      </c>
      <c r="KZV45" s="319" t="s">
        <v>3320</v>
      </c>
      <c r="KZW45" s="318" t="s">
        <v>3319</v>
      </c>
      <c r="KZX45" s="319" t="s">
        <v>3320</v>
      </c>
      <c r="KZY45" s="318" t="s">
        <v>3319</v>
      </c>
      <c r="KZZ45" s="319" t="s">
        <v>3320</v>
      </c>
      <c r="LAA45" s="318" t="s">
        <v>3319</v>
      </c>
      <c r="LAB45" s="319" t="s">
        <v>3320</v>
      </c>
      <c r="LAC45" s="318" t="s">
        <v>3319</v>
      </c>
      <c r="LAD45" s="319" t="s">
        <v>3320</v>
      </c>
      <c r="LAE45" s="318" t="s">
        <v>3319</v>
      </c>
      <c r="LAF45" s="319" t="s">
        <v>3320</v>
      </c>
      <c r="LAG45" s="318" t="s">
        <v>3319</v>
      </c>
      <c r="LAH45" s="319" t="s">
        <v>3320</v>
      </c>
      <c r="LAI45" s="318" t="s">
        <v>3319</v>
      </c>
      <c r="LAJ45" s="319" t="s">
        <v>3320</v>
      </c>
      <c r="LAK45" s="318" t="s">
        <v>3319</v>
      </c>
      <c r="LAL45" s="319" t="s">
        <v>3320</v>
      </c>
      <c r="LAM45" s="318" t="s">
        <v>3319</v>
      </c>
      <c r="LAN45" s="319" t="s">
        <v>3320</v>
      </c>
      <c r="LAO45" s="318" t="s">
        <v>3319</v>
      </c>
      <c r="LAP45" s="319" t="s">
        <v>3320</v>
      </c>
      <c r="LAQ45" s="318" t="s">
        <v>3319</v>
      </c>
      <c r="LAR45" s="319" t="s">
        <v>3320</v>
      </c>
      <c r="LAS45" s="318" t="s">
        <v>3319</v>
      </c>
      <c r="LAT45" s="319" t="s">
        <v>3320</v>
      </c>
      <c r="LAU45" s="318" t="s">
        <v>3319</v>
      </c>
      <c r="LAV45" s="319" t="s">
        <v>3320</v>
      </c>
      <c r="LAW45" s="318" t="s">
        <v>3319</v>
      </c>
      <c r="LAX45" s="319" t="s">
        <v>3320</v>
      </c>
      <c r="LAY45" s="318" t="s">
        <v>3319</v>
      </c>
      <c r="LAZ45" s="319" t="s">
        <v>3320</v>
      </c>
      <c r="LBA45" s="318" t="s">
        <v>3319</v>
      </c>
      <c r="LBB45" s="319" t="s">
        <v>3320</v>
      </c>
      <c r="LBC45" s="318" t="s">
        <v>3319</v>
      </c>
      <c r="LBD45" s="319" t="s">
        <v>3320</v>
      </c>
      <c r="LBE45" s="318" t="s">
        <v>3319</v>
      </c>
      <c r="LBF45" s="319" t="s">
        <v>3320</v>
      </c>
      <c r="LBG45" s="318" t="s">
        <v>3319</v>
      </c>
      <c r="LBH45" s="319" t="s">
        <v>3320</v>
      </c>
      <c r="LBI45" s="318" t="s">
        <v>3319</v>
      </c>
      <c r="LBJ45" s="319" t="s">
        <v>3320</v>
      </c>
      <c r="LBK45" s="318" t="s">
        <v>3319</v>
      </c>
      <c r="LBL45" s="319" t="s">
        <v>3320</v>
      </c>
      <c r="LBM45" s="318" t="s">
        <v>3319</v>
      </c>
      <c r="LBN45" s="319" t="s">
        <v>3320</v>
      </c>
      <c r="LBO45" s="318" t="s">
        <v>3319</v>
      </c>
      <c r="LBP45" s="319" t="s">
        <v>3320</v>
      </c>
      <c r="LBQ45" s="318" t="s">
        <v>3319</v>
      </c>
      <c r="LBR45" s="319" t="s">
        <v>3320</v>
      </c>
      <c r="LBS45" s="318" t="s">
        <v>3319</v>
      </c>
      <c r="LBT45" s="319" t="s">
        <v>3320</v>
      </c>
      <c r="LBU45" s="318" t="s">
        <v>3319</v>
      </c>
      <c r="LBV45" s="319" t="s">
        <v>3320</v>
      </c>
      <c r="LBW45" s="318" t="s">
        <v>3319</v>
      </c>
      <c r="LBX45" s="319" t="s">
        <v>3320</v>
      </c>
      <c r="LBY45" s="318" t="s">
        <v>3319</v>
      </c>
      <c r="LBZ45" s="319" t="s">
        <v>3320</v>
      </c>
      <c r="LCA45" s="318" t="s">
        <v>3319</v>
      </c>
      <c r="LCB45" s="319" t="s">
        <v>3320</v>
      </c>
      <c r="LCC45" s="318" t="s">
        <v>3319</v>
      </c>
      <c r="LCD45" s="319" t="s">
        <v>3320</v>
      </c>
      <c r="LCE45" s="318" t="s">
        <v>3319</v>
      </c>
      <c r="LCF45" s="319" t="s">
        <v>3320</v>
      </c>
      <c r="LCG45" s="318" t="s">
        <v>3319</v>
      </c>
      <c r="LCH45" s="319" t="s">
        <v>3320</v>
      </c>
      <c r="LCI45" s="318" t="s">
        <v>3319</v>
      </c>
      <c r="LCJ45" s="319" t="s">
        <v>3320</v>
      </c>
      <c r="LCK45" s="318" t="s">
        <v>3319</v>
      </c>
      <c r="LCL45" s="319" t="s">
        <v>3320</v>
      </c>
      <c r="LCM45" s="318" t="s">
        <v>3319</v>
      </c>
      <c r="LCN45" s="319" t="s">
        <v>3320</v>
      </c>
      <c r="LCO45" s="318" t="s">
        <v>3319</v>
      </c>
      <c r="LCP45" s="319" t="s">
        <v>3320</v>
      </c>
      <c r="LCQ45" s="318" t="s">
        <v>3319</v>
      </c>
      <c r="LCR45" s="319" t="s">
        <v>3320</v>
      </c>
      <c r="LCS45" s="318" t="s">
        <v>3319</v>
      </c>
      <c r="LCT45" s="319" t="s">
        <v>3320</v>
      </c>
      <c r="LCU45" s="318" t="s">
        <v>3319</v>
      </c>
      <c r="LCV45" s="319" t="s">
        <v>3320</v>
      </c>
      <c r="LCW45" s="318" t="s">
        <v>3319</v>
      </c>
      <c r="LCX45" s="319" t="s">
        <v>3320</v>
      </c>
      <c r="LCY45" s="318" t="s">
        <v>3319</v>
      </c>
      <c r="LCZ45" s="319" t="s">
        <v>3320</v>
      </c>
      <c r="LDA45" s="318" t="s">
        <v>3319</v>
      </c>
      <c r="LDB45" s="319" t="s">
        <v>3320</v>
      </c>
      <c r="LDC45" s="318" t="s">
        <v>3319</v>
      </c>
      <c r="LDD45" s="319" t="s">
        <v>3320</v>
      </c>
      <c r="LDE45" s="318" t="s">
        <v>3319</v>
      </c>
      <c r="LDF45" s="319" t="s">
        <v>3320</v>
      </c>
      <c r="LDG45" s="318" t="s">
        <v>3319</v>
      </c>
      <c r="LDH45" s="319" t="s">
        <v>3320</v>
      </c>
      <c r="LDI45" s="318" t="s">
        <v>3319</v>
      </c>
      <c r="LDJ45" s="319" t="s">
        <v>3320</v>
      </c>
      <c r="LDK45" s="318" t="s">
        <v>3319</v>
      </c>
      <c r="LDL45" s="319" t="s">
        <v>3320</v>
      </c>
      <c r="LDM45" s="318" t="s">
        <v>3319</v>
      </c>
      <c r="LDN45" s="319" t="s">
        <v>3320</v>
      </c>
      <c r="LDO45" s="318" t="s">
        <v>3319</v>
      </c>
      <c r="LDP45" s="319" t="s">
        <v>3320</v>
      </c>
      <c r="LDQ45" s="318" t="s">
        <v>3319</v>
      </c>
      <c r="LDR45" s="319" t="s">
        <v>3320</v>
      </c>
      <c r="LDS45" s="318" t="s">
        <v>3319</v>
      </c>
      <c r="LDT45" s="319" t="s">
        <v>3320</v>
      </c>
      <c r="LDU45" s="318" t="s">
        <v>3319</v>
      </c>
      <c r="LDV45" s="319" t="s">
        <v>3320</v>
      </c>
      <c r="LDW45" s="318" t="s">
        <v>3319</v>
      </c>
      <c r="LDX45" s="319" t="s">
        <v>3320</v>
      </c>
      <c r="LDY45" s="318" t="s">
        <v>3319</v>
      </c>
      <c r="LDZ45" s="319" t="s">
        <v>3320</v>
      </c>
      <c r="LEA45" s="318" t="s">
        <v>3319</v>
      </c>
      <c r="LEB45" s="319" t="s">
        <v>3320</v>
      </c>
      <c r="LEC45" s="318" t="s">
        <v>3319</v>
      </c>
      <c r="LED45" s="319" t="s">
        <v>3320</v>
      </c>
      <c r="LEE45" s="318" t="s">
        <v>3319</v>
      </c>
      <c r="LEF45" s="319" t="s">
        <v>3320</v>
      </c>
      <c r="LEG45" s="318" t="s">
        <v>3319</v>
      </c>
      <c r="LEH45" s="319" t="s">
        <v>3320</v>
      </c>
      <c r="LEI45" s="318" t="s">
        <v>3319</v>
      </c>
      <c r="LEJ45" s="319" t="s">
        <v>3320</v>
      </c>
      <c r="LEK45" s="318" t="s">
        <v>3319</v>
      </c>
      <c r="LEL45" s="319" t="s">
        <v>3320</v>
      </c>
      <c r="LEM45" s="318" t="s">
        <v>3319</v>
      </c>
      <c r="LEN45" s="319" t="s">
        <v>3320</v>
      </c>
      <c r="LEO45" s="318" t="s">
        <v>3319</v>
      </c>
      <c r="LEP45" s="319" t="s">
        <v>3320</v>
      </c>
      <c r="LEQ45" s="318" t="s">
        <v>3319</v>
      </c>
      <c r="LER45" s="319" t="s">
        <v>3320</v>
      </c>
      <c r="LES45" s="318" t="s">
        <v>3319</v>
      </c>
      <c r="LET45" s="319" t="s">
        <v>3320</v>
      </c>
      <c r="LEU45" s="318" t="s">
        <v>3319</v>
      </c>
      <c r="LEV45" s="319" t="s">
        <v>3320</v>
      </c>
      <c r="LEW45" s="318" t="s">
        <v>3319</v>
      </c>
      <c r="LEX45" s="319" t="s">
        <v>3320</v>
      </c>
      <c r="LEY45" s="318" t="s">
        <v>3319</v>
      </c>
      <c r="LEZ45" s="319" t="s">
        <v>3320</v>
      </c>
      <c r="LFA45" s="318" t="s">
        <v>3319</v>
      </c>
      <c r="LFB45" s="319" t="s">
        <v>3320</v>
      </c>
      <c r="LFC45" s="318" t="s">
        <v>3319</v>
      </c>
      <c r="LFD45" s="319" t="s">
        <v>3320</v>
      </c>
      <c r="LFE45" s="318" t="s">
        <v>3319</v>
      </c>
      <c r="LFF45" s="319" t="s">
        <v>3320</v>
      </c>
      <c r="LFG45" s="318" t="s">
        <v>3319</v>
      </c>
      <c r="LFH45" s="319" t="s">
        <v>3320</v>
      </c>
      <c r="LFI45" s="318" t="s">
        <v>3319</v>
      </c>
      <c r="LFJ45" s="319" t="s">
        <v>3320</v>
      </c>
      <c r="LFK45" s="318" t="s">
        <v>3319</v>
      </c>
      <c r="LFL45" s="319" t="s">
        <v>3320</v>
      </c>
      <c r="LFM45" s="318" t="s">
        <v>3319</v>
      </c>
      <c r="LFN45" s="319" t="s">
        <v>3320</v>
      </c>
      <c r="LFO45" s="318" t="s">
        <v>3319</v>
      </c>
      <c r="LFP45" s="319" t="s">
        <v>3320</v>
      </c>
      <c r="LFQ45" s="318" t="s">
        <v>3319</v>
      </c>
      <c r="LFR45" s="319" t="s">
        <v>3320</v>
      </c>
      <c r="LFS45" s="318" t="s">
        <v>3319</v>
      </c>
      <c r="LFT45" s="319" t="s">
        <v>3320</v>
      </c>
      <c r="LFU45" s="318" t="s">
        <v>3319</v>
      </c>
      <c r="LFV45" s="319" t="s">
        <v>3320</v>
      </c>
      <c r="LFW45" s="318" t="s">
        <v>3319</v>
      </c>
      <c r="LFX45" s="319" t="s">
        <v>3320</v>
      </c>
      <c r="LFY45" s="318" t="s">
        <v>3319</v>
      </c>
      <c r="LFZ45" s="319" t="s">
        <v>3320</v>
      </c>
      <c r="LGA45" s="318" t="s">
        <v>3319</v>
      </c>
      <c r="LGB45" s="319" t="s">
        <v>3320</v>
      </c>
      <c r="LGC45" s="318" t="s">
        <v>3319</v>
      </c>
      <c r="LGD45" s="319" t="s">
        <v>3320</v>
      </c>
      <c r="LGE45" s="318" t="s">
        <v>3319</v>
      </c>
      <c r="LGF45" s="319" t="s">
        <v>3320</v>
      </c>
      <c r="LGG45" s="318" t="s">
        <v>3319</v>
      </c>
      <c r="LGH45" s="319" t="s">
        <v>3320</v>
      </c>
      <c r="LGI45" s="318" t="s">
        <v>3319</v>
      </c>
      <c r="LGJ45" s="319" t="s">
        <v>3320</v>
      </c>
      <c r="LGK45" s="318" t="s">
        <v>3319</v>
      </c>
      <c r="LGL45" s="319" t="s">
        <v>3320</v>
      </c>
      <c r="LGM45" s="318" t="s">
        <v>3319</v>
      </c>
      <c r="LGN45" s="319" t="s">
        <v>3320</v>
      </c>
      <c r="LGO45" s="318" t="s">
        <v>3319</v>
      </c>
      <c r="LGP45" s="319" t="s">
        <v>3320</v>
      </c>
      <c r="LGQ45" s="318" t="s">
        <v>3319</v>
      </c>
      <c r="LGR45" s="319" t="s">
        <v>3320</v>
      </c>
      <c r="LGS45" s="318" t="s">
        <v>3319</v>
      </c>
      <c r="LGT45" s="319" t="s">
        <v>3320</v>
      </c>
      <c r="LGU45" s="318" t="s">
        <v>3319</v>
      </c>
      <c r="LGV45" s="319" t="s">
        <v>3320</v>
      </c>
      <c r="LGW45" s="318" t="s">
        <v>3319</v>
      </c>
      <c r="LGX45" s="319" t="s">
        <v>3320</v>
      </c>
      <c r="LGY45" s="318" t="s">
        <v>3319</v>
      </c>
      <c r="LGZ45" s="319" t="s">
        <v>3320</v>
      </c>
      <c r="LHA45" s="318" t="s">
        <v>3319</v>
      </c>
      <c r="LHB45" s="319" t="s">
        <v>3320</v>
      </c>
      <c r="LHC45" s="318" t="s">
        <v>3319</v>
      </c>
      <c r="LHD45" s="319" t="s">
        <v>3320</v>
      </c>
      <c r="LHE45" s="318" t="s">
        <v>3319</v>
      </c>
      <c r="LHF45" s="319" t="s">
        <v>3320</v>
      </c>
      <c r="LHG45" s="318" t="s">
        <v>3319</v>
      </c>
      <c r="LHH45" s="319" t="s">
        <v>3320</v>
      </c>
      <c r="LHI45" s="318" t="s">
        <v>3319</v>
      </c>
      <c r="LHJ45" s="319" t="s">
        <v>3320</v>
      </c>
      <c r="LHK45" s="318" t="s">
        <v>3319</v>
      </c>
      <c r="LHL45" s="319" t="s">
        <v>3320</v>
      </c>
      <c r="LHM45" s="318" t="s">
        <v>3319</v>
      </c>
      <c r="LHN45" s="319" t="s">
        <v>3320</v>
      </c>
      <c r="LHO45" s="318" t="s">
        <v>3319</v>
      </c>
      <c r="LHP45" s="319" t="s">
        <v>3320</v>
      </c>
      <c r="LHQ45" s="318" t="s">
        <v>3319</v>
      </c>
      <c r="LHR45" s="319" t="s">
        <v>3320</v>
      </c>
      <c r="LHS45" s="318" t="s">
        <v>3319</v>
      </c>
      <c r="LHT45" s="319" t="s">
        <v>3320</v>
      </c>
      <c r="LHU45" s="318" t="s">
        <v>3319</v>
      </c>
      <c r="LHV45" s="319" t="s">
        <v>3320</v>
      </c>
      <c r="LHW45" s="318" t="s">
        <v>3319</v>
      </c>
      <c r="LHX45" s="319" t="s">
        <v>3320</v>
      </c>
      <c r="LHY45" s="318" t="s">
        <v>3319</v>
      </c>
      <c r="LHZ45" s="319" t="s">
        <v>3320</v>
      </c>
      <c r="LIA45" s="318" t="s">
        <v>3319</v>
      </c>
      <c r="LIB45" s="319" t="s">
        <v>3320</v>
      </c>
      <c r="LIC45" s="318" t="s">
        <v>3319</v>
      </c>
      <c r="LID45" s="319" t="s">
        <v>3320</v>
      </c>
      <c r="LIE45" s="318" t="s">
        <v>3319</v>
      </c>
      <c r="LIF45" s="319" t="s">
        <v>3320</v>
      </c>
      <c r="LIG45" s="318" t="s">
        <v>3319</v>
      </c>
      <c r="LIH45" s="319" t="s">
        <v>3320</v>
      </c>
      <c r="LII45" s="318" t="s">
        <v>3319</v>
      </c>
      <c r="LIJ45" s="319" t="s">
        <v>3320</v>
      </c>
      <c r="LIK45" s="318" t="s">
        <v>3319</v>
      </c>
      <c r="LIL45" s="319" t="s">
        <v>3320</v>
      </c>
      <c r="LIM45" s="318" t="s">
        <v>3319</v>
      </c>
      <c r="LIN45" s="319" t="s">
        <v>3320</v>
      </c>
      <c r="LIO45" s="318" t="s">
        <v>3319</v>
      </c>
      <c r="LIP45" s="319" t="s">
        <v>3320</v>
      </c>
      <c r="LIQ45" s="318" t="s">
        <v>3319</v>
      </c>
      <c r="LIR45" s="319" t="s">
        <v>3320</v>
      </c>
      <c r="LIS45" s="318" t="s">
        <v>3319</v>
      </c>
      <c r="LIT45" s="319" t="s">
        <v>3320</v>
      </c>
      <c r="LIU45" s="318" t="s">
        <v>3319</v>
      </c>
      <c r="LIV45" s="319" t="s">
        <v>3320</v>
      </c>
      <c r="LIW45" s="318" t="s">
        <v>3319</v>
      </c>
      <c r="LIX45" s="319" t="s">
        <v>3320</v>
      </c>
      <c r="LIY45" s="318" t="s">
        <v>3319</v>
      </c>
      <c r="LIZ45" s="319" t="s">
        <v>3320</v>
      </c>
      <c r="LJA45" s="318" t="s">
        <v>3319</v>
      </c>
      <c r="LJB45" s="319" t="s">
        <v>3320</v>
      </c>
      <c r="LJC45" s="318" t="s">
        <v>3319</v>
      </c>
      <c r="LJD45" s="319" t="s">
        <v>3320</v>
      </c>
      <c r="LJE45" s="318" t="s">
        <v>3319</v>
      </c>
      <c r="LJF45" s="319" t="s">
        <v>3320</v>
      </c>
      <c r="LJG45" s="318" t="s">
        <v>3319</v>
      </c>
      <c r="LJH45" s="319" t="s">
        <v>3320</v>
      </c>
      <c r="LJI45" s="318" t="s">
        <v>3319</v>
      </c>
      <c r="LJJ45" s="319" t="s">
        <v>3320</v>
      </c>
      <c r="LJK45" s="318" t="s">
        <v>3319</v>
      </c>
      <c r="LJL45" s="319" t="s">
        <v>3320</v>
      </c>
      <c r="LJM45" s="318" t="s">
        <v>3319</v>
      </c>
      <c r="LJN45" s="319" t="s">
        <v>3320</v>
      </c>
      <c r="LJO45" s="318" t="s">
        <v>3319</v>
      </c>
      <c r="LJP45" s="319" t="s">
        <v>3320</v>
      </c>
      <c r="LJQ45" s="318" t="s">
        <v>3319</v>
      </c>
      <c r="LJR45" s="319" t="s">
        <v>3320</v>
      </c>
      <c r="LJS45" s="318" t="s">
        <v>3319</v>
      </c>
      <c r="LJT45" s="319" t="s">
        <v>3320</v>
      </c>
      <c r="LJU45" s="318" t="s">
        <v>3319</v>
      </c>
      <c r="LJV45" s="319" t="s">
        <v>3320</v>
      </c>
      <c r="LJW45" s="318" t="s">
        <v>3319</v>
      </c>
      <c r="LJX45" s="319" t="s">
        <v>3320</v>
      </c>
      <c r="LJY45" s="318" t="s">
        <v>3319</v>
      </c>
      <c r="LJZ45" s="319" t="s">
        <v>3320</v>
      </c>
      <c r="LKA45" s="318" t="s">
        <v>3319</v>
      </c>
      <c r="LKB45" s="319" t="s">
        <v>3320</v>
      </c>
      <c r="LKC45" s="318" t="s">
        <v>3319</v>
      </c>
      <c r="LKD45" s="319" t="s">
        <v>3320</v>
      </c>
      <c r="LKE45" s="318" t="s">
        <v>3319</v>
      </c>
      <c r="LKF45" s="319" t="s">
        <v>3320</v>
      </c>
      <c r="LKG45" s="318" t="s">
        <v>3319</v>
      </c>
      <c r="LKH45" s="319" t="s">
        <v>3320</v>
      </c>
      <c r="LKI45" s="318" t="s">
        <v>3319</v>
      </c>
      <c r="LKJ45" s="319" t="s">
        <v>3320</v>
      </c>
      <c r="LKK45" s="318" t="s">
        <v>3319</v>
      </c>
      <c r="LKL45" s="319" t="s">
        <v>3320</v>
      </c>
      <c r="LKM45" s="318" t="s">
        <v>3319</v>
      </c>
      <c r="LKN45" s="319" t="s">
        <v>3320</v>
      </c>
      <c r="LKO45" s="318" t="s">
        <v>3319</v>
      </c>
      <c r="LKP45" s="319" t="s">
        <v>3320</v>
      </c>
      <c r="LKQ45" s="318" t="s">
        <v>3319</v>
      </c>
      <c r="LKR45" s="319" t="s">
        <v>3320</v>
      </c>
      <c r="LKS45" s="318" t="s">
        <v>3319</v>
      </c>
      <c r="LKT45" s="319" t="s">
        <v>3320</v>
      </c>
      <c r="LKU45" s="318" t="s">
        <v>3319</v>
      </c>
      <c r="LKV45" s="319" t="s">
        <v>3320</v>
      </c>
      <c r="LKW45" s="318" t="s">
        <v>3319</v>
      </c>
      <c r="LKX45" s="319" t="s">
        <v>3320</v>
      </c>
      <c r="LKY45" s="318" t="s">
        <v>3319</v>
      </c>
      <c r="LKZ45" s="319" t="s">
        <v>3320</v>
      </c>
      <c r="LLA45" s="318" t="s">
        <v>3319</v>
      </c>
      <c r="LLB45" s="319" t="s">
        <v>3320</v>
      </c>
      <c r="LLC45" s="318" t="s">
        <v>3319</v>
      </c>
      <c r="LLD45" s="319" t="s">
        <v>3320</v>
      </c>
      <c r="LLE45" s="318" t="s">
        <v>3319</v>
      </c>
      <c r="LLF45" s="319" t="s">
        <v>3320</v>
      </c>
      <c r="LLG45" s="318" t="s">
        <v>3319</v>
      </c>
      <c r="LLH45" s="319" t="s">
        <v>3320</v>
      </c>
      <c r="LLI45" s="318" t="s">
        <v>3319</v>
      </c>
      <c r="LLJ45" s="319" t="s">
        <v>3320</v>
      </c>
      <c r="LLK45" s="318" t="s">
        <v>3319</v>
      </c>
      <c r="LLL45" s="319" t="s">
        <v>3320</v>
      </c>
      <c r="LLM45" s="318" t="s">
        <v>3319</v>
      </c>
      <c r="LLN45" s="319" t="s">
        <v>3320</v>
      </c>
      <c r="LLO45" s="318" t="s">
        <v>3319</v>
      </c>
      <c r="LLP45" s="319" t="s">
        <v>3320</v>
      </c>
      <c r="LLQ45" s="318" t="s">
        <v>3319</v>
      </c>
      <c r="LLR45" s="319" t="s">
        <v>3320</v>
      </c>
      <c r="LLS45" s="318" t="s">
        <v>3319</v>
      </c>
      <c r="LLT45" s="319" t="s">
        <v>3320</v>
      </c>
      <c r="LLU45" s="318" t="s">
        <v>3319</v>
      </c>
      <c r="LLV45" s="319" t="s">
        <v>3320</v>
      </c>
      <c r="LLW45" s="318" t="s">
        <v>3319</v>
      </c>
      <c r="LLX45" s="319" t="s">
        <v>3320</v>
      </c>
      <c r="LLY45" s="318" t="s">
        <v>3319</v>
      </c>
      <c r="LLZ45" s="319" t="s">
        <v>3320</v>
      </c>
      <c r="LMA45" s="318" t="s">
        <v>3319</v>
      </c>
      <c r="LMB45" s="319" t="s">
        <v>3320</v>
      </c>
      <c r="LMC45" s="318" t="s">
        <v>3319</v>
      </c>
      <c r="LMD45" s="319" t="s">
        <v>3320</v>
      </c>
      <c r="LME45" s="318" t="s">
        <v>3319</v>
      </c>
      <c r="LMF45" s="319" t="s">
        <v>3320</v>
      </c>
      <c r="LMG45" s="318" t="s">
        <v>3319</v>
      </c>
      <c r="LMH45" s="319" t="s">
        <v>3320</v>
      </c>
      <c r="LMI45" s="318" t="s">
        <v>3319</v>
      </c>
      <c r="LMJ45" s="319" t="s">
        <v>3320</v>
      </c>
      <c r="LMK45" s="318" t="s">
        <v>3319</v>
      </c>
      <c r="LML45" s="319" t="s">
        <v>3320</v>
      </c>
      <c r="LMM45" s="318" t="s">
        <v>3319</v>
      </c>
      <c r="LMN45" s="319" t="s">
        <v>3320</v>
      </c>
      <c r="LMO45" s="318" t="s">
        <v>3319</v>
      </c>
      <c r="LMP45" s="319" t="s">
        <v>3320</v>
      </c>
      <c r="LMQ45" s="318" t="s">
        <v>3319</v>
      </c>
      <c r="LMR45" s="319" t="s">
        <v>3320</v>
      </c>
      <c r="LMS45" s="318" t="s">
        <v>3319</v>
      </c>
      <c r="LMT45" s="319" t="s">
        <v>3320</v>
      </c>
      <c r="LMU45" s="318" t="s">
        <v>3319</v>
      </c>
      <c r="LMV45" s="319" t="s">
        <v>3320</v>
      </c>
      <c r="LMW45" s="318" t="s">
        <v>3319</v>
      </c>
      <c r="LMX45" s="319" t="s">
        <v>3320</v>
      </c>
      <c r="LMY45" s="318" t="s">
        <v>3319</v>
      </c>
      <c r="LMZ45" s="319" t="s">
        <v>3320</v>
      </c>
      <c r="LNA45" s="318" t="s">
        <v>3319</v>
      </c>
      <c r="LNB45" s="319" t="s">
        <v>3320</v>
      </c>
      <c r="LNC45" s="318" t="s">
        <v>3319</v>
      </c>
      <c r="LND45" s="319" t="s">
        <v>3320</v>
      </c>
      <c r="LNE45" s="318" t="s">
        <v>3319</v>
      </c>
      <c r="LNF45" s="319" t="s">
        <v>3320</v>
      </c>
      <c r="LNG45" s="318" t="s">
        <v>3319</v>
      </c>
      <c r="LNH45" s="319" t="s">
        <v>3320</v>
      </c>
      <c r="LNI45" s="318" t="s">
        <v>3319</v>
      </c>
      <c r="LNJ45" s="319" t="s">
        <v>3320</v>
      </c>
      <c r="LNK45" s="318" t="s">
        <v>3319</v>
      </c>
      <c r="LNL45" s="319" t="s">
        <v>3320</v>
      </c>
      <c r="LNM45" s="318" t="s">
        <v>3319</v>
      </c>
      <c r="LNN45" s="319" t="s">
        <v>3320</v>
      </c>
      <c r="LNO45" s="318" t="s">
        <v>3319</v>
      </c>
      <c r="LNP45" s="319" t="s">
        <v>3320</v>
      </c>
      <c r="LNQ45" s="318" t="s">
        <v>3319</v>
      </c>
      <c r="LNR45" s="319" t="s">
        <v>3320</v>
      </c>
      <c r="LNS45" s="318" t="s">
        <v>3319</v>
      </c>
      <c r="LNT45" s="319" t="s">
        <v>3320</v>
      </c>
      <c r="LNU45" s="318" t="s">
        <v>3319</v>
      </c>
      <c r="LNV45" s="319" t="s">
        <v>3320</v>
      </c>
      <c r="LNW45" s="318" t="s">
        <v>3319</v>
      </c>
      <c r="LNX45" s="319" t="s">
        <v>3320</v>
      </c>
      <c r="LNY45" s="318" t="s">
        <v>3319</v>
      </c>
      <c r="LNZ45" s="319" t="s">
        <v>3320</v>
      </c>
      <c r="LOA45" s="318" t="s">
        <v>3319</v>
      </c>
      <c r="LOB45" s="319" t="s">
        <v>3320</v>
      </c>
      <c r="LOC45" s="318" t="s">
        <v>3319</v>
      </c>
      <c r="LOD45" s="319" t="s">
        <v>3320</v>
      </c>
      <c r="LOE45" s="318" t="s">
        <v>3319</v>
      </c>
      <c r="LOF45" s="319" t="s">
        <v>3320</v>
      </c>
      <c r="LOG45" s="318" t="s">
        <v>3319</v>
      </c>
      <c r="LOH45" s="319" t="s">
        <v>3320</v>
      </c>
      <c r="LOI45" s="318" t="s">
        <v>3319</v>
      </c>
      <c r="LOJ45" s="319" t="s">
        <v>3320</v>
      </c>
      <c r="LOK45" s="318" t="s">
        <v>3319</v>
      </c>
      <c r="LOL45" s="319" t="s">
        <v>3320</v>
      </c>
      <c r="LOM45" s="318" t="s">
        <v>3319</v>
      </c>
      <c r="LON45" s="319" t="s">
        <v>3320</v>
      </c>
      <c r="LOO45" s="318" t="s">
        <v>3319</v>
      </c>
      <c r="LOP45" s="319" t="s">
        <v>3320</v>
      </c>
      <c r="LOQ45" s="318" t="s">
        <v>3319</v>
      </c>
      <c r="LOR45" s="319" t="s">
        <v>3320</v>
      </c>
      <c r="LOS45" s="318" t="s">
        <v>3319</v>
      </c>
      <c r="LOT45" s="319" t="s">
        <v>3320</v>
      </c>
      <c r="LOU45" s="318" t="s">
        <v>3319</v>
      </c>
      <c r="LOV45" s="319" t="s">
        <v>3320</v>
      </c>
      <c r="LOW45" s="318" t="s">
        <v>3319</v>
      </c>
      <c r="LOX45" s="319" t="s">
        <v>3320</v>
      </c>
      <c r="LOY45" s="318" t="s">
        <v>3319</v>
      </c>
      <c r="LOZ45" s="319" t="s">
        <v>3320</v>
      </c>
      <c r="LPA45" s="318" t="s">
        <v>3319</v>
      </c>
      <c r="LPB45" s="319" t="s">
        <v>3320</v>
      </c>
      <c r="LPC45" s="318" t="s">
        <v>3319</v>
      </c>
      <c r="LPD45" s="319" t="s">
        <v>3320</v>
      </c>
      <c r="LPE45" s="318" t="s">
        <v>3319</v>
      </c>
      <c r="LPF45" s="319" t="s">
        <v>3320</v>
      </c>
      <c r="LPG45" s="318" t="s">
        <v>3319</v>
      </c>
      <c r="LPH45" s="319" t="s">
        <v>3320</v>
      </c>
      <c r="LPI45" s="318" t="s">
        <v>3319</v>
      </c>
      <c r="LPJ45" s="319" t="s">
        <v>3320</v>
      </c>
      <c r="LPK45" s="318" t="s">
        <v>3319</v>
      </c>
      <c r="LPL45" s="319" t="s">
        <v>3320</v>
      </c>
      <c r="LPM45" s="318" t="s">
        <v>3319</v>
      </c>
      <c r="LPN45" s="319" t="s">
        <v>3320</v>
      </c>
      <c r="LPO45" s="318" t="s">
        <v>3319</v>
      </c>
      <c r="LPP45" s="319" t="s">
        <v>3320</v>
      </c>
      <c r="LPQ45" s="318" t="s">
        <v>3319</v>
      </c>
      <c r="LPR45" s="319" t="s">
        <v>3320</v>
      </c>
      <c r="LPS45" s="318" t="s">
        <v>3319</v>
      </c>
      <c r="LPT45" s="319" t="s">
        <v>3320</v>
      </c>
      <c r="LPU45" s="318" t="s">
        <v>3319</v>
      </c>
      <c r="LPV45" s="319" t="s">
        <v>3320</v>
      </c>
      <c r="LPW45" s="318" t="s">
        <v>3319</v>
      </c>
      <c r="LPX45" s="319" t="s">
        <v>3320</v>
      </c>
      <c r="LPY45" s="318" t="s">
        <v>3319</v>
      </c>
      <c r="LPZ45" s="319" t="s">
        <v>3320</v>
      </c>
      <c r="LQA45" s="318" t="s">
        <v>3319</v>
      </c>
      <c r="LQB45" s="319" t="s">
        <v>3320</v>
      </c>
      <c r="LQC45" s="318" t="s">
        <v>3319</v>
      </c>
      <c r="LQD45" s="319" t="s">
        <v>3320</v>
      </c>
      <c r="LQE45" s="318" t="s">
        <v>3319</v>
      </c>
      <c r="LQF45" s="319" t="s">
        <v>3320</v>
      </c>
      <c r="LQG45" s="318" t="s">
        <v>3319</v>
      </c>
      <c r="LQH45" s="319" t="s">
        <v>3320</v>
      </c>
      <c r="LQI45" s="318" t="s">
        <v>3319</v>
      </c>
      <c r="LQJ45" s="319" t="s">
        <v>3320</v>
      </c>
      <c r="LQK45" s="318" t="s">
        <v>3319</v>
      </c>
      <c r="LQL45" s="319" t="s">
        <v>3320</v>
      </c>
      <c r="LQM45" s="318" t="s">
        <v>3319</v>
      </c>
      <c r="LQN45" s="319" t="s">
        <v>3320</v>
      </c>
      <c r="LQO45" s="318" t="s">
        <v>3319</v>
      </c>
      <c r="LQP45" s="319" t="s">
        <v>3320</v>
      </c>
      <c r="LQQ45" s="318" t="s">
        <v>3319</v>
      </c>
      <c r="LQR45" s="319" t="s">
        <v>3320</v>
      </c>
      <c r="LQS45" s="318" t="s">
        <v>3319</v>
      </c>
      <c r="LQT45" s="319" t="s">
        <v>3320</v>
      </c>
      <c r="LQU45" s="318" t="s">
        <v>3319</v>
      </c>
      <c r="LQV45" s="319" t="s">
        <v>3320</v>
      </c>
      <c r="LQW45" s="318" t="s">
        <v>3319</v>
      </c>
      <c r="LQX45" s="319" t="s">
        <v>3320</v>
      </c>
      <c r="LQY45" s="318" t="s">
        <v>3319</v>
      </c>
      <c r="LQZ45" s="319" t="s">
        <v>3320</v>
      </c>
      <c r="LRA45" s="318" t="s">
        <v>3319</v>
      </c>
      <c r="LRB45" s="319" t="s">
        <v>3320</v>
      </c>
      <c r="LRC45" s="318" t="s">
        <v>3319</v>
      </c>
      <c r="LRD45" s="319" t="s">
        <v>3320</v>
      </c>
      <c r="LRE45" s="318" t="s">
        <v>3319</v>
      </c>
      <c r="LRF45" s="319" t="s">
        <v>3320</v>
      </c>
      <c r="LRG45" s="318" t="s">
        <v>3319</v>
      </c>
      <c r="LRH45" s="319" t="s">
        <v>3320</v>
      </c>
      <c r="LRI45" s="318" t="s">
        <v>3319</v>
      </c>
      <c r="LRJ45" s="319" t="s">
        <v>3320</v>
      </c>
      <c r="LRK45" s="318" t="s">
        <v>3319</v>
      </c>
      <c r="LRL45" s="319" t="s">
        <v>3320</v>
      </c>
      <c r="LRM45" s="318" t="s">
        <v>3319</v>
      </c>
      <c r="LRN45" s="319" t="s">
        <v>3320</v>
      </c>
      <c r="LRO45" s="318" t="s">
        <v>3319</v>
      </c>
      <c r="LRP45" s="319" t="s">
        <v>3320</v>
      </c>
      <c r="LRQ45" s="318" t="s">
        <v>3319</v>
      </c>
      <c r="LRR45" s="319" t="s">
        <v>3320</v>
      </c>
      <c r="LRS45" s="318" t="s">
        <v>3319</v>
      </c>
      <c r="LRT45" s="319" t="s">
        <v>3320</v>
      </c>
      <c r="LRU45" s="318" t="s">
        <v>3319</v>
      </c>
      <c r="LRV45" s="319" t="s">
        <v>3320</v>
      </c>
      <c r="LRW45" s="318" t="s">
        <v>3319</v>
      </c>
      <c r="LRX45" s="319" t="s">
        <v>3320</v>
      </c>
      <c r="LRY45" s="318" t="s">
        <v>3319</v>
      </c>
      <c r="LRZ45" s="319" t="s">
        <v>3320</v>
      </c>
      <c r="LSA45" s="318" t="s">
        <v>3319</v>
      </c>
      <c r="LSB45" s="319" t="s">
        <v>3320</v>
      </c>
      <c r="LSC45" s="318" t="s">
        <v>3319</v>
      </c>
      <c r="LSD45" s="319" t="s">
        <v>3320</v>
      </c>
      <c r="LSE45" s="318" t="s">
        <v>3319</v>
      </c>
      <c r="LSF45" s="319" t="s">
        <v>3320</v>
      </c>
      <c r="LSG45" s="318" t="s">
        <v>3319</v>
      </c>
      <c r="LSH45" s="319" t="s">
        <v>3320</v>
      </c>
      <c r="LSI45" s="318" t="s">
        <v>3319</v>
      </c>
      <c r="LSJ45" s="319" t="s">
        <v>3320</v>
      </c>
      <c r="LSK45" s="318" t="s">
        <v>3319</v>
      </c>
      <c r="LSL45" s="319" t="s">
        <v>3320</v>
      </c>
      <c r="LSM45" s="318" t="s">
        <v>3319</v>
      </c>
      <c r="LSN45" s="319" t="s">
        <v>3320</v>
      </c>
      <c r="LSO45" s="318" t="s">
        <v>3319</v>
      </c>
      <c r="LSP45" s="319" t="s">
        <v>3320</v>
      </c>
      <c r="LSQ45" s="318" t="s">
        <v>3319</v>
      </c>
      <c r="LSR45" s="319" t="s">
        <v>3320</v>
      </c>
      <c r="LSS45" s="318" t="s">
        <v>3319</v>
      </c>
      <c r="LST45" s="319" t="s">
        <v>3320</v>
      </c>
      <c r="LSU45" s="318" t="s">
        <v>3319</v>
      </c>
      <c r="LSV45" s="319" t="s">
        <v>3320</v>
      </c>
      <c r="LSW45" s="318" t="s">
        <v>3319</v>
      </c>
      <c r="LSX45" s="319" t="s">
        <v>3320</v>
      </c>
      <c r="LSY45" s="318" t="s">
        <v>3319</v>
      </c>
      <c r="LSZ45" s="319" t="s">
        <v>3320</v>
      </c>
      <c r="LTA45" s="318" t="s">
        <v>3319</v>
      </c>
      <c r="LTB45" s="319" t="s">
        <v>3320</v>
      </c>
      <c r="LTC45" s="318" t="s">
        <v>3319</v>
      </c>
      <c r="LTD45" s="319" t="s">
        <v>3320</v>
      </c>
      <c r="LTE45" s="318" t="s">
        <v>3319</v>
      </c>
      <c r="LTF45" s="319" t="s">
        <v>3320</v>
      </c>
      <c r="LTG45" s="318" t="s">
        <v>3319</v>
      </c>
      <c r="LTH45" s="319" t="s">
        <v>3320</v>
      </c>
      <c r="LTI45" s="318" t="s">
        <v>3319</v>
      </c>
      <c r="LTJ45" s="319" t="s">
        <v>3320</v>
      </c>
      <c r="LTK45" s="318" t="s">
        <v>3319</v>
      </c>
      <c r="LTL45" s="319" t="s">
        <v>3320</v>
      </c>
      <c r="LTM45" s="318" t="s">
        <v>3319</v>
      </c>
      <c r="LTN45" s="319" t="s">
        <v>3320</v>
      </c>
      <c r="LTO45" s="318" t="s">
        <v>3319</v>
      </c>
      <c r="LTP45" s="319" t="s">
        <v>3320</v>
      </c>
      <c r="LTQ45" s="318" t="s">
        <v>3319</v>
      </c>
      <c r="LTR45" s="319" t="s">
        <v>3320</v>
      </c>
      <c r="LTS45" s="318" t="s">
        <v>3319</v>
      </c>
      <c r="LTT45" s="319" t="s">
        <v>3320</v>
      </c>
      <c r="LTU45" s="318" t="s">
        <v>3319</v>
      </c>
      <c r="LTV45" s="319" t="s">
        <v>3320</v>
      </c>
      <c r="LTW45" s="318" t="s">
        <v>3319</v>
      </c>
      <c r="LTX45" s="319" t="s">
        <v>3320</v>
      </c>
      <c r="LTY45" s="318" t="s">
        <v>3319</v>
      </c>
      <c r="LTZ45" s="319" t="s">
        <v>3320</v>
      </c>
      <c r="LUA45" s="318" t="s">
        <v>3319</v>
      </c>
      <c r="LUB45" s="319" t="s">
        <v>3320</v>
      </c>
      <c r="LUC45" s="318" t="s">
        <v>3319</v>
      </c>
      <c r="LUD45" s="319" t="s">
        <v>3320</v>
      </c>
      <c r="LUE45" s="318" t="s">
        <v>3319</v>
      </c>
      <c r="LUF45" s="319" t="s">
        <v>3320</v>
      </c>
      <c r="LUG45" s="318" t="s">
        <v>3319</v>
      </c>
      <c r="LUH45" s="319" t="s">
        <v>3320</v>
      </c>
      <c r="LUI45" s="318" t="s">
        <v>3319</v>
      </c>
      <c r="LUJ45" s="319" t="s">
        <v>3320</v>
      </c>
      <c r="LUK45" s="318" t="s">
        <v>3319</v>
      </c>
      <c r="LUL45" s="319" t="s">
        <v>3320</v>
      </c>
      <c r="LUM45" s="318" t="s">
        <v>3319</v>
      </c>
      <c r="LUN45" s="319" t="s">
        <v>3320</v>
      </c>
      <c r="LUO45" s="318" t="s">
        <v>3319</v>
      </c>
      <c r="LUP45" s="319" t="s">
        <v>3320</v>
      </c>
      <c r="LUQ45" s="318" t="s">
        <v>3319</v>
      </c>
      <c r="LUR45" s="319" t="s">
        <v>3320</v>
      </c>
      <c r="LUS45" s="318" t="s">
        <v>3319</v>
      </c>
      <c r="LUT45" s="319" t="s">
        <v>3320</v>
      </c>
      <c r="LUU45" s="318" t="s">
        <v>3319</v>
      </c>
      <c r="LUV45" s="319" t="s">
        <v>3320</v>
      </c>
      <c r="LUW45" s="318" t="s">
        <v>3319</v>
      </c>
      <c r="LUX45" s="319" t="s">
        <v>3320</v>
      </c>
      <c r="LUY45" s="318" t="s">
        <v>3319</v>
      </c>
      <c r="LUZ45" s="319" t="s">
        <v>3320</v>
      </c>
      <c r="LVA45" s="318" t="s">
        <v>3319</v>
      </c>
      <c r="LVB45" s="319" t="s">
        <v>3320</v>
      </c>
      <c r="LVC45" s="318" t="s">
        <v>3319</v>
      </c>
      <c r="LVD45" s="319" t="s">
        <v>3320</v>
      </c>
      <c r="LVE45" s="318" t="s">
        <v>3319</v>
      </c>
      <c r="LVF45" s="319" t="s">
        <v>3320</v>
      </c>
      <c r="LVG45" s="318" t="s">
        <v>3319</v>
      </c>
      <c r="LVH45" s="319" t="s">
        <v>3320</v>
      </c>
      <c r="LVI45" s="318" t="s">
        <v>3319</v>
      </c>
      <c r="LVJ45" s="319" t="s">
        <v>3320</v>
      </c>
      <c r="LVK45" s="318" t="s">
        <v>3319</v>
      </c>
      <c r="LVL45" s="319" t="s">
        <v>3320</v>
      </c>
      <c r="LVM45" s="318" t="s">
        <v>3319</v>
      </c>
      <c r="LVN45" s="319" t="s">
        <v>3320</v>
      </c>
      <c r="LVO45" s="318" t="s">
        <v>3319</v>
      </c>
      <c r="LVP45" s="319" t="s">
        <v>3320</v>
      </c>
      <c r="LVQ45" s="318" t="s">
        <v>3319</v>
      </c>
      <c r="LVR45" s="319" t="s">
        <v>3320</v>
      </c>
      <c r="LVS45" s="318" t="s">
        <v>3319</v>
      </c>
      <c r="LVT45" s="319" t="s">
        <v>3320</v>
      </c>
      <c r="LVU45" s="318" t="s">
        <v>3319</v>
      </c>
      <c r="LVV45" s="319" t="s">
        <v>3320</v>
      </c>
      <c r="LVW45" s="318" t="s">
        <v>3319</v>
      </c>
      <c r="LVX45" s="319" t="s">
        <v>3320</v>
      </c>
      <c r="LVY45" s="318" t="s">
        <v>3319</v>
      </c>
      <c r="LVZ45" s="319" t="s">
        <v>3320</v>
      </c>
      <c r="LWA45" s="318" t="s">
        <v>3319</v>
      </c>
      <c r="LWB45" s="319" t="s">
        <v>3320</v>
      </c>
      <c r="LWC45" s="318" t="s">
        <v>3319</v>
      </c>
      <c r="LWD45" s="319" t="s">
        <v>3320</v>
      </c>
      <c r="LWE45" s="318" t="s">
        <v>3319</v>
      </c>
      <c r="LWF45" s="319" t="s">
        <v>3320</v>
      </c>
      <c r="LWG45" s="318" t="s">
        <v>3319</v>
      </c>
      <c r="LWH45" s="319" t="s">
        <v>3320</v>
      </c>
      <c r="LWI45" s="318" t="s">
        <v>3319</v>
      </c>
      <c r="LWJ45" s="319" t="s">
        <v>3320</v>
      </c>
      <c r="LWK45" s="318" t="s">
        <v>3319</v>
      </c>
      <c r="LWL45" s="319" t="s">
        <v>3320</v>
      </c>
      <c r="LWM45" s="318" t="s">
        <v>3319</v>
      </c>
      <c r="LWN45" s="319" t="s">
        <v>3320</v>
      </c>
      <c r="LWO45" s="318" t="s">
        <v>3319</v>
      </c>
      <c r="LWP45" s="319" t="s">
        <v>3320</v>
      </c>
      <c r="LWQ45" s="318" t="s">
        <v>3319</v>
      </c>
      <c r="LWR45" s="319" t="s">
        <v>3320</v>
      </c>
      <c r="LWS45" s="318" t="s">
        <v>3319</v>
      </c>
      <c r="LWT45" s="319" t="s">
        <v>3320</v>
      </c>
      <c r="LWU45" s="318" t="s">
        <v>3319</v>
      </c>
      <c r="LWV45" s="319" t="s">
        <v>3320</v>
      </c>
      <c r="LWW45" s="318" t="s">
        <v>3319</v>
      </c>
      <c r="LWX45" s="319" t="s">
        <v>3320</v>
      </c>
      <c r="LWY45" s="318" t="s">
        <v>3319</v>
      </c>
      <c r="LWZ45" s="319" t="s">
        <v>3320</v>
      </c>
      <c r="LXA45" s="318" t="s">
        <v>3319</v>
      </c>
      <c r="LXB45" s="319" t="s">
        <v>3320</v>
      </c>
      <c r="LXC45" s="318" t="s">
        <v>3319</v>
      </c>
      <c r="LXD45" s="319" t="s">
        <v>3320</v>
      </c>
      <c r="LXE45" s="318" t="s">
        <v>3319</v>
      </c>
      <c r="LXF45" s="319" t="s">
        <v>3320</v>
      </c>
      <c r="LXG45" s="318" t="s">
        <v>3319</v>
      </c>
      <c r="LXH45" s="319" t="s">
        <v>3320</v>
      </c>
      <c r="LXI45" s="318" t="s">
        <v>3319</v>
      </c>
      <c r="LXJ45" s="319" t="s">
        <v>3320</v>
      </c>
      <c r="LXK45" s="318" t="s">
        <v>3319</v>
      </c>
      <c r="LXL45" s="319" t="s">
        <v>3320</v>
      </c>
      <c r="LXM45" s="318" t="s">
        <v>3319</v>
      </c>
      <c r="LXN45" s="319" t="s">
        <v>3320</v>
      </c>
      <c r="LXO45" s="318" t="s">
        <v>3319</v>
      </c>
      <c r="LXP45" s="319" t="s">
        <v>3320</v>
      </c>
      <c r="LXQ45" s="318" t="s">
        <v>3319</v>
      </c>
      <c r="LXR45" s="319" t="s">
        <v>3320</v>
      </c>
      <c r="LXS45" s="318" t="s">
        <v>3319</v>
      </c>
      <c r="LXT45" s="319" t="s">
        <v>3320</v>
      </c>
      <c r="LXU45" s="318" t="s">
        <v>3319</v>
      </c>
      <c r="LXV45" s="319" t="s">
        <v>3320</v>
      </c>
      <c r="LXW45" s="318" t="s">
        <v>3319</v>
      </c>
      <c r="LXX45" s="319" t="s">
        <v>3320</v>
      </c>
      <c r="LXY45" s="318" t="s">
        <v>3319</v>
      </c>
      <c r="LXZ45" s="319" t="s">
        <v>3320</v>
      </c>
      <c r="LYA45" s="318" t="s">
        <v>3319</v>
      </c>
      <c r="LYB45" s="319" t="s">
        <v>3320</v>
      </c>
      <c r="LYC45" s="318" t="s">
        <v>3319</v>
      </c>
      <c r="LYD45" s="319" t="s">
        <v>3320</v>
      </c>
      <c r="LYE45" s="318" t="s">
        <v>3319</v>
      </c>
      <c r="LYF45" s="319" t="s">
        <v>3320</v>
      </c>
      <c r="LYG45" s="318" t="s">
        <v>3319</v>
      </c>
      <c r="LYH45" s="319" t="s">
        <v>3320</v>
      </c>
      <c r="LYI45" s="318" t="s">
        <v>3319</v>
      </c>
      <c r="LYJ45" s="319" t="s">
        <v>3320</v>
      </c>
      <c r="LYK45" s="318" t="s">
        <v>3319</v>
      </c>
      <c r="LYL45" s="319" t="s">
        <v>3320</v>
      </c>
      <c r="LYM45" s="318" t="s">
        <v>3319</v>
      </c>
      <c r="LYN45" s="319" t="s">
        <v>3320</v>
      </c>
      <c r="LYO45" s="318" t="s">
        <v>3319</v>
      </c>
      <c r="LYP45" s="319" t="s">
        <v>3320</v>
      </c>
      <c r="LYQ45" s="318" t="s">
        <v>3319</v>
      </c>
      <c r="LYR45" s="319" t="s">
        <v>3320</v>
      </c>
      <c r="LYS45" s="318" t="s">
        <v>3319</v>
      </c>
      <c r="LYT45" s="319" t="s">
        <v>3320</v>
      </c>
      <c r="LYU45" s="318" t="s">
        <v>3319</v>
      </c>
      <c r="LYV45" s="319" t="s">
        <v>3320</v>
      </c>
      <c r="LYW45" s="318" t="s">
        <v>3319</v>
      </c>
      <c r="LYX45" s="319" t="s">
        <v>3320</v>
      </c>
      <c r="LYY45" s="318" t="s">
        <v>3319</v>
      </c>
      <c r="LYZ45" s="319" t="s">
        <v>3320</v>
      </c>
      <c r="LZA45" s="318" t="s">
        <v>3319</v>
      </c>
      <c r="LZB45" s="319" t="s">
        <v>3320</v>
      </c>
      <c r="LZC45" s="318" t="s">
        <v>3319</v>
      </c>
      <c r="LZD45" s="319" t="s">
        <v>3320</v>
      </c>
      <c r="LZE45" s="318" t="s">
        <v>3319</v>
      </c>
      <c r="LZF45" s="319" t="s">
        <v>3320</v>
      </c>
      <c r="LZG45" s="318" t="s">
        <v>3319</v>
      </c>
      <c r="LZH45" s="319" t="s">
        <v>3320</v>
      </c>
      <c r="LZI45" s="318" t="s">
        <v>3319</v>
      </c>
      <c r="LZJ45" s="319" t="s">
        <v>3320</v>
      </c>
      <c r="LZK45" s="318" t="s">
        <v>3319</v>
      </c>
      <c r="LZL45" s="319" t="s">
        <v>3320</v>
      </c>
      <c r="LZM45" s="318" t="s">
        <v>3319</v>
      </c>
      <c r="LZN45" s="319" t="s">
        <v>3320</v>
      </c>
      <c r="LZO45" s="318" t="s">
        <v>3319</v>
      </c>
      <c r="LZP45" s="319" t="s">
        <v>3320</v>
      </c>
      <c r="LZQ45" s="318" t="s">
        <v>3319</v>
      </c>
      <c r="LZR45" s="319" t="s">
        <v>3320</v>
      </c>
      <c r="LZS45" s="318" t="s">
        <v>3319</v>
      </c>
      <c r="LZT45" s="319" t="s">
        <v>3320</v>
      </c>
      <c r="LZU45" s="318" t="s">
        <v>3319</v>
      </c>
      <c r="LZV45" s="319" t="s">
        <v>3320</v>
      </c>
      <c r="LZW45" s="318" t="s">
        <v>3319</v>
      </c>
      <c r="LZX45" s="319" t="s">
        <v>3320</v>
      </c>
      <c r="LZY45" s="318" t="s">
        <v>3319</v>
      </c>
      <c r="LZZ45" s="319" t="s">
        <v>3320</v>
      </c>
      <c r="MAA45" s="318" t="s">
        <v>3319</v>
      </c>
      <c r="MAB45" s="319" t="s">
        <v>3320</v>
      </c>
      <c r="MAC45" s="318" t="s">
        <v>3319</v>
      </c>
      <c r="MAD45" s="319" t="s">
        <v>3320</v>
      </c>
      <c r="MAE45" s="318" t="s">
        <v>3319</v>
      </c>
      <c r="MAF45" s="319" t="s">
        <v>3320</v>
      </c>
      <c r="MAG45" s="318" t="s">
        <v>3319</v>
      </c>
      <c r="MAH45" s="319" t="s">
        <v>3320</v>
      </c>
      <c r="MAI45" s="318" t="s">
        <v>3319</v>
      </c>
      <c r="MAJ45" s="319" t="s">
        <v>3320</v>
      </c>
      <c r="MAK45" s="318" t="s">
        <v>3319</v>
      </c>
      <c r="MAL45" s="319" t="s">
        <v>3320</v>
      </c>
      <c r="MAM45" s="318" t="s">
        <v>3319</v>
      </c>
      <c r="MAN45" s="319" t="s">
        <v>3320</v>
      </c>
      <c r="MAO45" s="318" t="s">
        <v>3319</v>
      </c>
      <c r="MAP45" s="319" t="s">
        <v>3320</v>
      </c>
      <c r="MAQ45" s="318" t="s">
        <v>3319</v>
      </c>
      <c r="MAR45" s="319" t="s">
        <v>3320</v>
      </c>
      <c r="MAS45" s="318" t="s">
        <v>3319</v>
      </c>
      <c r="MAT45" s="319" t="s">
        <v>3320</v>
      </c>
      <c r="MAU45" s="318" t="s">
        <v>3319</v>
      </c>
      <c r="MAV45" s="319" t="s">
        <v>3320</v>
      </c>
      <c r="MAW45" s="318" t="s">
        <v>3319</v>
      </c>
      <c r="MAX45" s="319" t="s">
        <v>3320</v>
      </c>
      <c r="MAY45" s="318" t="s">
        <v>3319</v>
      </c>
      <c r="MAZ45" s="319" t="s">
        <v>3320</v>
      </c>
      <c r="MBA45" s="318" t="s">
        <v>3319</v>
      </c>
      <c r="MBB45" s="319" t="s">
        <v>3320</v>
      </c>
      <c r="MBC45" s="318" t="s">
        <v>3319</v>
      </c>
      <c r="MBD45" s="319" t="s">
        <v>3320</v>
      </c>
      <c r="MBE45" s="318" t="s">
        <v>3319</v>
      </c>
      <c r="MBF45" s="319" t="s">
        <v>3320</v>
      </c>
      <c r="MBG45" s="318" t="s">
        <v>3319</v>
      </c>
      <c r="MBH45" s="319" t="s">
        <v>3320</v>
      </c>
      <c r="MBI45" s="318" t="s">
        <v>3319</v>
      </c>
      <c r="MBJ45" s="319" t="s">
        <v>3320</v>
      </c>
      <c r="MBK45" s="318" t="s">
        <v>3319</v>
      </c>
      <c r="MBL45" s="319" t="s">
        <v>3320</v>
      </c>
      <c r="MBM45" s="318" t="s">
        <v>3319</v>
      </c>
      <c r="MBN45" s="319" t="s">
        <v>3320</v>
      </c>
      <c r="MBO45" s="318" t="s">
        <v>3319</v>
      </c>
      <c r="MBP45" s="319" t="s">
        <v>3320</v>
      </c>
      <c r="MBQ45" s="318" t="s">
        <v>3319</v>
      </c>
      <c r="MBR45" s="319" t="s">
        <v>3320</v>
      </c>
      <c r="MBS45" s="318" t="s">
        <v>3319</v>
      </c>
      <c r="MBT45" s="319" t="s">
        <v>3320</v>
      </c>
      <c r="MBU45" s="318" t="s">
        <v>3319</v>
      </c>
      <c r="MBV45" s="319" t="s">
        <v>3320</v>
      </c>
      <c r="MBW45" s="318" t="s">
        <v>3319</v>
      </c>
      <c r="MBX45" s="319" t="s">
        <v>3320</v>
      </c>
      <c r="MBY45" s="318" t="s">
        <v>3319</v>
      </c>
      <c r="MBZ45" s="319" t="s">
        <v>3320</v>
      </c>
      <c r="MCA45" s="318" t="s">
        <v>3319</v>
      </c>
      <c r="MCB45" s="319" t="s">
        <v>3320</v>
      </c>
      <c r="MCC45" s="318" t="s">
        <v>3319</v>
      </c>
      <c r="MCD45" s="319" t="s">
        <v>3320</v>
      </c>
      <c r="MCE45" s="318" t="s">
        <v>3319</v>
      </c>
      <c r="MCF45" s="319" t="s">
        <v>3320</v>
      </c>
      <c r="MCG45" s="318" t="s">
        <v>3319</v>
      </c>
      <c r="MCH45" s="319" t="s">
        <v>3320</v>
      </c>
      <c r="MCI45" s="318" t="s">
        <v>3319</v>
      </c>
      <c r="MCJ45" s="319" t="s">
        <v>3320</v>
      </c>
      <c r="MCK45" s="318" t="s">
        <v>3319</v>
      </c>
      <c r="MCL45" s="319" t="s">
        <v>3320</v>
      </c>
      <c r="MCM45" s="318" t="s">
        <v>3319</v>
      </c>
      <c r="MCN45" s="319" t="s">
        <v>3320</v>
      </c>
      <c r="MCO45" s="318" t="s">
        <v>3319</v>
      </c>
      <c r="MCP45" s="319" t="s">
        <v>3320</v>
      </c>
      <c r="MCQ45" s="318" t="s">
        <v>3319</v>
      </c>
      <c r="MCR45" s="319" t="s">
        <v>3320</v>
      </c>
      <c r="MCS45" s="318" t="s">
        <v>3319</v>
      </c>
      <c r="MCT45" s="319" t="s">
        <v>3320</v>
      </c>
      <c r="MCU45" s="318" t="s">
        <v>3319</v>
      </c>
      <c r="MCV45" s="319" t="s">
        <v>3320</v>
      </c>
      <c r="MCW45" s="318" t="s">
        <v>3319</v>
      </c>
      <c r="MCX45" s="319" t="s">
        <v>3320</v>
      </c>
      <c r="MCY45" s="318" t="s">
        <v>3319</v>
      </c>
      <c r="MCZ45" s="319" t="s">
        <v>3320</v>
      </c>
      <c r="MDA45" s="318" t="s">
        <v>3319</v>
      </c>
      <c r="MDB45" s="319" t="s">
        <v>3320</v>
      </c>
      <c r="MDC45" s="318" t="s">
        <v>3319</v>
      </c>
      <c r="MDD45" s="319" t="s">
        <v>3320</v>
      </c>
      <c r="MDE45" s="318" t="s">
        <v>3319</v>
      </c>
      <c r="MDF45" s="319" t="s">
        <v>3320</v>
      </c>
      <c r="MDG45" s="318" t="s">
        <v>3319</v>
      </c>
      <c r="MDH45" s="319" t="s">
        <v>3320</v>
      </c>
      <c r="MDI45" s="318" t="s">
        <v>3319</v>
      </c>
      <c r="MDJ45" s="319" t="s">
        <v>3320</v>
      </c>
      <c r="MDK45" s="318" t="s">
        <v>3319</v>
      </c>
      <c r="MDL45" s="319" t="s">
        <v>3320</v>
      </c>
      <c r="MDM45" s="318" t="s">
        <v>3319</v>
      </c>
      <c r="MDN45" s="319" t="s">
        <v>3320</v>
      </c>
      <c r="MDO45" s="318" t="s">
        <v>3319</v>
      </c>
      <c r="MDP45" s="319" t="s">
        <v>3320</v>
      </c>
      <c r="MDQ45" s="318" t="s">
        <v>3319</v>
      </c>
      <c r="MDR45" s="319" t="s">
        <v>3320</v>
      </c>
      <c r="MDS45" s="318" t="s">
        <v>3319</v>
      </c>
      <c r="MDT45" s="319" t="s">
        <v>3320</v>
      </c>
      <c r="MDU45" s="318" t="s">
        <v>3319</v>
      </c>
      <c r="MDV45" s="319" t="s">
        <v>3320</v>
      </c>
      <c r="MDW45" s="318" t="s">
        <v>3319</v>
      </c>
      <c r="MDX45" s="319" t="s">
        <v>3320</v>
      </c>
      <c r="MDY45" s="318" t="s">
        <v>3319</v>
      </c>
      <c r="MDZ45" s="319" t="s">
        <v>3320</v>
      </c>
      <c r="MEA45" s="318" t="s">
        <v>3319</v>
      </c>
      <c r="MEB45" s="319" t="s">
        <v>3320</v>
      </c>
      <c r="MEC45" s="318" t="s">
        <v>3319</v>
      </c>
      <c r="MED45" s="319" t="s">
        <v>3320</v>
      </c>
      <c r="MEE45" s="318" t="s">
        <v>3319</v>
      </c>
      <c r="MEF45" s="319" t="s">
        <v>3320</v>
      </c>
      <c r="MEG45" s="318" t="s">
        <v>3319</v>
      </c>
      <c r="MEH45" s="319" t="s">
        <v>3320</v>
      </c>
      <c r="MEI45" s="318" t="s">
        <v>3319</v>
      </c>
      <c r="MEJ45" s="319" t="s">
        <v>3320</v>
      </c>
      <c r="MEK45" s="318" t="s">
        <v>3319</v>
      </c>
      <c r="MEL45" s="319" t="s">
        <v>3320</v>
      </c>
      <c r="MEM45" s="318" t="s">
        <v>3319</v>
      </c>
      <c r="MEN45" s="319" t="s">
        <v>3320</v>
      </c>
      <c r="MEO45" s="318" t="s">
        <v>3319</v>
      </c>
      <c r="MEP45" s="319" t="s">
        <v>3320</v>
      </c>
      <c r="MEQ45" s="318" t="s">
        <v>3319</v>
      </c>
      <c r="MER45" s="319" t="s">
        <v>3320</v>
      </c>
      <c r="MES45" s="318" t="s">
        <v>3319</v>
      </c>
      <c r="MET45" s="319" t="s">
        <v>3320</v>
      </c>
      <c r="MEU45" s="318" t="s">
        <v>3319</v>
      </c>
      <c r="MEV45" s="319" t="s">
        <v>3320</v>
      </c>
      <c r="MEW45" s="318" t="s">
        <v>3319</v>
      </c>
      <c r="MEX45" s="319" t="s">
        <v>3320</v>
      </c>
      <c r="MEY45" s="318" t="s">
        <v>3319</v>
      </c>
      <c r="MEZ45" s="319" t="s">
        <v>3320</v>
      </c>
      <c r="MFA45" s="318" t="s">
        <v>3319</v>
      </c>
      <c r="MFB45" s="319" t="s">
        <v>3320</v>
      </c>
      <c r="MFC45" s="318" t="s">
        <v>3319</v>
      </c>
      <c r="MFD45" s="319" t="s">
        <v>3320</v>
      </c>
      <c r="MFE45" s="318" t="s">
        <v>3319</v>
      </c>
      <c r="MFF45" s="319" t="s">
        <v>3320</v>
      </c>
      <c r="MFG45" s="318" t="s">
        <v>3319</v>
      </c>
      <c r="MFH45" s="319" t="s">
        <v>3320</v>
      </c>
      <c r="MFI45" s="318" t="s">
        <v>3319</v>
      </c>
      <c r="MFJ45" s="319" t="s">
        <v>3320</v>
      </c>
      <c r="MFK45" s="318" t="s">
        <v>3319</v>
      </c>
      <c r="MFL45" s="319" t="s">
        <v>3320</v>
      </c>
      <c r="MFM45" s="318" t="s">
        <v>3319</v>
      </c>
      <c r="MFN45" s="319" t="s">
        <v>3320</v>
      </c>
      <c r="MFO45" s="318" t="s">
        <v>3319</v>
      </c>
      <c r="MFP45" s="319" t="s">
        <v>3320</v>
      </c>
      <c r="MFQ45" s="318" t="s">
        <v>3319</v>
      </c>
      <c r="MFR45" s="319" t="s">
        <v>3320</v>
      </c>
      <c r="MFS45" s="318" t="s">
        <v>3319</v>
      </c>
      <c r="MFT45" s="319" t="s">
        <v>3320</v>
      </c>
      <c r="MFU45" s="318" t="s">
        <v>3319</v>
      </c>
      <c r="MFV45" s="319" t="s">
        <v>3320</v>
      </c>
      <c r="MFW45" s="318" t="s">
        <v>3319</v>
      </c>
      <c r="MFX45" s="319" t="s">
        <v>3320</v>
      </c>
      <c r="MFY45" s="318" t="s">
        <v>3319</v>
      </c>
      <c r="MFZ45" s="319" t="s">
        <v>3320</v>
      </c>
      <c r="MGA45" s="318" t="s">
        <v>3319</v>
      </c>
      <c r="MGB45" s="319" t="s">
        <v>3320</v>
      </c>
      <c r="MGC45" s="318" t="s">
        <v>3319</v>
      </c>
      <c r="MGD45" s="319" t="s">
        <v>3320</v>
      </c>
      <c r="MGE45" s="318" t="s">
        <v>3319</v>
      </c>
      <c r="MGF45" s="319" t="s">
        <v>3320</v>
      </c>
      <c r="MGG45" s="318" t="s">
        <v>3319</v>
      </c>
      <c r="MGH45" s="319" t="s">
        <v>3320</v>
      </c>
      <c r="MGI45" s="318" t="s">
        <v>3319</v>
      </c>
      <c r="MGJ45" s="319" t="s">
        <v>3320</v>
      </c>
      <c r="MGK45" s="318" t="s">
        <v>3319</v>
      </c>
      <c r="MGL45" s="319" t="s">
        <v>3320</v>
      </c>
      <c r="MGM45" s="318" t="s">
        <v>3319</v>
      </c>
      <c r="MGN45" s="319" t="s">
        <v>3320</v>
      </c>
      <c r="MGO45" s="318" t="s">
        <v>3319</v>
      </c>
      <c r="MGP45" s="319" t="s">
        <v>3320</v>
      </c>
      <c r="MGQ45" s="318" t="s">
        <v>3319</v>
      </c>
      <c r="MGR45" s="319" t="s">
        <v>3320</v>
      </c>
      <c r="MGS45" s="318" t="s">
        <v>3319</v>
      </c>
      <c r="MGT45" s="319" t="s">
        <v>3320</v>
      </c>
      <c r="MGU45" s="318" t="s">
        <v>3319</v>
      </c>
      <c r="MGV45" s="319" t="s">
        <v>3320</v>
      </c>
      <c r="MGW45" s="318" t="s">
        <v>3319</v>
      </c>
      <c r="MGX45" s="319" t="s">
        <v>3320</v>
      </c>
      <c r="MGY45" s="318" t="s">
        <v>3319</v>
      </c>
      <c r="MGZ45" s="319" t="s">
        <v>3320</v>
      </c>
      <c r="MHA45" s="318" t="s">
        <v>3319</v>
      </c>
      <c r="MHB45" s="319" t="s">
        <v>3320</v>
      </c>
      <c r="MHC45" s="318" t="s">
        <v>3319</v>
      </c>
      <c r="MHD45" s="319" t="s">
        <v>3320</v>
      </c>
      <c r="MHE45" s="318" t="s">
        <v>3319</v>
      </c>
      <c r="MHF45" s="319" t="s">
        <v>3320</v>
      </c>
      <c r="MHG45" s="318" t="s">
        <v>3319</v>
      </c>
      <c r="MHH45" s="319" t="s">
        <v>3320</v>
      </c>
      <c r="MHI45" s="318" t="s">
        <v>3319</v>
      </c>
      <c r="MHJ45" s="319" t="s">
        <v>3320</v>
      </c>
      <c r="MHK45" s="318" t="s">
        <v>3319</v>
      </c>
      <c r="MHL45" s="319" t="s">
        <v>3320</v>
      </c>
      <c r="MHM45" s="318" t="s">
        <v>3319</v>
      </c>
      <c r="MHN45" s="319" t="s">
        <v>3320</v>
      </c>
      <c r="MHO45" s="318" t="s">
        <v>3319</v>
      </c>
      <c r="MHP45" s="319" t="s">
        <v>3320</v>
      </c>
      <c r="MHQ45" s="318" t="s">
        <v>3319</v>
      </c>
      <c r="MHR45" s="319" t="s">
        <v>3320</v>
      </c>
      <c r="MHS45" s="318" t="s">
        <v>3319</v>
      </c>
      <c r="MHT45" s="319" t="s">
        <v>3320</v>
      </c>
      <c r="MHU45" s="318" t="s">
        <v>3319</v>
      </c>
      <c r="MHV45" s="319" t="s">
        <v>3320</v>
      </c>
      <c r="MHW45" s="318" t="s">
        <v>3319</v>
      </c>
      <c r="MHX45" s="319" t="s">
        <v>3320</v>
      </c>
      <c r="MHY45" s="318" t="s">
        <v>3319</v>
      </c>
      <c r="MHZ45" s="319" t="s">
        <v>3320</v>
      </c>
      <c r="MIA45" s="318" t="s">
        <v>3319</v>
      </c>
      <c r="MIB45" s="319" t="s">
        <v>3320</v>
      </c>
      <c r="MIC45" s="318" t="s">
        <v>3319</v>
      </c>
      <c r="MID45" s="319" t="s">
        <v>3320</v>
      </c>
      <c r="MIE45" s="318" t="s">
        <v>3319</v>
      </c>
      <c r="MIF45" s="319" t="s">
        <v>3320</v>
      </c>
      <c r="MIG45" s="318" t="s">
        <v>3319</v>
      </c>
      <c r="MIH45" s="319" t="s">
        <v>3320</v>
      </c>
      <c r="MII45" s="318" t="s">
        <v>3319</v>
      </c>
      <c r="MIJ45" s="319" t="s">
        <v>3320</v>
      </c>
      <c r="MIK45" s="318" t="s">
        <v>3319</v>
      </c>
      <c r="MIL45" s="319" t="s">
        <v>3320</v>
      </c>
      <c r="MIM45" s="318" t="s">
        <v>3319</v>
      </c>
      <c r="MIN45" s="319" t="s">
        <v>3320</v>
      </c>
      <c r="MIO45" s="318" t="s">
        <v>3319</v>
      </c>
      <c r="MIP45" s="319" t="s">
        <v>3320</v>
      </c>
      <c r="MIQ45" s="318" t="s">
        <v>3319</v>
      </c>
      <c r="MIR45" s="319" t="s">
        <v>3320</v>
      </c>
      <c r="MIS45" s="318" t="s">
        <v>3319</v>
      </c>
      <c r="MIT45" s="319" t="s">
        <v>3320</v>
      </c>
      <c r="MIU45" s="318" t="s">
        <v>3319</v>
      </c>
      <c r="MIV45" s="319" t="s">
        <v>3320</v>
      </c>
      <c r="MIW45" s="318" t="s">
        <v>3319</v>
      </c>
      <c r="MIX45" s="319" t="s">
        <v>3320</v>
      </c>
      <c r="MIY45" s="318" t="s">
        <v>3319</v>
      </c>
      <c r="MIZ45" s="319" t="s">
        <v>3320</v>
      </c>
      <c r="MJA45" s="318" t="s">
        <v>3319</v>
      </c>
      <c r="MJB45" s="319" t="s">
        <v>3320</v>
      </c>
      <c r="MJC45" s="318" t="s">
        <v>3319</v>
      </c>
      <c r="MJD45" s="319" t="s">
        <v>3320</v>
      </c>
      <c r="MJE45" s="318" t="s">
        <v>3319</v>
      </c>
      <c r="MJF45" s="319" t="s">
        <v>3320</v>
      </c>
      <c r="MJG45" s="318" t="s">
        <v>3319</v>
      </c>
      <c r="MJH45" s="319" t="s">
        <v>3320</v>
      </c>
      <c r="MJI45" s="318" t="s">
        <v>3319</v>
      </c>
      <c r="MJJ45" s="319" t="s">
        <v>3320</v>
      </c>
      <c r="MJK45" s="318" t="s">
        <v>3319</v>
      </c>
      <c r="MJL45" s="319" t="s">
        <v>3320</v>
      </c>
      <c r="MJM45" s="318" t="s">
        <v>3319</v>
      </c>
      <c r="MJN45" s="319" t="s">
        <v>3320</v>
      </c>
      <c r="MJO45" s="318" t="s">
        <v>3319</v>
      </c>
      <c r="MJP45" s="319" t="s">
        <v>3320</v>
      </c>
      <c r="MJQ45" s="318" t="s">
        <v>3319</v>
      </c>
      <c r="MJR45" s="319" t="s">
        <v>3320</v>
      </c>
      <c r="MJS45" s="318" t="s">
        <v>3319</v>
      </c>
      <c r="MJT45" s="319" t="s">
        <v>3320</v>
      </c>
      <c r="MJU45" s="318" t="s">
        <v>3319</v>
      </c>
      <c r="MJV45" s="319" t="s">
        <v>3320</v>
      </c>
      <c r="MJW45" s="318" t="s">
        <v>3319</v>
      </c>
      <c r="MJX45" s="319" t="s">
        <v>3320</v>
      </c>
      <c r="MJY45" s="318" t="s">
        <v>3319</v>
      </c>
      <c r="MJZ45" s="319" t="s">
        <v>3320</v>
      </c>
      <c r="MKA45" s="318" t="s">
        <v>3319</v>
      </c>
      <c r="MKB45" s="319" t="s">
        <v>3320</v>
      </c>
      <c r="MKC45" s="318" t="s">
        <v>3319</v>
      </c>
      <c r="MKD45" s="319" t="s">
        <v>3320</v>
      </c>
      <c r="MKE45" s="318" t="s">
        <v>3319</v>
      </c>
      <c r="MKF45" s="319" t="s">
        <v>3320</v>
      </c>
      <c r="MKG45" s="318" t="s">
        <v>3319</v>
      </c>
      <c r="MKH45" s="319" t="s">
        <v>3320</v>
      </c>
      <c r="MKI45" s="318" t="s">
        <v>3319</v>
      </c>
      <c r="MKJ45" s="319" t="s">
        <v>3320</v>
      </c>
      <c r="MKK45" s="318" t="s">
        <v>3319</v>
      </c>
      <c r="MKL45" s="319" t="s">
        <v>3320</v>
      </c>
      <c r="MKM45" s="318" t="s">
        <v>3319</v>
      </c>
      <c r="MKN45" s="319" t="s">
        <v>3320</v>
      </c>
      <c r="MKO45" s="318" t="s">
        <v>3319</v>
      </c>
      <c r="MKP45" s="319" t="s">
        <v>3320</v>
      </c>
      <c r="MKQ45" s="318" t="s">
        <v>3319</v>
      </c>
      <c r="MKR45" s="319" t="s">
        <v>3320</v>
      </c>
      <c r="MKS45" s="318" t="s">
        <v>3319</v>
      </c>
      <c r="MKT45" s="319" t="s">
        <v>3320</v>
      </c>
      <c r="MKU45" s="318" t="s">
        <v>3319</v>
      </c>
      <c r="MKV45" s="319" t="s">
        <v>3320</v>
      </c>
      <c r="MKW45" s="318" t="s">
        <v>3319</v>
      </c>
      <c r="MKX45" s="319" t="s">
        <v>3320</v>
      </c>
      <c r="MKY45" s="318" t="s">
        <v>3319</v>
      </c>
      <c r="MKZ45" s="319" t="s">
        <v>3320</v>
      </c>
      <c r="MLA45" s="318" t="s">
        <v>3319</v>
      </c>
      <c r="MLB45" s="319" t="s">
        <v>3320</v>
      </c>
      <c r="MLC45" s="318" t="s">
        <v>3319</v>
      </c>
      <c r="MLD45" s="319" t="s">
        <v>3320</v>
      </c>
      <c r="MLE45" s="318" t="s">
        <v>3319</v>
      </c>
      <c r="MLF45" s="319" t="s">
        <v>3320</v>
      </c>
      <c r="MLG45" s="318" t="s">
        <v>3319</v>
      </c>
      <c r="MLH45" s="319" t="s">
        <v>3320</v>
      </c>
      <c r="MLI45" s="318" t="s">
        <v>3319</v>
      </c>
      <c r="MLJ45" s="319" t="s">
        <v>3320</v>
      </c>
      <c r="MLK45" s="318" t="s">
        <v>3319</v>
      </c>
      <c r="MLL45" s="319" t="s">
        <v>3320</v>
      </c>
      <c r="MLM45" s="318" t="s">
        <v>3319</v>
      </c>
      <c r="MLN45" s="319" t="s">
        <v>3320</v>
      </c>
      <c r="MLO45" s="318" t="s">
        <v>3319</v>
      </c>
      <c r="MLP45" s="319" t="s">
        <v>3320</v>
      </c>
      <c r="MLQ45" s="318" t="s">
        <v>3319</v>
      </c>
      <c r="MLR45" s="319" t="s">
        <v>3320</v>
      </c>
      <c r="MLS45" s="318" t="s">
        <v>3319</v>
      </c>
      <c r="MLT45" s="319" t="s">
        <v>3320</v>
      </c>
      <c r="MLU45" s="318" t="s">
        <v>3319</v>
      </c>
      <c r="MLV45" s="319" t="s">
        <v>3320</v>
      </c>
      <c r="MLW45" s="318" t="s">
        <v>3319</v>
      </c>
      <c r="MLX45" s="319" t="s">
        <v>3320</v>
      </c>
      <c r="MLY45" s="318" t="s">
        <v>3319</v>
      </c>
      <c r="MLZ45" s="319" t="s">
        <v>3320</v>
      </c>
      <c r="MMA45" s="318" t="s">
        <v>3319</v>
      </c>
      <c r="MMB45" s="319" t="s">
        <v>3320</v>
      </c>
      <c r="MMC45" s="318" t="s">
        <v>3319</v>
      </c>
      <c r="MMD45" s="319" t="s">
        <v>3320</v>
      </c>
      <c r="MME45" s="318" t="s">
        <v>3319</v>
      </c>
      <c r="MMF45" s="319" t="s">
        <v>3320</v>
      </c>
      <c r="MMG45" s="318" t="s">
        <v>3319</v>
      </c>
      <c r="MMH45" s="319" t="s">
        <v>3320</v>
      </c>
      <c r="MMI45" s="318" t="s">
        <v>3319</v>
      </c>
      <c r="MMJ45" s="319" t="s">
        <v>3320</v>
      </c>
      <c r="MMK45" s="318" t="s">
        <v>3319</v>
      </c>
      <c r="MML45" s="319" t="s">
        <v>3320</v>
      </c>
      <c r="MMM45" s="318" t="s">
        <v>3319</v>
      </c>
      <c r="MMN45" s="319" t="s">
        <v>3320</v>
      </c>
      <c r="MMO45" s="318" t="s">
        <v>3319</v>
      </c>
      <c r="MMP45" s="319" t="s">
        <v>3320</v>
      </c>
      <c r="MMQ45" s="318" t="s">
        <v>3319</v>
      </c>
      <c r="MMR45" s="319" t="s">
        <v>3320</v>
      </c>
      <c r="MMS45" s="318" t="s">
        <v>3319</v>
      </c>
      <c r="MMT45" s="319" t="s">
        <v>3320</v>
      </c>
      <c r="MMU45" s="318" t="s">
        <v>3319</v>
      </c>
      <c r="MMV45" s="319" t="s">
        <v>3320</v>
      </c>
      <c r="MMW45" s="318" t="s">
        <v>3319</v>
      </c>
      <c r="MMX45" s="319" t="s">
        <v>3320</v>
      </c>
      <c r="MMY45" s="318" t="s">
        <v>3319</v>
      </c>
      <c r="MMZ45" s="319" t="s">
        <v>3320</v>
      </c>
      <c r="MNA45" s="318" t="s">
        <v>3319</v>
      </c>
      <c r="MNB45" s="319" t="s">
        <v>3320</v>
      </c>
      <c r="MNC45" s="318" t="s">
        <v>3319</v>
      </c>
      <c r="MND45" s="319" t="s">
        <v>3320</v>
      </c>
      <c r="MNE45" s="318" t="s">
        <v>3319</v>
      </c>
      <c r="MNF45" s="319" t="s">
        <v>3320</v>
      </c>
      <c r="MNG45" s="318" t="s">
        <v>3319</v>
      </c>
      <c r="MNH45" s="319" t="s">
        <v>3320</v>
      </c>
      <c r="MNI45" s="318" t="s">
        <v>3319</v>
      </c>
      <c r="MNJ45" s="319" t="s">
        <v>3320</v>
      </c>
      <c r="MNK45" s="318" t="s">
        <v>3319</v>
      </c>
      <c r="MNL45" s="319" t="s">
        <v>3320</v>
      </c>
      <c r="MNM45" s="318" t="s">
        <v>3319</v>
      </c>
      <c r="MNN45" s="319" t="s">
        <v>3320</v>
      </c>
      <c r="MNO45" s="318" t="s">
        <v>3319</v>
      </c>
      <c r="MNP45" s="319" t="s">
        <v>3320</v>
      </c>
      <c r="MNQ45" s="318" t="s">
        <v>3319</v>
      </c>
      <c r="MNR45" s="319" t="s">
        <v>3320</v>
      </c>
      <c r="MNS45" s="318" t="s">
        <v>3319</v>
      </c>
      <c r="MNT45" s="319" t="s">
        <v>3320</v>
      </c>
      <c r="MNU45" s="318" t="s">
        <v>3319</v>
      </c>
      <c r="MNV45" s="319" t="s">
        <v>3320</v>
      </c>
      <c r="MNW45" s="318" t="s">
        <v>3319</v>
      </c>
      <c r="MNX45" s="319" t="s">
        <v>3320</v>
      </c>
      <c r="MNY45" s="318" t="s">
        <v>3319</v>
      </c>
      <c r="MNZ45" s="319" t="s">
        <v>3320</v>
      </c>
      <c r="MOA45" s="318" t="s">
        <v>3319</v>
      </c>
      <c r="MOB45" s="319" t="s">
        <v>3320</v>
      </c>
      <c r="MOC45" s="318" t="s">
        <v>3319</v>
      </c>
      <c r="MOD45" s="319" t="s">
        <v>3320</v>
      </c>
      <c r="MOE45" s="318" t="s">
        <v>3319</v>
      </c>
      <c r="MOF45" s="319" t="s">
        <v>3320</v>
      </c>
      <c r="MOG45" s="318" t="s">
        <v>3319</v>
      </c>
      <c r="MOH45" s="319" t="s">
        <v>3320</v>
      </c>
      <c r="MOI45" s="318" t="s">
        <v>3319</v>
      </c>
      <c r="MOJ45" s="319" t="s">
        <v>3320</v>
      </c>
      <c r="MOK45" s="318" t="s">
        <v>3319</v>
      </c>
      <c r="MOL45" s="319" t="s">
        <v>3320</v>
      </c>
      <c r="MOM45" s="318" t="s">
        <v>3319</v>
      </c>
      <c r="MON45" s="319" t="s">
        <v>3320</v>
      </c>
      <c r="MOO45" s="318" t="s">
        <v>3319</v>
      </c>
      <c r="MOP45" s="319" t="s">
        <v>3320</v>
      </c>
      <c r="MOQ45" s="318" t="s">
        <v>3319</v>
      </c>
      <c r="MOR45" s="319" t="s">
        <v>3320</v>
      </c>
      <c r="MOS45" s="318" t="s">
        <v>3319</v>
      </c>
      <c r="MOT45" s="319" t="s">
        <v>3320</v>
      </c>
      <c r="MOU45" s="318" t="s">
        <v>3319</v>
      </c>
      <c r="MOV45" s="319" t="s">
        <v>3320</v>
      </c>
      <c r="MOW45" s="318" t="s">
        <v>3319</v>
      </c>
      <c r="MOX45" s="319" t="s">
        <v>3320</v>
      </c>
      <c r="MOY45" s="318" t="s">
        <v>3319</v>
      </c>
      <c r="MOZ45" s="319" t="s">
        <v>3320</v>
      </c>
      <c r="MPA45" s="318" t="s">
        <v>3319</v>
      </c>
      <c r="MPB45" s="319" t="s">
        <v>3320</v>
      </c>
      <c r="MPC45" s="318" t="s">
        <v>3319</v>
      </c>
      <c r="MPD45" s="319" t="s">
        <v>3320</v>
      </c>
      <c r="MPE45" s="318" t="s">
        <v>3319</v>
      </c>
      <c r="MPF45" s="319" t="s">
        <v>3320</v>
      </c>
      <c r="MPG45" s="318" t="s">
        <v>3319</v>
      </c>
      <c r="MPH45" s="319" t="s">
        <v>3320</v>
      </c>
      <c r="MPI45" s="318" t="s">
        <v>3319</v>
      </c>
      <c r="MPJ45" s="319" t="s">
        <v>3320</v>
      </c>
      <c r="MPK45" s="318" t="s">
        <v>3319</v>
      </c>
      <c r="MPL45" s="319" t="s">
        <v>3320</v>
      </c>
      <c r="MPM45" s="318" t="s">
        <v>3319</v>
      </c>
      <c r="MPN45" s="319" t="s">
        <v>3320</v>
      </c>
      <c r="MPO45" s="318" t="s">
        <v>3319</v>
      </c>
      <c r="MPP45" s="319" t="s">
        <v>3320</v>
      </c>
      <c r="MPQ45" s="318" t="s">
        <v>3319</v>
      </c>
      <c r="MPR45" s="319" t="s">
        <v>3320</v>
      </c>
      <c r="MPS45" s="318" t="s">
        <v>3319</v>
      </c>
      <c r="MPT45" s="319" t="s">
        <v>3320</v>
      </c>
      <c r="MPU45" s="318" t="s">
        <v>3319</v>
      </c>
      <c r="MPV45" s="319" t="s">
        <v>3320</v>
      </c>
      <c r="MPW45" s="318" t="s">
        <v>3319</v>
      </c>
      <c r="MPX45" s="319" t="s">
        <v>3320</v>
      </c>
      <c r="MPY45" s="318" t="s">
        <v>3319</v>
      </c>
      <c r="MPZ45" s="319" t="s">
        <v>3320</v>
      </c>
      <c r="MQA45" s="318" t="s">
        <v>3319</v>
      </c>
      <c r="MQB45" s="319" t="s">
        <v>3320</v>
      </c>
      <c r="MQC45" s="318" t="s">
        <v>3319</v>
      </c>
      <c r="MQD45" s="319" t="s">
        <v>3320</v>
      </c>
      <c r="MQE45" s="318" t="s">
        <v>3319</v>
      </c>
      <c r="MQF45" s="319" t="s">
        <v>3320</v>
      </c>
      <c r="MQG45" s="318" t="s">
        <v>3319</v>
      </c>
      <c r="MQH45" s="319" t="s">
        <v>3320</v>
      </c>
      <c r="MQI45" s="318" t="s">
        <v>3319</v>
      </c>
      <c r="MQJ45" s="319" t="s">
        <v>3320</v>
      </c>
      <c r="MQK45" s="318" t="s">
        <v>3319</v>
      </c>
      <c r="MQL45" s="319" t="s">
        <v>3320</v>
      </c>
      <c r="MQM45" s="318" t="s">
        <v>3319</v>
      </c>
      <c r="MQN45" s="319" t="s">
        <v>3320</v>
      </c>
      <c r="MQO45" s="318" t="s">
        <v>3319</v>
      </c>
      <c r="MQP45" s="319" t="s">
        <v>3320</v>
      </c>
      <c r="MQQ45" s="318" t="s">
        <v>3319</v>
      </c>
      <c r="MQR45" s="319" t="s">
        <v>3320</v>
      </c>
      <c r="MQS45" s="318" t="s">
        <v>3319</v>
      </c>
      <c r="MQT45" s="319" t="s">
        <v>3320</v>
      </c>
      <c r="MQU45" s="318" t="s">
        <v>3319</v>
      </c>
      <c r="MQV45" s="319" t="s">
        <v>3320</v>
      </c>
      <c r="MQW45" s="318" t="s">
        <v>3319</v>
      </c>
      <c r="MQX45" s="319" t="s">
        <v>3320</v>
      </c>
      <c r="MQY45" s="318" t="s">
        <v>3319</v>
      </c>
      <c r="MQZ45" s="319" t="s">
        <v>3320</v>
      </c>
      <c r="MRA45" s="318" t="s">
        <v>3319</v>
      </c>
      <c r="MRB45" s="319" t="s">
        <v>3320</v>
      </c>
      <c r="MRC45" s="318" t="s">
        <v>3319</v>
      </c>
      <c r="MRD45" s="319" t="s">
        <v>3320</v>
      </c>
      <c r="MRE45" s="318" t="s">
        <v>3319</v>
      </c>
      <c r="MRF45" s="319" t="s">
        <v>3320</v>
      </c>
      <c r="MRG45" s="318" t="s">
        <v>3319</v>
      </c>
      <c r="MRH45" s="319" t="s">
        <v>3320</v>
      </c>
      <c r="MRI45" s="318" t="s">
        <v>3319</v>
      </c>
      <c r="MRJ45" s="319" t="s">
        <v>3320</v>
      </c>
      <c r="MRK45" s="318" t="s">
        <v>3319</v>
      </c>
      <c r="MRL45" s="319" t="s">
        <v>3320</v>
      </c>
      <c r="MRM45" s="318" t="s">
        <v>3319</v>
      </c>
      <c r="MRN45" s="319" t="s">
        <v>3320</v>
      </c>
      <c r="MRO45" s="318" t="s">
        <v>3319</v>
      </c>
      <c r="MRP45" s="319" t="s">
        <v>3320</v>
      </c>
      <c r="MRQ45" s="318" t="s">
        <v>3319</v>
      </c>
      <c r="MRR45" s="319" t="s">
        <v>3320</v>
      </c>
      <c r="MRS45" s="318" t="s">
        <v>3319</v>
      </c>
      <c r="MRT45" s="319" t="s">
        <v>3320</v>
      </c>
      <c r="MRU45" s="318" t="s">
        <v>3319</v>
      </c>
      <c r="MRV45" s="319" t="s">
        <v>3320</v>
      </c>
      <c r="MRW45" s="318" t="s">
        <v>3319</v>
      </c>
      <c r="MRX45" s="319" t="s">
        <v>3320</v>
      </c>
      <c r="MRY45" s="318" t="s">
        <v>3319</v>
      </c>
      <c r="MRZ45" s="319" t="s">
        <v>3320</v>
      </c>
      <c r="MSA45" s="318" t="s">
        <v>3319</v>
      </c>
      <c r="MSB45" s="319" t="s">
        <v>3320</v>
      </c>
      <c r="MSC45" s="318" t="s">
        <v>3319</v>
      </c>
      <c r="MSD45" s="319" t="s">
        <v>3320</v>
      </c>
      <c r="MSE45" s="318" t="s">
        <v>3319</v>
      </c>
      <c r="MSF45" s="319" t="s">
        <v>3320</v>
      </c>
      <c r="MSG45" s="318" t="s">
        <v>3319</v>
      </c>
      <c r="MSH45" s="319" t="s">
        <v>3320</v>
      </c>
      <c r="MSI45" s="318" t="s">
        <v>3319</v>
      </c>
      <c r="MSJ45" s="319" t="s">
        <v>3320</v>
      </c>
      <c r="MSK45" s="318" t="s">
        <v>3319</v>
      </c>
      <c r="MSL45" s="319" t="s">
        <v>3320</v>
      </c>
      <c r="MSM45" s="318" t="s">
        <v>3319</v>
      </c>
      <c r="MSN45" s="319" t="s">
        <v>3320</v>
      </c>
      <c r="MSO45" s="318" t="s">
        <v>3319</v>
      </c>
      <c r="MSP45" s="319" t="s">
        <v>3320</v>
      </c>
      <c r="MSQ45" s="318" t="s">
        <v>3319</v>
      </c>
      <c r="MSR45" s="319" t="s">
        <v>3320</v>
      </c>
      <c r="MSS45" s="318" t="s">
        <v>3319</v>
      </c>
      <c r="MST45" s="319" t="s">
        <v>3320</v>
      </c>
      <c r="MSU45" s="318" t="s">
        <v>3319</v>
      </c>
      <c r="MSV45" s="319" t="s">
        <v>3320</v>
      </c>
      <c r="MSW45" s="318" t="s">
        <v>3319</v>
      </c>
      <c r="MSX45" s="319" t="s">
        <v>3320</v>
      </c>
      <c r="MSY45" s="318" t="s">
        <v>3319</v>
      </c>
      <c r="MSZ45" s="319" t="s">
        <v>3320</v>
      </c>
      <c r="MTA45" s="318" t="s">
        <v>3319</v>
      </c>
      <c r="MTB45" s="319" t="s">
        <v>3320</v>
      </c>
      <c r="MTC45" s="318" t="s">
        <v>3319</v>
      </c>
      <c r="MTD45" s="319" t="s">
        <v>3320</v>
      </c>
      <c r="MTE45" s="318" t="s">
        <v>3319</v>
      </c>
      <c r="MTF45" s="319" t="s">
        <v>3320</v>
      </c>
      <c r="MTG45" s="318" t="s">
        <v>3319</v>
      </c>
      <c r="MTH45" s="319" t="s">
        <v>3320</v>
      </c>
      <c r="MTI45" s="318" t="s">
        <v>3319</v>
      </c>
      <c r="MTJ45" s="319" t="s">
        <v>3320</v>
      </c>
      <c r="MTK45" s="318" t="s">
        <v>3319</v>
      </c>
      <c r="MTL45" s="319" t="s">
        <v>3320</v>
      </c>
      <c r="MTM45" s="318" t="s">
        <v>3319</v>
      </c>
      <c r="MTN45" s="319" t="s">
        <v>3320</v>
      </c>
      <c r="MTO45" s="318" t="s">
        <v>3319</v>
      </c>
      <c r="MTP45" s="319" t="s">
        <v>3320</v>
      </c>
      <c r="MTQ45" s="318" t="s">
        <v>3319</v>
      </c>
      <c r="MTR45" s="319" t="s">
        <v>3320</v>
      </c>
      <c r="MTS45" s="318" t="s">
        <v>3319</v>
      </c>
      <c r="MTT45" s="319" t="s">
        <v>3320</v>
      </c>
      <c r="MTU45" s="318" t="s">
        <v>3319</v>
      </c>
      <c r="MTV45" s="319" t="s">
        <v>3320</v>
      </c>
      <c r="MTW45" s="318" t="s">
        <v>3319</v>
      </c>
      <c r="MTX45" s="319" t="s">
        <v>3320</v>
      </c>
      <c r="MTY45" s="318" t="s">
        <v>3319</v>
      </c>
      <c r="MTZ45" s="319" t="s">
        <v>3320</v>
      </c>
      <c r="MUA45" s="318" t="s">
        <v>3319</v>
      </c>
      <c r="MUB45" s="319" t="s">
        <v>3320</v>
      </c>
      <c r="MUC45" s="318" t="s">
        <v>3319</v>
      </c>
      <c r="MUD45" s="319" t="s">
        <v>3320</v>
      </c>
      <c r="MUE45" s="318" t="s">
        <v>3319</v>
      </c>
      <c r="MUF45" s="319" t="s">
        <v>3320</v>
      </c>
      <c r="MUG45" s="318" t="s">
        <v>3319</v>
      </c>
      <c r="MUH45" s="319" t="s">
        <v>3320</v>
      </c>
      <c r="MUI45" s="318" t="s">
        <v>3319</v>
      </c>
      <c r="MUJ45" s="319" t="s">
        <v>3320</v>
      </c>
      <c r="MUK45" s="318" t="s">
        <v>3319</v>
      </c>
      <c r="MUL45" s="319" t="s">
        <v>3320</v>
      </c>
      <c r="MUM45" s="318" t="s">
        <v>3319</v>
      </c>
      <c r="MUN45" s="319" t="s">
        <v>3320</v>
      </c>
      <c r="MUO45" s="318" t="s">
        <v>3319</v>
      </c>
      <c r="MUP45" s="319" t="s">
        <v>3320</v>
      </c>
      <c r="MUQ45" s="318" t="s">
        <v>3319</v>
      </c>
      <c r="MUR45" s="319" t="s">
        <v>3320</v>
      </c>
      <c r="MUS45" s="318" t="s">
        <v>3319</v>
      </c>
      <c r="MUT45" s="319" t="s">
        <v>3320</v>
      </c>
      <c r="MUU45" s="318" t="s">
        <v>3319</v>
      </c>
      <c r="MUV45" s="319" t="s">
        <v>3320</v>
      </c>
      <c r="MUW45" s="318" t="s">
        <v>3319</v>
      </c>
      <c r="MUX45" s="319" t="s">
        <v>3320</v>
      </c>
      <c r="MUY45" s="318" t="s">
        <v>3319</v>
      </c>
      <c r="MUZ45" s="319" t="s">
        <v>3320</v>
      </c>
      <c r="MVA45" s="318" t="s">
        <v>3319</v>
      </c>
      <c r="MVB45" s="319" t="s">
        <v>3320</v>
      </c>
      <c r="MVC45" s="318" t="s">
        <v>3319</v>
      </c>
      <c r="MVD45" s="319" t="s">
        <v>3320</v>
      </c>
      <c r="MVE45" s="318" t="s">
        <v>3319</v>
      </c>
      <c r="MVF45" s="319" t="s">
        <v>3320</v>
      </c>
      <c r="MVG45" s="318" t="s">
        <v>3319</v>
      </c>
      <c r="MVH45" s="319" t="s">
        <v>3320</v>
      </c>
      <c r="MVI45" s="318" t="s">
        <v>3319</v>
      </c>
      <c r="MVJ45" s="319" t="s">
        <v>3320</v>
      </c>
      <c r="MVK45" s="318" t="s">
        <v>3319</v>
      </c>
      <c r="MVL45" s="319" t="s">
        <v>3320</v>
      </c>
      <c r="MVM45" s="318" t="s">
        <v>3319</v>
      </c>
      <c r="MVN45" s="319" t="s">
        <v>3320</v>
      </c>
      <c r="MVO45" s="318" t="s">
        <v>3319</v>
      </c>
      <c r="MVP45" s="319" t="s">
        <v>3320</v>
      </c>
      <c r="MVQ45" s="318" t="s">
        <v>3319</v>
      </c>
      <c r="MVR45" s="319" t="s">
        <v>3320</v>
      </c>
      <c r="MVS45" s="318" t="s">
        <v>3319</v>
      </c>
      <c r="MVT45" s="319" t="s">
        <v>3320</v>
      </c>
      <c r="MVU45" s="318" t="s">
        <v>3319</v>
      </c>
      <c r="MVV45" s="319" t="s">
        <v>3320</v>
      </c>
      <c r="MVW45" s="318" t="s">
        <v>3319</v>
      </c>
      <c r="MVX45" s="319" t="s">
        <v>3320</v>
      </c>
      <c r="MVY45" s="318" t="s">
        <v>3319</v>
      </c>
      <c r="MVZ45" s="319" t="s">
        <v>3320</v>
      </c>
      <c r="MWA45" s="318" t="s">
        <v>3319</v>
      </c>
      <c r="MWB45" s="319" t="s">
        <v>3320</v>
      </c>
      <c r="MWC45" s="318" t="s">
        <v>3319</v>
      </c>
      <c r="MWD45" s="319" t="s">
        <v>3320</v>
      </c>
      <c r="MWE45" s="318" t="s">
        <v>3319</v>
      </c>
      <c r="MWF45" s="319" t="s">
        <v>3320</v>
      </c>
      <c r="MWG45" s="318" t="s">
        <v>3319</v>
      </c>
      <c r="MWH45" s="319" t="s">
        <v>3320</v>
      </c>
      <c r="MWI45" s="318" t="s">
        <v>3319</v>
      </c>
      <c r="MWJ45" s="319" t="s">
        <v>3320</v>
      </c>
      <c r="MWK45" s="318" t="s">
        <v>3319</v>
      </c>
      <c r="MWL45" s="319" t="s">
        <v>3320</v>
      </c>
      <c r="MWM45" s="318" t="s">
        <v>3319</v>
      </c>
      <c r="MWN45" s="319" t="s">
        <v>3320</v>
      </c>
      <c r="MWO45" s="318" t="s">
        <v>3319</v>
      </c>
      <c r="MWP45" s="319" t="s">
        <v>3320</v>
      </c>
      <c r="MWQ45" s="318" t="s">
        <v>3319</v>
      </c>
      <c r="MWR45" s="319" t="s">
        <v>3320</v>
      </c>
      <c r="MWS45" s="318" t="s">
        <v>3319</v>
      </c>
      <c r="MWT45" s="319" t="s">
        <v>3320</v>
      </c>
      <c r="MWU45" s="318" t="s">
        <v>3319</v>
      </c>
      <c r="MWV45" s="319" t="s">
        <v>3320</v>
      </c>
      <c r="MWW45" s="318" t="s">
        <v>3319</v>
      </c>
      <c r="MWX45" s="319" t="s">
        <v>3320</v>
      </c>
      <c r="MWY45" s="318" t="s">
        <v>3319</v>
      </c>
      <c r="MWZ45" s="319" t="s">
        <v>3320</v>
      </c>
      <c r="MXA45" s="318" t="s">
        <v>3319</v>
      </c>
      <c r="MXB45" s="319" t="s">
        <v>3320</v>
      </c>
      <c r="MXC45" s="318" t="s">
        <v>3319</v>
      </c>
      <c r="MXD45" s="319" t="s">
        <v>3320</v>
      </c>
      <c r="MXE45" s="318" t="s">
        <v>3319</v>
      </c>
      <c r="MXF45" s="319" t="s">
        <v>3320</v>
      </c>
      <c r="MXG45" s="318" t="s">
        <v>3319</v>
      </c>
      <c r="MXH45" s="319" t="s">
        <v>3320</v>
      </c>
      <c r="MXI45" s="318" t="s">
        <v>3319</v>
      </c>
      <c r="MXJ45" s="319" t="s">
        <v>3320</v>
      </c>
      <c r="MXK45" s="318" t="s">
        <v>3319</v>
      </c>
      <c r="MXL45" s="319" t="s">
        <v>3320</v>
      </c>
      <c r="MXM45" s="318" t="s">
        <v>3319</v>
      </c>
      <c r="MXN45" s="319" t="s">
        <v>3320</v>
      </c>
      <c r="MXO45" s="318" t="s">
        <v>3319</v>
      </c>
      <c r="MXP45" s="319" t="s">
        <v>3320</v>
      </c>
      <c r="MXQ45" s="318" t="s">
        <v>3319</v>
      </c>
      <c r="MXR45" s="319" t="s">
        <v>3320</v>
      </c>
      <c r="MXS45" s="318" t="s">
        <v>3319</v>
      </c>
      <c r="MXT45" s="319" t="s">
        <v>3320</v>
      </c>
      <c r="MXU45" s="318" t="s">
        <v>3319</v>
      </c>
      <c r="MXV45" s="319" t="s">
        <v>3320</v>
      </c>
      <c r="MXW45" s="318" t="s">
        <v>3319</v>
      </c>
      <c r="MXX45" s="319" t="s">
        <v>3320</v>
      </c>
      <c r="MXY45" s="318" t="s">
        <v>3319</v>
      </c>
      <c r="MXZ45" s="319" t="s">
        <v>3320</v>
      </c>
      <c r="MYA45" s="318" t="s">
        <v>3319</v>
      </c>
      <c r="MYB45" s="319" t="s">
        <v>3320</v>
      </c>
      <c r="MYC45" s="318" t="s">
        <v>3319</v>
      </c>
      <c r="MYD45" s="319" t="s">
        <v>3320</v>
      </c>
      <c r="MYE45" s="318" t="s">
        <v>3319</v>
      </c>
      <c r="MYF45" s="319" t="s">
        <v>3320</v>
      </c>
      <c r="MYG45" s="318" t="s">
        <v>3319</v>
      </c>
      <c r="MYH45" s="319" t="s">
        <v>3320</v>
      </c>
      <c r="MYI45" s="318" t="s">
        <v>3319</v>
      </c>
      <c r="MYJ45" s="319" t="s">
        <v>3320</v>
      </c>
      <c r="MYK45" s="318" t="s">
        <v>3319</v>
      </c>
      <c r="MYL45" s="319" t="s">
        <v>3320</v>
      </c>
      <c r="MYM45" s="318" t="s">
        <v>3319</v>
      </c>
      <c r="MYN45" s="319" t="s">
        <v>3320</v>
      </c>
      <c r="MYO45" s="318" t="s">
        <v>3319</v>
      </c>
      <c r="MYP45" s="319" t="s">
        <v>3320</v>
      </c>
      <c r="MYQ45" s="318" t="s">
        <v>3319</v>
      </c>
      <c r="MYR45" s="319" t="s">
        <v>3320</v>
      </c>
      <c r="MYS45" s="318" t="s">
        <v>3319</v>
      </c>
      <c r="MYT45" s="319" t="s">
        <v>3320</v>
      </c>
      <c r="MYU45" s="318" t="s">
        <v>3319</v>
      </c>
      <c r="MYV45" s="319" t="s">
        <v>3320</v>
      </c>
      <c r="MYW45" s="318" t="s">
        <v>3319</v>
      </c>
      <c r="MYX45" s="319" t="s">
        <v>3320</v>
      </c>
      <c r="MYY45" s="318" t="s">
        <v>3319</v>
      </c>
      <c r="MYZ45" s="319" t="s">
        <v>3320</v>
      </c>
      <c r="MZA45" s="318" t="s">
        <v>3319</v>
      </c>
      <c r="MZB45" s="319" t="s">
        <v>3320</v>
      </c>
      <c r="MZC45" s="318" t="s">
        <v>3319</v>
      </c>
      <c r="MZD45" s="319" t="s">
        <v>3320</v>
      </c>
      <c r="MZE45" s="318" t="s">
        <v>3319</v>
      </c>
      <c r="MZF45" s="319" t="s">
        <v>3320</v>
      </c>
      <c r="MZG45" s="318" t="s">
        <v>3319</v>
      </c>
      <c r="MZH45" s="319" t="s">
        <v>3320</v>
      </c>
      <c r="MZI45" s="318" t="s">
        <v>3319</v>
      </c>
      <c r="MZJ45" s="319" t="s">
        <v>3320</v>
      </c>
      <c r="MZK45" s="318" t="s">
        <v>3319</v>
      </c>
      <c r="MZL45" s="319" t="s">
        <v>3320</v>
      </c>
      <c r="MZM45" s="318" t="s">
        <v>3319</v>
      </c>
      <c r="MZN45" s="319" t="s">
        <v>3320</v>
      </c>
      <c r="MZO45" s="318" t="s">
        <v>3319</v>
      </c>
      <c r="MZP45" s="319" t="s">
        <v>3320</v>
      </c>
      <c r="MZQ45" s="318" t="s">
        <v>3319</v>
      </c>
      <c r="MZR45" s="319" t="s">
        <v>3320</v>
      </c>
      <c r="MZS45" s="318" t="s">
        <v>3319</v>
      </c>
      <c r="MZT45" s="319" t="s">
        <v>3320</v>
      </c>
      <c r="MZU45" s="318" t="s">
        <v>3319</v>
      </c>
      <c r="MZV45" s="319" t="s">
        <v>3320</v>
      </c>
      <c r="MZW45" s="318" t="s">
        <v>3319</v>
      </c>
      <c r="MZX45" s="319" t="s">
        <v>3320</v>
      </c>
      <c r="MZY45" s="318" t="s">
        <v>3319</v>
      </c>
      <c r="MZZ45" s="319" t="s">
        <v>3320</v>
      </c>
      <c r="NAA45" s="318" t="s">
        <v>3319</v>
      </c>
      <c r="NAB45" s="319" t="s">
        <v>3320</v>
      </c>
      <c r="NAC45" s="318" t="s">
        <v>3319</v>
      </c>
      <c r="NAD45" s="319" t="s">
        <v>3320</v>
      </c>
      <c r="NAE45" s="318" t="s">
        <v>3319</v>
      </c>
      <c r="NAF45" s="319" t="s">
        <v>3320</v>
      </c>
      <c r="NAG45" s="318" t="s">
        <v>3319</v>
      </c>
      <c r="NAH45" s="319" t="s">
        <v>3320</v>
      </c>
      <c r="NAI45" s="318" t="s">
        <v>3319</v>
      </c>
      <c r="NAJ45" s="319" t="s">
        <v>3320</v>
      </c>
      <c r="NAK45" s="318" t="s">
        <v>3319</v>
      </c>
      <c r="NAL45" s="319" t="s">
        <v>3320</v>
      </c>
      <c r="NAM45" s="318" t="s">
        <v>3319</v>
      </c>
      <c r="NAN45" s="319" t="s">
        <v>3320</v>
      </c>
      <c r="NAO45" s="318" t="s">
        <v>3319</v>
      </c>
      <c r="NAP45" s="319" t="s">
        <v>3320</v>
      </c>
      <c r="NAQ45" s="318" t="s">
        <v>3319</v>
      </c>
      <c r="NAR45" s="319" t="s">
        <v>3320</v>
      </c>
      <c r="NAS45" s="318" t="s">
        <v>3319</v>
      </c>
      <c r="NAT45" s="319" t="s">
        <v>3320</v>
      </c>
      <c r="NAU45" s="318" t="s">
        <v>3319</v>
      </c>
      <c r="NAV45" s="319" t="s">
        <v>3320</v>
      </c>
      <c r="NAW45" s="318" t="s">
        <v>3319</v>
      </c>
      <c r="NAX45" s="319" t="s">
        <v>3320</v>
      </c>
      <c r="NAY45" s="318" t="s">
        <v>3319</v>
      </c>
      <c r="NAZ45" s="319" t="s">
        <v>3320</v>
      </c>
      <c r="NBA45" s="318" t="s">
        <v>3319</v>
      </c>
      <c r="NBB45" s="319" t="s">
        <v>3320</v>
      </c>
      <c r="NBC45" s="318" t="s">
        <v>3319</v>
      </c>
      <c r="NBD45" s="319" t="s">
        <v>3320</v>
      </c>
      <c r="NBE45" s="318" t="s">
        <v>3319</v>
      </c>
      <c r="NBF45" s="319" t="s">
        <v>3320</v>
      </c>
      <c r="NBG45" s="318" t="s">
        <v>3319</v>
      </c>
      <c r="NBH45" s="319" t="s">
        <v>3320</v>
      </c>
      <c r="NBI45" s="318" t="s">
        <v>3319</v>
      </c>
      <c r="NBJ45" s="319" t="s">
        <v>3320</v>
      </c>
      <c r="NBK45" s="318" t="s">
        <v>3319</v>
      </c>
      <c r="NBL45" s="319" t="s">
        <v>3320</v>
      </c>
      <c r="NBM45" s="318" t="s">
        <v>3319</v>
      </c>
      <c r="NBN45" s="319" t="s">
        <v>3320</v>
      </c>
      <c r="NBO45" s="318" t="s">
        <v>3319</v>
      </c>
      <c r="NBP45" s="319" t="s">
        <v>3320</v>
      </c>
      <c r="NBQ45" s="318" t="s">
        <v>3319</v>
      </c>
      <c r="NBR45" s="319" t="s">
        <v>3320</v>
      </c>
      <c r="NBS45" s="318" t="s">
        <v>3319</v>
      </c>
      <c r="NBT45" s="319" t="s">
        <v>3320</v>
      </c>
      <c r="NBU45" s="318" t="s">
        <v>3319</v>
      </c>
      <c r="NBV45" s="319" t="s">
        <v>3320</v>
      </c>
      <c r="NBW45" s="318" t="s">
        <v>3319</v>
      </c>
      <c r="NBX45" s="319" t="s">
        <v>3320</v>
      </c>
      <c r="NBY45" s="318" t="s">
        <v>3319</v>
      </c>
      <c r="NBZ45" s="319" t="s">
        <v>3320</v>
      </c>
      <c r="NCA45" s="318" t="s">
        <v>3319</v>
      </c>
      <c r="NCB45" s="319" t="s">
        <v>3320</v>
      </c>
      <c r="NCC45" s="318" t="s">
        <v>3319</v>
      </c>
      <c r="NCD45" s="319" t="s">
        <v>3320</v>
      </c>
      <c r="NCE45" s="318" t="s">
        <v>3319</v>
      </c>
      <c r="NCF45" s="319" t="s">
        <v>3320</v>
      </c>
      <c r="NCG45" s="318" t="s">
        <v>3319</v>
      </c>
      <c r="NCH45" s="319" t="s">
        <v>3320</v>
      </c>
      <c r="NCI45" s="318" t="s">
        <v>3319</v>
      </c>
      <c r="NCJ45" s="319" t="s">
        <v>3320</v>
      </c>
      <c r="NCK45" s="318" t="s">
        <v>3319</v>
      </c>
      <c r="NCL45" s="319" t="s">
        <v>3320</v>
      </c>
      <c r="NCM45" s="318" t="s">
        <v>3319</v>
      </c>
      <c r="NCN45" s="319" t="s">
        <v>3320</v>
      </c>
      <c r="NCO45" s="318" t="s">
        <v>3319</v>
      </c>
      <c r="NCP45" s="319" t="s">
        <v>3320</v>
      </c>
      <c r="NCQ45" s="318" t="s">
        <v>3319</v>
      </c>
      <c r="NCR45" s="319" t="s">
        <v>3320</v>
      </c>
      <c r="NCS45" s="318" t="s">
        <v>3319</v>
      </c>
      <c r="NCT45" s="319" t="s">
        <v>3320</v>
      </c>
      <c r="NCU45" s="318" t="s">
        <v>3319</v>
      </c>
      <c r="NCV45" s="319" t="s">
        <v>3320</v>
      </c>
      <c r="NCW45" s="318" t="s">
        <v>3319</v>
      </c>
      <c r="NCX45" s="319" t="s">
        <v>3320</v>
      </c>
      <c r="NCY45" s="318" t="s">
        <v>3319</v>
      </c>
      <c r="NCZ45" s="319" t="s">
        <v>3320</v>
      </c>
      <c r="NDA45" s="318" t="s">
        <v>3319</v>
      </c>
      <c r="NDB45" s="319" t="s">
        <v>3320</v>
      </c>
      <c r="NDC45" s="318" t="s">
        <v>3319</v>
      </c>
      <c r="NDD45" s="319" t="s">
        <v>3320</v>
      </c>
      <c r="NDE45" s="318" t="s">
        <v>3319</v>
      </c>
      <c r="NDF45" s="319" t="s">
        <v>3320</v>
      </c>
      <c r="NDG45" s="318" t="s">
        <v>3319</v>
      </c>
      <c r="NDH45" s="319" t="s">
        <v>3320</v>
      </c>
      <c r="NDI45" s="318" t="s">
        <v>3319</v>
      </c>
      <c r="NDJ45" s="319" t="s">
        <v>3320</v>
      </c>
      <c r="NDK45" s="318" t="s">
        <v>3319</v>
      </c>
      <c r="NDL45" s="319" t="s">
        <v>3320</v>
      </c>
      <c r="NDM45" s="318" t="s">
        <v>3319</v>
      </c>
      <c r="NDN45" s="319" t="s">
        <v>3320</v>
      </c>
      <c r="NDO45" s="318" t="s">
        <v>3319</v>
      </c>
      <c r="NDP45" s="319" t="s">
        <v>3320</v>
      </c>
      <c r="NDQ45" s="318" t="s">
        <v>3319</v>
      </c>
      <c r="NDR45" s="319" t="s">
        <v>3320</v>
      </c>
      <c r="NDS45" s="318" t="s">
        <v>3319</v>
      </c>
      <c r="NDT45" s="319" t="s">
        <v>3320</v>
      </c>
      <c r="NDU45" s="318" t="s">
        <v>3319</v>
      </c>
      <c r="NDV45" s="319" t="s">
        <v>3320</v>
      </c>
      <c r="NDW45" s="318" t="s">
        <v>3319</v>
      </c>
      <c r="NDX45" s="319" t="s">
        <v>3320</v>
      </c>
      <c r="NDY45" s="318" t="s">
        <v>3319</v>
      </c>
      <c r="NDZ45" s="319" t="s">
        <v>3320</v>
      </c>
      <c r="NEA45" s="318" t="s">
        <v>3319</v>
      </c>
      <c r="NEB45" s="319" t="s">
        <v>3320</v>
      </c>
      <c r="NEC45" s="318" t="s">
        <v>3319</v>
      </c>
      <c r="NED45" s="319" t="s">
        <v>3320</v>
      </c>
      <c r="NEE45" s="318" t="s">
        <v>3319</v>
      </c>
      <c r="NEF45" s="319" t="s">
        <v>3320</v>
      </c>
      <c r="NEG45" s="318" t="s">
        <v>3319</v>
      </c>
      <c r="NEH45" s="319" t="s">
        <v>3320</v>
      </c>
      <c r="NEI45" s="318" t="s">
        <v>3319</v>
      </c>
      <c r="NEJ45" s="319" t="s">
        <v>3320</v>
      </c>
      <c r="NEK45" s="318" t="s">
        <v>3319</v>
      </c>
      <c r="NEL45" s="319" t="s">
        <v>3320</v>
      </c>
      <c r="NEM45" s="318" t="s">
        <v>3319</v>
      </c>
      <c r="NEN45" s="319" t="s">
        <v>3320</v>
      </c>
      <c r="NEO45" s="318" t="s">
        <v>3319</v>
      </c>
      <c r="NEP45" s="319" t="s">
        <v>3320</v>
      </c>
      <c r="NEQ45" s="318" t="s">
        <v>3319</v>
      </c>
      <c r="NER45" s="319" t="s">
        <v>3320</v>
      </c>
      <c r="NES45" s="318" t="s">
        <v>3319</v>
      </c>
      <c r="NET45" s="319" t="s">
        <v>3320</v>
      </c>
      <c r="NEU45" s="318" t="s">
        <v>3319</v>
      </c>
      <c r="NEV45" s="319" t="s">
        <v>3320</v>
      </c>
      <c r="NEW45" s="318" t="s">
        <v>3319</v>
      </c>
      <c r="NEX45" s="319" t="s">
        <v>3320</v>
      </c>
      <c r="NEY45" s="318" t="s">
        <v>3319</v>
      </c>
      <c r="NEZ45" s="319" t="s">
        <v>3320</v>
      </c>
      <c r="NFA45" s="318" t="s">
        <v>3319</v>
      </c>
      <c r="NFB45" s="319" t="s">
        <v>3320</v>
      </c>
      <c r="NFC45" s="318" t="s">
        <v>3319</v>
      </c>
      <c r="NFD45" s="319" t="s">
        <v>3320</v>
      </c>
      <c r="NFE45" s="318" t="s">
        <v>3319</v>
      </c>
      <c r="NFF45" s="319" t="s">
        <v>3320</v>
      </c>
      <c r="NFG45" s="318" t="s">
        <v>3319</v>
      </c>
      <c r="NFH45" s="319" t="s">
        <v>3320</v>
      </c>
      <c r="NFI45" s="318" t="s">
        <v>3319</v>
      </c>
      <c r="NFJ45" s="319" t="s">
        <v>3320</v>
      </c>
      <c r="NFK45" s="318" t="s">
        <v>3319</v>
      </c>
      <c r="NFL45" s="319" t="s">
        <v>3320</v>
      </c>
      <c r="NFM45" s="318" t="s">
        <v>3319</v>
      </c>
      <c r="NFN45" s="319" t="s">
        <v>3320</v>
      </c>
      <c r="NFO45" s="318" t="s">
        <v>3319</v>
      </c>
      <c r="NFP45" s="319" t="s">
        <v>3320</v>
      </c>
      <c r="NFQ45" s="318" t="s">
        <v>3319</v>
      </c>
      <c r="NFR45" s="319" t="s">
        <v>3320</v>
      </c>
      <c r="NFS45" s="318" t="s">
        <v>3319</v>
      </c>
      <c r="NFT45" s="319" t="s">
        <v>3320</v>
      </c>
      <c r="NFU45" s="318" t="s">
        <v>3319</v>
      </c>
      <c r="NFV45" s="319" t="s">
        <v>3320</v>
      </c>
      <c r="NFW45" s="318" t="s">
        <v>3319</v>
      </c>
      <c r="NFX45" s="319" t="s">
        <v>3320</v>
      </c>
      <c r="NFY45" s="318" t="s">
        <v>3319</v>
      </c>
      <c r="NFZ45" s="319" t="s">
        <v>3320</v>
      </c>
      <c r="NGA45" s="318" t="s">
        <v>3319</v>
      </c>
      <c r="NGB45" s="319" t="s">
        <v>3320</v>
      </c>
      <c r="NGC45" s="318" t="s">
        <v>3319</v>
      </c>
      <c r="NGD45" s="319" t="s">
        <v>3320</v>
      </c>
      <c r="NGE45" s="318" t="s">
        <v>3319</v>
      </c>
      <c r="NGF45" s="319" t="s">
        <v>3320</v>
      </c>
      <c r="NGG45" s="318" t="s">
        <v>3319</v>
      </c>
      <c r="NGH45" s="319" t="s">
        <v>3320</v>
      </c>
      <c r="NGI45" s="318" t="s">
        <v>3319</v>
      </c>
      <c r="NGJ45" s="319" t="s">
        <v>3320</v>
      </c>
      <c r="NGK45" s="318" t="s">
        <v>3319</v>
      </c>
      <c r="NGL45" s="319" t="s">
        <v>3320</v>
      </c>
      <c r="NGM45" s="318" t="s">
        <v>3319</v>
      </c>
      <c r="NGN45" s="319" t="s">
        <v>3320</v>
      </c>
      <c r="NGO45" s="318" t="s">
        <v>3319</v>
      </c>
      <c r="NGP45" s="319" t="s">
        <v>3320</v>
      </c>
      <c r="NGQ45" s="318" t="s">
        <v>3319</v>
      </c>
      <c r="NGR45" s="319" t="s">
        <v>3320</v>
      </c>
      <c r="NGS45" s="318" t="s">
        <v>3319</v>
      </c>
      <c r="NGT45" s="319" t="s">
        <v>3320</v>
      </c>
      <c r="NGU45" s="318" t="s">
        <v>3319</v>
      </c>
      <c r="NGV45" s="319" t="s">
        <v>3320</v>
      </c>
      <c r="NGW45" s="318" t="s">
        <v>3319</v>
      </c>
      <c r="NGX45" s="319" t="s">
        <v>3320</v>
      </c>
      <c r="NGY45" s="318" t="s">
        <v>3319</v>
      </c>
      <c r="NGZ45" s="319" t="s">
        <v>3320</v>
      </c>
      <c r="NHA45" s="318" t="s">
        <v>3319</v>
      </c>
      <c r="NHB45" s="319" t="s">
        <v>3320</v>
      </c>
      <c r="NHC45" s="318" t="s">
        <v>3319</v>
      </c>
      <c r="NHD45" s="319" t="s">
        <v>3320</v>
      </c>
      <c r="NHE45" s="318" t="s">
        <v>3319</v>
      </c>
      <c r="NHF45" s="319" t="s">
        <v>3320</v>
      </c>
      <c r="NHG45" s="318" t="s">
        <v>3319</v>
      </c>
      <c r="NHH45" s="319" t="s">
        <v>3320</v>
      </c>
      <c r="NHI45" s="318" t="s">
        <v>3319</v>
      </c>
      <c r="NHJ45" s="319" t="s">
        <v>3320</v>
      </c>
      <c r="NHK45" s="318" t="s">
        <v>3319</v>
      </c>
      <c r="NHL45" s="319" t="s">
        <v>3320</v>
      </c>
      <c r="NHM45" s="318" t="s">
        <v>3319</v>
      </c>
      <c r="NHN45" s="319" t="s">
        <v>3320</v>
      </c>
      <c r="NHO45" s="318" t="s">
        <v>3319</v>
      </c>
      <c r="NHP45" s="319" t="s">
        <v>3320</v>
      </c>
      <c r="NHQ45" s="318" t="s">
        <v>3319</v>
      </c>
      <c r="NHR45" s="319" t="s">
        <v>3320</v>
      </c>
      <c r="NHS45" s="318" t="s">
        <v>3319</v>
      </c>
      <c r="NHT45" s="319" t="s">
        <v>3320</v>
      </c>
      <c r="NHU45" s="318" t="s">
        <v>3319</v>
      </c>
      <c r="NHV45" s="319" t="s">
        <v>3320</v>
      </c>
      <c r="NHW45" s="318" t="s">
        <v>3319</v>
      </c>
      <c r="NHX45" s="319" t="s">
        <v>3320</v>
      </c>
      <c r="NHY45" s="318" t="s">
        <v>3319</v>
      </c>
      <c r="NHZ45" s="319" t="s">
        <v>3320</v>
      </c>
      <c r="NIA45" s="318" t="s">
        <v>3319</v>
      </c>
      <c r="NIB45" s="319" t="s">
        <v>3320</v>
      </c>
      <c r="NIC45" s="318" t="s">
        <v>3319</v>
      </c>
      <c r="NID45" s="319" t="s">
        <v>3320</v>
      </c>
      <c r="NIE45" s="318" t="s">
        <v>3319</v>
      </c>
      <c r="NIF45" s="319" t="s">
        <v>3320</v>
      </c>
      <c r="NIG45" s="318" t="s">
        <v>3319</v>
      </c>
      <c r="NIH45" s="319" t="s">
        <v>3320</v>
      </c>
      <c r="NII45" s="318" t="s">
        <v>3319</v>
      </c>
      <c r="NIJ45" s="319" t="s">
        <v>3320</v>
      </c>
      <c r="NIK45" s="318" t="s">
        <v>3319</v>
      </c>
      <c r="NIL45" s="319" t="s">
        <v>3320</v>
      </c>
      <c r="NIM45" s="318" t="s">
        <v>3319</v>
      </c>
      <c r="NIN45" s="319" t="s">
        <v>3320</v>
      </c>
      <c r="NIO45" s="318" t="s">
        <v>3319</v>
      </c>
      <c r="NIP45" s="319" t="s">
        <v>3320</v>
      </c>
      <c r="NIQ45" s="318" t="s">
        <v>3319</v>
      </c>
      <c r="NIR45" s="319" t="s">
        <v>3320</v>
      </c>
      <c r="NIS45" s="318" t="s">
        <v>3319</v>
      </c>
      <c r="NIT45" s="319" t="s">
        <v>3320</v>
      </c>
      <c r="NIU45" s="318" t="s">
        <v>3319</v>
      </c>
      <c r="NIV45" s="319" t="s">
        <v>3320</v>
      </c>
      <c r="NIW45" s="318" t="s">
        <v>3319</v>
      </c>
      <c r="NIX45" s="319" t="s">
        <v>3320</v>
      </c>
      <c r="NIY45" s="318" t="s">
        <v>3319</v>
      </c>
      <c r="NIZ45" s="319" t="s">
        <v>3320</v>
      </c>
      <c r="NJA45" s="318" t="s">
        <v>3319</v>
      </c>
      <c r="NJB45" s="319" t="s">
        <v>3320</v>
      </c>
      <c r="NJC45" s="318" t="s">
        <v>3319</v>
      </c>
      <c r="NJD45" s="319" t="s">
        <v>3320</v>
      </c>
      <c r="NJE45" s="318" t="s">
        <v>3319</v>
      </c>
      <c r="NJF45" s="319" t="s">
        <v>3320</v>
      </c>
      <c r="NJG45" s="318" t="s">
        <v>3319</v>
      </c>
      <c r="NJH45" s="319" t="s">
        <v>3320</v>
      </c>
      <c r="NJI45" s="318" t="s">
        <v>3319</v>
      </c>
      <c r="NJJ45" s="319" t="s">
        <v>3320</v>
      </c>
      <c r="NJK45" s="318" t="s">
        <v>3319</v>
      </c>
      <c r="NJL45" s="319" t="s">
        <v>3320</v>
      </c>
      <c r="NJM45" s="318" t="s">
        <v>3319</v>
      </c>
      <c r="NJN45" s="319" t="s">
        <v>3320</v>
      </c>
      <c r="NJO45" s="318" t="s">
        <v>3319</v>
      </c>
      <c r="NJP45" s="319" t="s">
        <v>3320</v>
      </c>
      <c r="NJQ45" s="318" t="s">
        <v>3319</v>
      </c>
      <c r="NJR45" s="319" t="s">
        <v>3320</v>
      </c>
      <c r="NJS45" s="318" t="s">
        <v>3319</v>
      </c>
      <c r="NJT45" s="319" t="s">
        <v>3320</v>
      </c>
      <c r="NJU45" s="318" t="s">
        <v>3319</v>
      </c>
      <c r="NJV45" s="319" t="s">
        <v>3320</v>
      </c>
      <c r="NJW45" s="318" t="s">
        <v>3319</v>
      </c>
      <c r="NJX45" s="319" t="s">
        <v>3320</v>
      </c>
      <c r="NJY45" s="318" t="s">
        <v>3319</v>
      </c>
      <c r="NJZ45" s="319" t="s">
        <v>3320</v>
      </c>
      <c r="NKA45" s="318" t="s">
        <v>3319</v>
      </c>
      <c r="NKB45" s="319" t="s">
        <v>3320</v>
      </c>
      <c r="NKC45" s="318" t="s">
        <v>3319</v>
      </c>
      <c r="NKD45" s="319" t="s">
        <v>3320</v>
      </c>
      <c r="NKE45" s="318" t="s">
        <v>3319</v>
      </c>
      <c r="NKF45" s="319" t="s">
        <v>3320</v>
      </c>
      <c r="NKG45" s="318" t="s">
        <v>3319</v>
      </c>
      <c r="NKH45" s="319" t="s">
        <v>3320</v>
      </c>
      <c r="NKI45" s="318" t="s">
        <v>3319</v>
      </c>
      <c r="NKJ45" s="319" t="s">
        <v>3320</v>
      </c>
      <c r="NKK45" s="318" t="s">
        <v>3319</v>
      </c>
      <c r="NKL45" s="319" t="s">
        <v>3320</v>
      </c>
      <c r="NKM45" s="318" t="s">
        <v>3319</v>
      </c>
      <c r="NKN45" s="319" t="s">
        <v>3320</v>
      </c>
      <c r="NKO45" s="318" t="s">
        <v>3319</v>
      </c>
      <c r="NKP45" s="319" t="s">
        <v>3320</v>
      </c>
      <c r="NKQ45" s="318" t="s">
        <v>3319</v>
      </c>
      <c r="NKR45" s="319" t="s">
        <v>3320</v>
      </c>
      <c r="NKS45" s="318" t="s">
        <v>3319</v>
      </c>
      <c r="NKT45" s="319" t="s">
        <v>3320</v>
      </c>
      <c r="NKU45" s="318" t="s">
        <v>3319</v>
      </c>
      <c r="NKV45" s="319" t="s">
        <v>3320</v>
      </c>
      <c r="NKW45" s="318" t="s">
        <v>3319</v>
      </c>
      <c r="NKX45" s="319" t="s">
        <v>3320</v>
      </c>
      <c r="NKY45" s="318" t="s">
        <v>3319</v>
      </c>
      <c r="NKZ45" s="319" t="s">
        <v>3320</v>
      </c>
      <c r="NLA45" s="318" t="s">
        <v>3319</v>
      </c>
      <c r="NLB45" s="319" t="s">
        <v>3320</v>
      </c>
      <c r="NLC45" s="318" t="s">
        <v>3319</v>
      </c>
      <c r="NLD45" s="319" t="s">
        <v>3320</v>
      </c>
      <c r="NLE45" s="318" t="s">
        <v>3319</v>
      </c>
      <c r="NLF45" s="319" t="s">
        <v>3320</v>
      </c>
      <c r="NLG45" s="318" t="s">
        <v>3319</v>
      </c>
      <c r="NLH45" s="319" t="s">
        <v>3320</v>
      </c>
      <c r="NLI45" s="318" t="s">
        <v>3319</v>
      </c>
      <c r="NLJ45" s="319" t="s">
        <v>3320</v>
      </c>
      <c r="NLK45" s="318" t="s">
        <v>3319</v>
      </c>
      <c r="NLL45" s="319" t="s">
        <v>3320</v>
      </c>
      <c r="NLM45" s="318" t="s">
        <v>3319</v>
      </c>
      <c r="NLN45" s="319" t="s">
        <v>3320</v>
      </c>
      <c r="NLO45" s="318" t="s">
        <v>3319</v>
      </c>
      <c r="NLP45" s="319" t="s">
        <v>3320</v>
      </c>
      <c r="NLQ45" s="318" t="s">
        <v>3319</v>
      </c>
      <c r="NLR45" s="319" t="s">
        <v>3320</v>
      </c>
      <c r="NLS45" s="318" t="s">
        <v>3319</v>
      </c>
      <c r="NLT45" s="319" t="s">
        <v>3320</v>
      </c>
      <c r="NLU45" s="318" t="s">
        <v>3319</v>
      </c>
      <c r="NLV45" s="319" t="s">
        <v>3320</v>
      </c>
      <c r="NLW45" s="318" t="s">
        <v>3319</v>
      </c>
      <c r="NLX45" s="319" t="s">
        <v>3320</v>
      </c>
      <c r="NLY45" s="318" t="s">
        <v>3319</v>
      </c>
      <c r="NLZ45" s="319" t="s">
        <v>3320</v>
      </c>
      <c r="NMA45" s="318" t="s">
        <v>3319</v>
      </c>
      <c r="NMB45" s="319" t="s">
        <v>3320</v>
      </c>
      <c r="NMC45" s="318" t="s">
        <v>3319</v>
      </c>
      <c r="NMD45" s="319" t="s">
        <v>3320</v>
      </c>
      <c r="NME45" s="318" t="s">
        <v>3319</v>
      </c>
      <c r="NMF45" s="319" t="s">
        <v>3320</v>
      </c>
      <c r="NMG45" s="318" t="s">
        <v>3319</v>
      </c>
      <c r="NMH45" s="319" t="s">
        <v>3320</v>
      </c>
      <c r="NMI45" s="318" t="s">
        <v>3319</v>
      </c>
      <c r="NMJ45" s="319" t="s">
        <v>3320</v>
      </c>
      <c r="NMK45" s="318" t="s">
        <v>3319</v>
      </c>
      <c r="NML45" s="319" t="s">
        <v>3320</v>
      </c>
      <c r="NMM45" s="318" t="s">
        <v>3319</v>
      </c>
      <c r="NMN45" s="319" t="s">
        <v>3320</v>
      </c>
      <c r="NMO45" s="318" t="s">
        <v>3319</v>
      </c>
      <c r="NMP45" s="319" t="s">
        <v>3320</v>
      </c>
      <c r="NMQ45" s="318" t="s">
        <v>3319</v>
      </c>
      <c r="NMR45" s="319" t="s">
        <v>3320</v>
      </c>
      <c r="NMS45" s="318" t="s">
        <v>3319</v>
      </c>
      <c r="NMT45" s="319" t="s">
        <v>3320</v>
      </c>
      <c r="NMU45" s="318" t="s">
        <v>3319</v>
      </c>
      <c r="NMV45" s="319" t="s">
        <v>3320</v>
      </c>
      <c r="NMW45" s="318" t="s">
        <v>3319</v>
      </c>
      <c r="NMX45" s="319" t="s">
        <v>3320</v>
      </c>
      <c r="NMY45" s="318" t="s">
        <v>3319</v>
      </c>
      <c r="NMZ45" s="319" t="s">
        <v>3320</v>
      </c>
      <c r="NNA45" s="318" t="s">
        <v>3319</v>
      </c>
      <c r="NNB45" s="319" t="s">
        <v>3320</v>
      </c>
      <c r="NNC45" s="318" t="s">
        <v>3319</v>
      </c>
      <c r="NND45" s="319" t="s">
        <v>3320</v>
      </c>
      <c r="NNE45" s="318" t="s">
        <v>3319</v>
      </c>
      <c r="NNF45" s="319" t="s">
        <v>3320</v>
      </c>
      <c r="NNG45" s="318" t="s">
        <v>3319</v>
      </c>
      <c r="NNH45" s="319" t="s">
        <v>3320</v>
      </c>
      <c r="NNI45" s="318" t="s">
        <v>3319</v>
      </c>
      <c r="NNJ45" s="319" t="s">
        <v>3320</v>
      </c>
      <c r="NNK45" s="318" t="s">
        <v>3319</v>
      </c>
      <c r="NNL45" s="319" t="s">
        <v>3320</v>
      </c>
      <c r="NNM45" s="318" t="s">
        <v>3319</v>
      </c>
      <c r="NNN45" s="319" t="s">
        <v>3320</v>
      </c>
      <c r="NNO45" s="318" t="s">
        <v>3319</v>
      </c>
      <c r="NNP45" s="319" t="s">
        <v>3320</v>
      </c>
      <c r="NNQ45" s="318" t="s">
        <v>3319</v>
      </c>
      <c r="NNR45" s="319" t="s">
        <v>3320</v>
      </c>
      <c r="NNS45" s="318" t="s">
        <v>3319</v>
      </c>
      <c r="NNT45" s="319" t="s">
        <v>3320</v>
      </c>
      <c r="NNU45" s="318" t="s">
        <v>3319</v>
      </c>
      <c r="NNV45" s="319" t="s">
        <v>3320</v>
      </c>
      <c r="NNW45" s="318" t="s">
        <v>3319</v>
      </c>
      <c r="NNX45" s="319" t="s">
        <v>3320</v>
      </c>
      <c r="NNY45" s="318" t="s">
        <v>3319</v>
      </c>
      <c r="NNZ45" s="319" t="s">
        <v>3320</v>
      </c>
      <c r="NOA45" s="318" t="s">
        <v>3319</v>
      </c>
      <c r="NOB45" s="319" t="s">
        <v>3320</v>
      </c>
      <c r="NOC45" s="318" t="s">
        <v>3319</v>
      </c>
      <c r="NOD45" s="319" t="s">
        <v>3320</v>
      </c>
      <c r="NOE45" s="318" t="s">
        <v>3319</v>
      </c>
      <c r="NOF45" s="319" t="s">
        <v>3320</v>
      </c>
      <c r="NOG45" s="318" t="s">
        <v>3319</v>
      </c>
      <c r="NOH45" s="319" t="s">
        <v>3320</v>
      </c>
      <c r="NOI45" s="318" t="s">
        <v>3319</v>
      </c>
      <c r="NOJ45" s="319" t="s">
        <v>3320</v>
      </c>
      <c r="NOK45" s="318" t="s">
        <v>3319</v>
      </c>
      <c r="NOL45" s="319" t="s">
        <v>3320</v>
      </c>
      <c r="NOM45" s="318" t="s">
        <v>3319</v>
      </c>
      <c r="NON45" s="319" t="s">
        <v>3320</v>
      </c>
      <c r="NOO45" s="318" t="s">
        <v>3319</v>
      </c>
      <c r="NOP45" s="319" t="s">
        <v>3320</v>
      </c>
      <c r="NOQ45" s="318" t="s">
        <v>3319</v>
      </c>
      <c r="NOR45" s="319" t="s">
        <v>3320</v>
      </c>
      <c r="NOS45" s="318" t="s">
        <v>3319</v>
      </c>
      <c r="NOT45" s="319" t="s">
        <v>3320</v>
      </c>
      <c r="NOU45" s="318" t="s">
        <v>3319</v>
      </c>
      <c r="NOV45" s="319" t="s">
        <v>3320</v>
      </c>
      <c r="NOW45" s="318" t="s">
        <v>3319</v>
      </c>
      <c r="NOX45" s="319" t="s">
        <v>3320</v>
      </c>
      <c r="NOY45" s="318" t="s">
        <v>3319</v>
      </c>
      <c r="NOZ45" s="319" t="s">
        <v>3320</v>
      </c>
      <c r="NPA45" s="318" t="s">
        <v>3319</v>
      </c>
      <c r="NPB45" s="319" t="s">
        <v>3320</v>
      </c>
      <c r="NPC45" s="318" t="s">
        <v>3319</v>
      </c>
      <c r="NPD45" s="319" t="s">
        <v>3320</v>
      </c>
      <c r="NPE45" s="318" t="s">
        <v>3319</v>
      </c>
      <c r="NPF45" s="319" t="s">
        <v>3320</v>
      </c>
      <c r="NPG45" s="318" t="s">
        <v>3319</v>
      </c>
      <c r="NPH45" s="319" t="s">
        <v>3320</v>
      </c>
      <c r="NPI45" s="318" t="s">
        <v>3319</v>
      </c>
      <c r="NPJ45" s="319" t="s">
        <v>3320</v>
      </c>
      <c r="NPK45" s="318" t="s">
        <v>3319</v>
      </c>
      <c r="NPL45" s="319" t="s">
        <v>3320</v>
      </c>
      <c r="NPM45" s="318" t="s">
        <v>3319</v>
      </c>
      <c r="NPN45" s="319" t="s">
        <v>3320</v>
      </c>
      <c r="NPO45" s="318" t="s">
        <v>3319</v>
      </c>
      <c r="NPP45" s="319" t="s">
        <v>3320</v>
      </c>
      <c r="NPQ45" s="318" t="s">
        <v>3319</v>
      </c>
      <c r="NPR45" s="319" t="s">
        <v>3320</v>
      </c>
      <c r="NPS45" s="318" t="s">
        <v>3319</v>
      </c>
      <c r="NPT45" s="319" t="s">
        <v>3320</v>
      </c>
      <c r="NPU45" s="318" t="s">
        <v>3319</v>
      </c>
      <c r="NPV45" s="319" t="s">
        <v>3320</v>
      </c>
      <c r="NPW45" s="318" t="s">
        <v>3319</v>
      </c>
      <c r="NPX45" s="319" t="s">
        <v>3320</v>
      </c>
      <c r="NPY45" s="318" t="s">
        <v>3319</v>
      </c>
      <c r="NPZ45" s="319" t="s">
        <v>3320</v>
      </c>
      <c r="NQA45" s="318" t="s">
        <v>3319</v>
      </c>
      <c r="NQB45" s="319" t="s">
        <v>3320</v>
      </c>
      <c r="NQC45" s="318" t="s">
        <v>3319</v>
      </c>
      <c r="NQD45" s="319" t="s">
        <v>3320</v>
      </c>
      <c r="NQE45" s="318" t="s">
        <v>3319</v>
      </c>
      <c r="NQF45" s="319" t="s">
        <v>3320</v>
      </c>
      <c r="NQG45" s="318" t="s">
        <v>3319</v>
      </c>
      <c r="NQH45" s="319" t="s">
        <v>3320</v>
      </c>
      <c r="NQI45" s="318" t="s">
        <v>3319</v>
      </c>
      <c r="NQJ45" s="319" t="s">
        <v>3320</v>
      </c>
      <c r="NQK45" s="318" t="s">
        <v>3319</v>
      </c>
      <c r="NQL45" s="319" t="s">
        <v>3320</v>
      </c>
      <c r="NQM45" s="318" t="s">
        <v>3319</v>
      </c>
      <c r="NQN45" s="319" t="s">
        <v>3320</v>
      </c>
      <c r="NQO45" s="318" t="s">
        <v>3319</v>
      </c>
      <c r="NQP45" s="319" t="s">
        <v>3320</v>
      </c>
      <c r="NQQ45" s="318" t="s">
        <v>3319</v>
      </c>
      <c r="NQR45" s="319" t="s">
        <v>3320</v>
      </c>
      <c r="NQS45" s="318" t="s">
        <v>3319</v>
      </c>
      <c r="NQT45" s="319" t="s">
        <v>3320</v>
      </c>
      <c r="NQU45" s="318" t="s">
        <v>3319</v>
      </c>
      <c r="NQV45" s="319" t="s">
        <v>3320</v>
      </c>
      <c r="NQW45" s="318" t="s">
        <v>3319</v>
      </c>
      <c r="NQX45" s="319" t="s">
        <v>3320</v>
      </c>
      <c r="NQY45" s="318" t="s">
        <v>3319</v>
      </c>
      <c r="NQZ45" s="319" t="s">
        <v>3320</v>
      </c>
      <c r="NRA45" s="318" t="s">
        <v>3319</v>
      </c>
      <c r="NRB45" s="319" t="s">
        <v>3320</v>
      </c>
      <c r="NRC45" s="318" t="s">
        <v>3319</v>
      </c>
      <c r="NRD45" s="319" t="s">
        <v>3320</v>
      </c>
      <c r="NRE45" s="318" t="s">
        <v>3319</v>
      </c>
      <c r="NRF45" s="319" t="s">
        <v>3320</v>
      </c>
      <c r="NRG45" s="318" t="s">
        <v>3319</v>
      </c>
      <c r="NRH45" s="319" t="s">
        <v>3320</v>
      </c>
      <c r="NRI45" s="318" t="s">
        <v>3319</v>
      </c>
      <c r="NRJ45" s="319" t="s">
        <v>3320</v>
      </c>
      <c r="NRK45" s="318" t="s">
        <v>3319</v>
      </c>
      <c r="NRL45" s="319" t="s">
        <v>3320</v>
      </c>
      <c r="NRM45" s="318" t="s">
        <v>3319</v>
      </c>
      <c r="NRN45" s="319" t="s">
        <v>3320</v>
      </c>
      <c r="NRO45" s="318" t="s">
        <v>3319</v>
      </c>
      <c r="NRP45" s="319" t="s">
        <v>3320</v>
      </c>
      <c r="NRQ45" s="318" t="s">
        <v>3319</v>
      </c>
      <c r="NRR45" s="319" t="s">
        <v>3320</v>
      </c>
      <c r="NRS45" s="318" t="s">
        <v>3319</v>
      </c>
      <c r="NRT45" s="319" t="s">
        <v>3320</v>
      </c>
      <c r="NRU45" s="318" t="s">
        <v>3319</v>
      </c>
      <c r="NRV45" s="319" t="s">
        <v>3320</v>
      </c>
      <c r="NRW45" s="318" t="s">
        <v>3319</v>
      </c>
      <c r="NRX45" s="319" t="s">
        <v>3320</v>
      </c>
      <c r="NRY45" s="318" t="s">
        <v>3319</v>
      </c>
      <c r="NRZ45" s="319" t="s">
        <v>3320</v>
      </c>
      <c r="NSA45" s="318" t="s">
        <v>3319</v>
      </c>
      <c r="NSB45" s="319" t="s">
        <v>3320</v>
      </c>
      <c r="NSC45" s="318" t="s">
        <v>3319</v>
      </c>
      <c r="NSD45" s="319" t="s">
        <v>3320</v>
      </c>
      <c r="NSE45" s="318" t="s">
        <v>3319</v>
      </c>
      <c r="NSF45" s="319" t="s">
        <v>3320</v>
      </c>
      <c r="NSG45" s="318" t="s">
        <v>3319</v>
      </c>
      <c r="NSH45" s="319" t="s">
        <v>3320</v>
      </c>
      <c r="NSI45" s="318" t="s">
        <v>3319</v>
      </c>
      <c r="NSJ45" s="319" t="s">
        <v>3320</v>
      </c>
      <c r="NSK45" s="318" t="s">
        <v>3319</v>
      </c>
      <c r="NSL45" s="319" t="s">
        <v>3320</v>
      </c>
      <c r="NSM45" s="318" t="s">
        <v>3319</v>
      </c>
      <c r="NSN45" s="319" t="s">
        <v>3320</v>
      </c>
      <c r="NSO45" s="318" t="s">
        <v>3319</v>
      </c>
      <c r="NSP45" s="319" t="s">
        <v>3320</v>
      </c>
      <c r="NSQ45" s="318" t="s">
        <v>3319</v>
      </c>
      <c r="NSR45" s="319" t="s">
        <v>3320</v>
      </c>
      <c r="NSS45" s="318" t="s">
        <v>3319</v>
      </c>
      <c r="NST45" s="319" t="s">
        <v>3320</v>
      </c>
      <c r="NSU45" s="318" t="s">
        <v>3319</v>
      </c>
      <c r="NSV45" s="319" t="s">
        <v>3320</v>
      </c>
      <c r="NSW45" s="318" t="s">
        <v>3319</v>
      </c>
      <c r="NSX45" s="319" t="s">
        <v>3320</v>
      </c>
      <c r="NSY45" s="318" t="s">
        <v>3319</v>
      </c>
      <c r="NSZ45" s="319" t="s">
        <v>3320</v>
      </c>
      <c r="NTA45" s="318" t="s">
        <v>3319</v>
      </c>
      <c r="NTB45" s="319" t="s">
        <v>3320</v>
      </c>
      <c r="NTC45" s="318" t="s">
        <v>3319</v>
      </c>
      <c r="NTD45" s="319" t="s">
        <v>3320</v>
      </c>
      <c r="NTE45" s="318" t="s">
        <v>3319</v>
      </c>
      <c r="NTF45" s="319" t="s">
        <v>3320</v>
      </c>
      <c r="NTG45" s="318" t="s">
        <v>3319</v>
      </c>
      <c r="NTH45" s="319" t="s">
        <v>3320</v>
      </c>
      <c r="NTI45" s="318" t="s">
        <v>3319</v>
      </c>
      <c r="NTJ45" s="319" t="s">
        <v>3320</v>
      </c>
      <c r="NTK45" s="318" t="s">
        <v>3319</v>
      </c>
      <c r="NTL45" s="319" t="s">
        <v>3320</v>
      </c>
      <c r="NTM45" s="318" t="s">
        <v>3319</v>
      </c>
      <c r="NTN45" s="319" t="s">
        <v>3320</v>
      </c>
      <c r="NTO45" s="318" t="s">
        <v>3319</v>
      </c>
      <c r="NTP45" s="319" t="s">
        <v>3320</v>
      </c>
      <c r="NTQ45" s="318" t="s">
        <v>3319</v>
      </c>
      <c r="NTR45" s="319" t="s">
        <v>3320</v>
      </c>
      <c r="NTS45" s="318" t="s">
        <v>3319</v>
      </c>
      <c r="NTT45" s="319" t="s">
        <v>3320</v>
      </c>
      <c r="NTU45" s="318" t="s">
        <v>3319</v>
      </c>
      <c r="NTV45" s="319" t="s">
        <v>3320</v>
      </c>
      <c r="NTW45" s="318" t="s">
        <v>3319</v>
      </c>
      <c r="NTX45" s="319" t="s">
        <v>3320</v>
      </c>
      <c r="NTY45" s="318" t="s">
        <v>3319</v>
      </c>
      <c r="NTZ45" s="319" t="s">
        <v>3320</v>
      </c>
      <c r="NUA45" s="318" t="s">
        <v>3319</v>
      </c>
      <c r="NUB45" s="319" t="s">
        <v>3320</v>
      </c>
      <c r="NUC45" s="318" t="s">
        <v>3319</v>
      </c>
      <c r="NUD45" s="319" t="s">
        <v>3320</v>
      </c>
      <c r="NUE45" s="318" t="s">
        <v>3319</v>
      </c>
      <c r="NUF45" s="319" t="s">
        <v>3320</v>
      </c>
      <c r="NUG45" s="318" t="s">
        <v>3319</v>
      </c>
      <c r="NUH45" s="319" t="s">
        <v>3320</v>
      </c>
      <c r="NUI45" s="318" t="s">
        <v>3319</v>
      </c>
      <c r="NUJ45" s="319" t="s">
        <v>3320</v>
      </c>
      <c r="NUK45" s="318" t="s">
        <v>3319</v>
      </c>
      <c r="NUL45" s="319" t="s">
        <v>3320</v>
      </c>
      <c r="NUM45" s="318" t="s">
        <v>3319</v>
      </c>
      <c r="NUN45" s="319" t="s">
        <v>3320</v>
      </c>
      <c r="NUO45" s="318" t="s">
        <v>3319</v>
      </c>
      <c r="NUP45" s="319" t="s">
        <v>3320</v>
      </c>
      <c r="NUQ45" s="318" t="s">
        <v>3319</v>
      </c>
      <c r="NUR45" s="319" t="s">
        <v>3320</v>
      </c>
      <c r="NUS45" s="318" t="s">
        <v>3319</v>
      </c>
      <c r="NUT45" s="319" t="s">
        <v>3320</v>
      </c>
      <c r="NUU45" s="318" t="s">
        <v>3319</v>
      </c>
      <c r="NUV45" s="319" t="s">
        <v>3320</v>
      </c>
      <c r="NUW45" s="318" t="s">
        <v>3319</v>
      </c>
      <c r="NUX45" s="319" t="s">
        <v>3320</v>
      </c>
      <c r="NUY45" s="318" t="s">
        <v>3319</v>
      </c>
      <c r="NUZ45" s="319" t="s">
        <v>3320</v>
      </c>
      <c r="NVA45" s="318" t="s">
        <v>3319</v>
      </c>
      <c r="NVB45" s="319" t="s">
        <v>3320</v>
      </c>
      <c r="NVC45" s="318" t="s">
        <v>3319</v>
      </c>
      <c r="NVD45" s="319" t="s">
        <v>3320</v>
      </c>
      <c r="NVE45" s="318" t="s">
        <v>3319</v>
      </c>
      <c r="NVF45" s="319" t="s">
        <v>3320</v>
      </c>
      <c r="NVG45" s="318" t="s">
        <v>3319</v>
      </c>
      <c r="NVH45" s="319" t="s">
        <v>3320</v>
      </c>
      <c r="NVI45" s="318" t="s">
        <v>3319</v>
      </c>
      <c r="NVJ45" s="319" t="s">
        <v>3320</v>
      </c>
      <c r="NVK45" s="318" t="s">
        <v>3319</v>
      </c>
      <c r="NVL45" s="319" t="s">
        <v>3320</v>
      </c>
      <c r="NVM45" s="318" t="s">
        <v>3319</v>
      </c>
      <c r="NVN45" s="319" t="s">
        <v>3320</v>
      </c>
      <c r="NVO45" s="318" t="s">
        <v>3319</v>
      </c>
      <c r="NVP45" s="319" t="s">
        <v>3320</v>
      </c>
      <c r="NVQ45" s="318" t="s">
        <v>3319</v>
      </c>
      <c r="NVR45" s="319" t="s">
        <v>3320</v>
      </c>
      <c r="NVS45" s="318" t="s">
        <v>3319</v>
      </c>
      <c r="NVT45" s="319" t="s">
        <v>3320</v>
      </c>
      <c r="NVU45" s="318" t="s">
        <v>3319</v>
      </c>
      <c r="NVV45" s="319" t="s">
        <v>3320</v>
      </c>
      <c r="NVW45" s="318" t="s">
        <v>3319</v>
      </c>
      <c r="NVX45" s="319" t="s">
        <v>3320</v>
      </c>
      <c r="NVY45" s="318" t="s">
        <v>3319</v>
      </c>
      <c r="NVZ45" s="319" t="s">
        <v>3320</v>
      </c>
      <c r="NWA45" s="318" t="s">
        <v>3319</v>
      </c>
      <c r="NWB45" s="319" t="s">
        <v>3320</v>
      </c>
      <c r="NWC45" s="318" t="s">
        <v>3319</v>
      </c>
      <c r="NWD45" s="319" t="s">
        <v>3320</v>
      </c>
      <c r="NWE45" s="318" t="s">
        <v>3319</v>
      </c>
      <c r="NWF45" s="319" t="s">
        <v>3320</v>
      </c>
      <c r="NWG45" s="318" t="s">
        <v>3319</v>
      </c>
      <c r="NWH45" s="319" t="s">
        <v>3320</v>
      </c>
      <c r="NWI45" s="318" t="s">
        <v>3319</v>
      </c>
      <c r="NWJ45" s="319" t="s">
        <v>3320</v>
      </c>
      <c r="NWK45" s="318" t="s">
        <v>3319</v>
      </c>
      <c r="NWL45" s="319" t="s">
        <v>3320</v>
      </c>
      <c r="NWM45" s="318" t="s">
        <v>3319</v>
      </c>
      <c r="NWN45" s="319" t="s">
        <v>3320</v>
      </c>
      <c r="NWO45" s="318" t="s">
        <v>3319</v>
      </c>
      <c r="NWP45" s="319" t="s">
        <v>3320</v>
      </c>
      <c r="NWQ45" s="318" t="s">
        <v>3319</v>
      </c>
      <c r="NWR45" s="319" t="s">
        <v>3320</v>
      </c>
      <c r="NWS45" s="318" t="s">
        <v>3319</v>
      </c>
      <c r="NWT45" s="319" t="s">
        <v>3320</v>
      </c>
      <c r="NWU45" s="318" t="s">
        <v>3319</v>
      </c>
      <c r="NWV45" s="319" t="s">
        <v>3320</v>
      </c>
      <c r="NWW45" s="318" t="s">
        <v>3319</v>
      </c>
      <c r="NWX45" s="319" t="s">
        <v>3320</v>
      </c>
      <c r="NWY45" s="318" t="s">
        <v>3319</v>
      </c>
      <c r="NWZ45" s="319" t="s">
        <v>3320</v>
      </c>
      <c r="NXA45" s="318" t="s">
        <v>3319</v>
      </c>
      <c r="NXB45" s="319" t="s">
        <v>3320</v>
      </c>
      <c r="NXC45" s="318" t="s">
        <v>3319</v>
      </c>
      <c r="NXD45" s="319" t="s">
        <v>3320</v>
      </c>
      <c r="NXE45" s="318" t="s">
        <v>3319</v>
      </c>
      <c r="NXF45" s="319" t="s">
        <v>3320</v>
      </c>
      <c r="NXG45" s="318" t="s">
        <v>3319</v>
      </c>
      <c r="NXH45" s="319" t="s">
        <v>3320</v>
      </c>
      <c r="NXI45" s="318" t="s">
        <v>3319</v>
      </c>
      <c r="NXJ45" s="319" t="s">
        <v>3320</v>
      </c>
      <c r="NXK45" s="318" t="s">
        <v>3319</v>
      </c>
      <c r="NXL45" s="319" t="s">
        <v>3320</v>
      </c>
      <c r="NXM45" s="318" t="s">
        <v>3319</v>
      </c>
      <c r="NXN45" s="319" t="s">
        <v>3320</v>
      </c>
      <c r="NXO45" s="318" t="s">
        <v>3319</v>
      </c>
      <c r="NXP45" s="319" t="s">
        <v>3320</v>
      </c>
      <c r="NXQ45" s="318" t="s">
        <v>3319</v>
      </c>
      <c r="NXR45" s="319" t="s">
        <v>3320</v>
      </c>
      <c r="NXS45" s="318" t="s">
        <v>3319</v>
      </c>
      <c r="NXT45" s="319" t="s">
        <v>3320</v>
      </c>
      <c r="NXU45" s="318" t="s">
        <v>3319</v>
      </c>
      <c r="NXV45" s="319" t="s">
        <v>3320</v>
      </c>
      <c r="NXW45" s="318" t="s">
        <v>3319</v>
      </c>
      <c r="NXX45" s="319" t="s">
        <v>3320</v>
      </c>
      <c r="NXY45" s="318" t="s">
        <v>3319</v>
      </c>
      <c r="NXZ45" s="319" t="s">
        <v>3320</v>
      </c>
      <c r="NYA45" s="318" t="s">
        <v>3319</v>
      </c>
      <c r="NYB45" s="319" t="s">
        <v>3320</v>
      </c>
      <c r="NYC45" s="318" t="s">
        <v>3319</v>
      </c>
      <c r="NYD45" s="319" t="s">
        <v>3320</v>
      </c>
      <c r="NYE45" s="318" t="s">
        <v>3319</v>
      </c>
      <c r="NYF45" s="319" t="s">
        <v>3320</v>
      </c>
      <c r="NYG45" s="318" t="s">
        <v>3319</v>
      </c>
      <c r="NYH45" s="319" t="s">
        <v>3320</v>
      </c>
      <c r="NYI45" s="318" t="s">
        <v>3319</v>
      </c>
      <c r="NYJ45" s="319" t="s">
        <v>3320</v>
      </c>
      <c r="NYK45" s="318" t="s">
        <v>3319</v>
      </c>
      <c r="NYL45" s="319" t="s">
        <v>3320</v>
      </c>
      <c r="NYM45" s="318" t="s">
        <v>3319</v>
      </c>
      <c r="NYN45" s="319" t="s">
        <v>3320</v>
      </c>
      <c r="NYO45" s="318" t="s">
        <v>3319</v>
      </c>
      <c r="NYP45" s="319" t="s">
        <v>3320</v>
      </c>
      <c r="NYQ45" s="318" t="s">
        <v>3319</v>
      </c>
      <c r="NYR45" s="319" t="s">
        <v>3320</v>
      </c>
      <c r="NYS45" s="318" t="s">
        <v>3319</v>
      </c>
      <c r="NYT45" s="319" t="s">
        <v>3320</v>
      </c>
      <c r="NYU45" s="318" t="s">
        <v>3319</v>
      </c>
      <c r="NYV45" s="319" t="s">
        <v>3320</v>
      </c>
      <c r="NYW45" s="318" t="s">
        <v>3319</v>
      </c>
      <c r="NYX45" s="319" t="s">
        <v>3320</v>
      </c>
      <c r="NYY45" s="318" t="s">
        <v>3319</v>
      </c>
      <c r="NYZ45" s="319" t="s">
        <v>3320</v>
      </c>
      <c r="NZA45" s="318" t="s">
        <v>3319</v>
      </c>
      <c r="NZB45" s="319" t="s">
        <v>3320</v>
      </c>
      <c r="NZC45" s="318" t="s">
        <v>3319</v>
      </c>
      <c r="NZD45" s="319" t="s">
        <v>3320</v>
      </c>
      <c r="NZE45" s="318" t="s">
        <v>3319</v>
      </c>
      <c r="NZF45" s="319" t="s">
        <v>3320</v>
      </c>
      <c r="NZG45" s="318" t="s">
        <v>3319</v>
      </c>
      <c r="NZH45" s="319" t="s">
        <v>3320</v>
      </c>
      <c r="NZI45" s="318" t="s">
        <v>3319</v>
      </c>
      <c r="NZJ45" s="319" t="s">
        <v>3320</v>
      </c>
      <c r="NZK45" s="318" t="s">
        <v>3319</v>
      </c>
      <c r="NZL45" s="319" t="s">
        <v>3320</v>
      </c>
      <c r="NZM45" s="318" t="s">
        <v>3319</v>
      </c>
      <c r="NZN45" s="319" t="s">
        <v>3320</v>
      </c>
      <c r="NZO45" s="318" t="s">
        <v>3319</v>
      </c>
      <c r="NZP45" s="319" t="s">
        <v>3320</v>
      </c>
      <c r="NZQ45" s="318" t="s">
        <v>3319</v>
      </c>
      <c r="NZR45" s="319" t="s">
        <v>3320</v>
      </c>
      <c r="NZS45" s="318" t="s">
        <v>3319</v>
      </c>
      <c r="NZT45" s="319" t="s">
        <v>3320</v>
      </c>
      <c r="NZU45" s="318" t="s">
        <v>3319</v>
      </c>
      <c r="NZV45" s="319" t="s">
        <v>3320</v>
      </c>
      <c r="NZW45" s="318" t="s">
        <v>3319</v>
      </c>
      <c r="NZX45" s="319" t="s">
        <v>3320</v>
      </c>
      <c r="NZY45" s="318" t="s">
        <v>3319</v>
      </c>
      <c r="NZZ45" s="319" t="s">
        <v>3320</v>
      </c>
      <c r="OAA45" s="318" t="s">
        <v>3319</v>
      </c>
      <c r="OAB45" s="319" t="s">
        <v>3320</v>
      </c>
      <c r="OAC45" s="318" t="s">
        <v>3319</v>
      </c>
      <c r="OAD45" s="319" t="s">
        <v>3320</v>
      </c>
      <c r="OAE45" s="318" t="s">
        <v>3319</v>
      </c>
      <c r="OAF45" s="319" t="s">
        <v>3320</v>
      </c>
      <c r="OAG45" s="318" t="s">
        <v>3319</v>
      </c>
      <c r="OAH45" s="319" t="s">
        <v>3320</v>
      </c>
      <c r="OAI45" s="318" t="s">
        <v>3319</v>
      </c>
      <c r="OAJ45" s="319" t="s">
        <v>3320</v>
      </c>
      <c r="OAK45" s="318" t="s">
        <v>3319</v>
      </c>
      <c r="OAL45" s="319" t="s">
        <v>3320</v>
      </c>
      <c r="OAM45" s="318" t="s">
        <v>3319</v>
      </c>
      <c r="OAN45" s="319" t="s">
        <v>3320</v>
      </c>
      <c r="OAO45" s="318" t="s">
        <v>3319</v>
      </c>
      <c r="OAP45" s="319" t="s">
        <v>3320</v>
      </c>
      <c r="OAQ45" s="318" t="s">
        <v>3319</v>
      </c>
      <c r="OAR45" s="319" t="s">
        <v>3320</v>
      </c>
      <c r="OAS45" s="318" t="s">
        <v>3319</v>
      </c>
      <c r="OAT45" s="319" t="s">
        <v>3320</v>
      </c>
      <c r="OAU45" s="318" t="s">
        <v>3319</v>
      </c>
      <c r="OAV45" s="319" t="s">
        <v>3320</v>
      </c>
      <c r="OAW45" s="318" t="s">
        <v>3319</v>
      </c>
      <c r="OAX45" s="319" t="s">
        <v>3320</v>
      </c>
      <c r="OAY45" s="318" t="s">
        <v>3319</v>
      </c>
      <c r="OAZ45" s="319" t="s">
        <v>3320</v>
      </c>
      <c r="OBA45" s="318" t="s">
        <v>3319</v>
      </c>
      <c r="OBB45" s="319" t="s">
        <v>3320</v>
      </c>
      <c r="OBC45" s="318" t="s">
        <v>3319</v>
      </c>
      <c r="OBD45" s="319" t="s">
        <v>3320</v>
      </c>
      <c r="OBE45" s="318" t="s">
        <v>3319</v>
      </c>
      <c r="OBF45" s="319" t="s">
        <v>3320</v>
      </c>
      <c r="OBG45" s="318" t="s">
        <v>3319</v>
      </c>
      <c r="OBH45" s="319" t="s">
        <v>3320</v>
      </c>
      <c r="OBI45" s="318" t="s">
        <v>3319</v>
      </c>
      <c r="OBJ45" s="319" t="s">
        <v>3320</v>
      </c>
      <c r="OBK45" s="318" t="s">
        <v>3319</v>
      </c>
      <c r="OBL45" s="319" t="s">
        <v>3320</v>
      </c>
      <c r="OBM45" s="318" t="s">
        <v>3319</v>
      </c>
      <c r="OBN45" s="319" t="s">
        <v>3320</v>
      </c>
      <c r="OBO45" s="318" t="s">
        <v>3319</v>
      </c>
      <c r="OBP45" s="319" t="s">
        <v>3320</v>
      </c>
      <c r="OBQ45" s="318" t="s">
        <v>3319</v>
      </c>
      <c r="OBR45" s="319" t="s">
        <v>3320</v>
      </c>
      <c r="OBS45" s="318" t="s">
        <v>3319</v>
      </c>
      <c r="OBT45" s="319" t="s">
        <v>3320</v>
      </c>
      <c r="OBU45" s="318" t="s">
        <v>3319</v>
      </c>
      <c r="OBV45" s="319" t="s">
        <v>3320</v>
      </c>
      <c r="OBW45" s="318" t="s">
        <v>3319</v>
      </c>
      <c r="OBX45" s="319" t="s">
        <v>3320</v>
      </c>
      <c r="OBY45" s="318" t="s">
        <v>3319</v>
      </c>
      <c r="OBZ45" s="319" t="s">
        <v>3320</v>
      </c>
      <c r="OCA45" s="318" t="s">
        <v>3319</v>
      </c>
      <c r="OCB45" s="319" t="s">
        <v>3320</v>
      </c>
      <c r="OCC45" s="318" t="s">
        <v>3319</v>
      </c>
      <c r="OCD45" s="319" t="s">
        <v>3320</v>
      </c>
      <c r="OCE45" s="318" t="s">
        <v>3319</v>
      </c>
      <c r="OCF45" s="319" t="s">
        <v>3320</v>
      </c>
      <c r="OCG45" s="318" t="s">
        <v>3319</v>
      </c>
      <c r="OCH45" s="319" t="s">
        <v>3320</v>
      </c>
      <c r="OCI45" s="318" t="s">
        <v>3319</v>
      </c>
      <c r="OCJ45" s="319" t="s">
        <v>3320</v>
      </c>
      <c r="OCK45" s="318" t="s">
        <v>3319</v>
      </c>
      <c r="OCL45" s="319" t="s">
        <v>3320</v>
      </c>
      <c r="OCM45" s="318" t="s">
        <v>3319</v>
      </c>
      <c r="OCN45" s="319" t="s">
        <v>3320</v>
      </c>
      <c r="OCO45" s="318" t="s">
        <v>3319</v>
      </c>
      <c r="OCP45" s="319" t="s">
        <v>3320</v>
      </c>
      <c r="OCQ45" s="318" t="s">
        <v>3319</v>
      </c>
      <c r="OCR45" s="319" t="s">
        <v>3320</v>
      </c>
      <c r="OCS45" s="318" t="s">
        <v>3319</v>
      </c>
      <c r="OCT45" s="319" t="s">
        <v>3320</v>
      </c>
      <c r="OCU45" s="318" t="s">
        <v>3319</v>
      </c>
      <c r="OCV45" s="319" t="s">
        <v>3320</v>
      </c>
      <c r="OCW45" s="318" t="s">
        <v>3319</v>
      </c>
      <c r="OCX45" s="319" t="s">
        <v>3320</v>
      </c>
      <c r="OCY45" s="318" t="s">
        <v>3319</v>
      </c>
      <c r="OCZ45" s="319" t="s">
        <v>3320</v>
      </c>
      <c r="ODA45" s="318" t="s">
        <v>3319</v>
      </c>
      <c r="ODB45" s="319" t="s">
        <v>3320</v>
      </c>
      <c r="ODC45" s="318" t="s">
        <v>3319</v>
      </c>
      <c r="ODD45" s="319" t="s">
        <v>3320</v>
      </c>
      <c r="ODE45" s="318" t="s">
        <v>3319</v>
      </c>
      <c r="ODF45" s="319" t="s">
        <v>3320</v>
      </c>
      <c r="ODG45" s="318" t="s">
        <v>3319</v>
      </c>
      <c r="ODH45" s="319" t="s">
        <v>3320</v>
      </c>
      <c r="ODI45" s="318" t="s">
        <v>3319</v>
      </c>
      <c r="ODJ45" s="319" t="s">
        <v>3320</v>
      </c>
      <c r="ODK45" s="318" t="s">
        <v>3319</v>
      </c>
      <c r="ODL45" s="319" t="s">
        <v>3320</v>
      </c>
      <c r="ODM45" s="318" t="s">
        <v>3319</v>
      </c>
      <c r="ODN45" s="319" t="s">
        <v>3320</v>
      </c>
      <c r="ODO45" s="318" t="s">
        <v>3319</v>
      </c>
      <c r="ODP45" s="319" t="s">
        <v>3320</v>
      </c>
      <c r="ODQ45" s="318" t="s">
        <v>3319</v>
      </c>
      <c r="ODR45" s="319" t="s">
        <v>3320</v>
      </c>
      <c r="ODS45" s="318" t="s">
        <v>3319</v>
      </c>
      <c r="ODT45" s="319" t="s">
        <v>3320</v>
      </c>
      <c r="ODU45" s="318" t="s">
        <v>3319</v>
      </c>
      <c r="ODV45" s="319" t="s">
        <v>3320</v>
      </c>
      <c r="ODW45" s="318" t="s">
        <v>3319</v>
      </c>
      <c r="ODX45" s="319" t="s">
        <v>3320</v>
      </c>
      <c r="ODY45" s="318" t="s">
        <v>3319</v>
      </c>
      <c r="ODZ45" s="319" t="s">
        <v>3320</v>
      </c>
      <c r="OEA45" s="318" t="s">
        <v>3319</v>
      </c>
      <c r="OEB45" s="319" t="s">
        <v>3320</v>
      </c>
      <c r="OEC45" s="318" t="s">
        <v>3319</v>
      </c>
      <c r="OED45" s="319" t="s">
        <v>3320</v>
      </c>
      <c r="OEE45" s="318" t="s">
        <v>3319</v>
      </c>
      <c r="OEF45" s="319" t="s">
        <v>3320</v>
      </c>
      <c r="OEG45" s="318" t="s">
        <v>3319</v>
      </c>
      <c r="OEH45" s="319" t="s">
        <v>3320</v>
      </c>
      <c r="OEI45" s="318" t="s">
        <v>3319</v>
      </c>
      <c r="OEJ45" s="319" t="s">
        <v>3320</v>
      </c>
      <c r="OEK45" s="318" t="s">
        <v>3319</v>
      </c>
      <c r="OEL45" s="319" t="s">
        <v>3320</v>
      </c>
      <c r="OEM45" s="318" t="s">
        <v>3319</v>
      </c>
      <c r="OEN45" s="319" t="s">
        <v>3320</v>
      </c>
      <c r="OEO45" s="318" t="s">
        <v>3319</v>
      </c>
      <c r="OEP45" s="319" t="s">
        <v>3320</v>
      </c>
      <c r="OEQ45" s="318" t="s">
        <v>3319</v>
      </c>
      <c r="OER45" s="319" t="s">
        <v>3320</v>
      </c>
      <c r="OES45" s="318" t="s">
        <v>3319</v>
      </c>
      <c r="OET45" s="319" t="s">
        <v>3320</v>
      </c>
      <c r="OEU45" s="318" t="s">
        <v>3319</v>
      </c>
      <c r="OEV45" s="319" t="s">
        <v>3320</v>
      </c>
      <c r="OEW45" s="318" t="s">
        <v>3319</v>
      </c>
      <c r="OEX45" s="319" t="s">
        <v>3320</v>
      </c>
      <c r="OEY45" s="318" t="s">
        <v>3319</v>
      </c>
      <c r="OEZ45" s="319" t="s">
        <v>3320</v>
      </c>
      <c r="OFA45" s="318" t="s">
        <v>3319</v>
      </c>
      <c r="OFB45" s="319" t="s">
        <v>3320</v>
      </c>
      <c r="OFC45" s="318" t="s">
        <v>3319</v>
      </c>
      <c r="OFD45" s="319" t="s">
        <v>3320</v>
      </c>
      <c r="OFE45" s="318" t="s">
        <v>3319</v>
      </c>
      <c r="OFF45" s="319" t="s">
        <v>3320</v>
      </c>
      <c r="OFG45" s="318" t="s">
        <v>3319</v>
      </c>
      <c r="OFH45" s="319" t="s">
        <v>3320</v>
      </c>
      <c r="OFI45" s="318" t="s">
        <v>3319</v>
      </c>
      <c r="OFJ45" s="319" t="s">
        <v>3320</v>
      </c>
      <c r="OFK45" s="318" t="s">
        <v>3319</v>
      </c>
      <c r="OFL45" s="319" t="s">
        <v>3320</v>
      </c>
      <c r="OFM45" s="318" t="s">
        <v>3319</v>
      </c>
      <c r="OFN45" s="319" t="s">
        <v>3320</v>
      </c>
      <c r="OFO45" s="318" t="s">
        <v>3319</v>
      </c>
      <c r="OFP45" s="319" t="s">
        <v>3320</v>
      </c>
      <c r="OFQ45" s="318" t="s">
        <v>3319</v>
      </c>
      <c r="OFR45" s="319" t="s">
        <v>3320</v>
      </c>
      <c r="OFS45" s="318" t="s">
        <v>3319</v>
      </c>
      <c r="OFT45" s="319" t="s">
        <v>3320</v>
      </c>
      <c r="OFU45" s="318" t="s">
        <v>3319</v>
      </c>
      <c r="OFV45" s="319" t="s">
        <v>3320</v>
      </c>
      <c r="OFW45" s="318" t="s">
        <v>3319</v>
      </c>
      <c r="OFX45" s="319" t="s">
        <v>3320</v>
      </c>
      <c r="OFY45" s="318" t="s">
        <v>3319</v>
      </c>
      <c r="OFZ45" s="319" t="s">
        <v>3320</v>
      </c>
      <c r="OGA45" s="318" t="s">
        <v>3319</v>
      </c>
      <c r="OGB45" s="319" t="s">
        <v>3320</v>
      </c>
      <c r="OGC45" s="318" t="s">
        <v>3319</v>
      </c>
      <c r="OGD45" s="319" t="s">
        <v>3320</v>
      </c>
      <c r="OGE45" s="318" t="s">
        <v>3319</v>
      </c>
      <c r="OGF45" s="319" t="s">
        <v>3320</v>
      </c>
      <c r="OGG45" s="318" t="s">
        <v>3319</v>
      </c>
      <c r="OGH45" s="319" t="s">
        <v>3320</v>
      </c>
      <c r="OGI45" s="318" t="s">
        <v>3319</v>
      </c>
      <c r="OGJ45" s="319" t="s">
        <v>3320</v>
      </c>
      <c r="OGK45" s="318" t="s">
        <v>3319</v>
      </c>
      <c r="OGL45" s="319" t="s">
        <v>3320</v>
      </c>
      <c r="OGM45" s="318" t="s">
        <v>3319</v>
      </c>
      <c r="OGN45" s="319" t="s">
        <v>3320</v>
      </c>
      <c r="OGO45" s="318" t="s">
        <v>3319</v>
      </c>
      <c r="OGP45" s="319" t="s">
        <v>3320</v>
      </c>
      <c r="OGQ45" s="318" t="s">
        <v>3319</v>
      </c>
      <c r="OGR45" s="319" t="s">
        <v>3320</v>
      </c>
      <c r="OGS45" s="318" t="s">
        <v>3319</v>
      </c>
      <c r="OGT45" s="319" t="s">
        <v>3320</v>
      </c>
      <c r="OGU45" s="318" t="s">
        <v>3319</v>
      </c>
      <c r="OGV45" s="319" t="s">
        <v>3320</v>
      </c>
      <c r="OGW45" s="318" t="s">
        <v>3319</v>
      </c>
      <c r="OGX45" s="319" t="s">
        <v>3320</v>
      </c>
      <c r="OGY45" s="318" t="s">
        <v>3319</v>
      </c>
      <c r="OGZ45" s="319" t="s">
        <v>3320</v>
      </c>
      <c r="OHA45" s="318" t="s">
        <v>3319</v>
      </c>
      <c r="OHB45" s="319" t="s">
        <v>3320</v>
      </c>
      <c r="OHC45" s="318" t="s">
        <v>3319</v>
      </c>
      <c r="OHD45" s="319" t="s">
        <v>3320</v>
      </c>
      <c r="OHE45" s="318" t="s">
        <v>3319</v>
      </c>
      <c r="OHF45" s="319" t="s">
        <v>3320</v>
      </c>
      <c r="OHG45" s="318" t="s">
        <v>3319</v>
      </c>
      <c r="OHH45" s="319" t="s">
        <v>3320</v>
      </c>
      <c r="OHI45" s="318" t="s">
        <v>3319</v>
      </c>
      <c r="OHJ45" s="319" t="s">
        <v>3320</v>
      </c>
      <c r="OHK45" s="318" t="s">
        <v>3319</v>
      </c>
      <c r="OHL45" s="319" t="s">
        <v>3320</v>
      </c>
      <c r="OHM45" s="318" t="s">
        <v>3319</v>
      </c>
      <c r="OHN45" s="319" t="s">
        <v>3320</v>
      </c>
      <c r="OHO45" s="318" t="s">
        <v>3319</v>
      </c>
      <c r="OHP45" s="319" t="s">
        <v>3320</v>
      </c>
      <c r="OHQ45" s="318" t="s">
        <v>3319</v>
      </c>
      <c r="OHR45" s="319" t="s">
        <v>3320</v>
      </c>
      <c r="OHS45" s="318" t="s">
        <v>3319</v>
      </c>
      <c r="OHT45" s="319" t="s">
        <v>3320</v>
      </c>
      <c r="OHU45" s="318" t="s">
        <v>3319</v>
      </c>
      <c r="OHV45" s="319" t="s">
        <v>3320</v>
      </c>
      <c r="OHW45" s="318" t="s">
        <v>3319</v>
      </c>
      <c r="OHX45" s="319" t="s">
        <v>3320</v>
      </c>
      <c r="OHY45" s="318" t="s">
        <v>3319</v>
      </c>
      <c r="OHZ45" s="319" t="s">
        <v>3320</v>
      </c>
      <c r="OIA45" s="318" t="s">
        <v>3319</v>
      </c>
      <c r="OIB45" s="319" t="s">
        <v>3320</v>
      </c>
      <c r="OIC45" s="318" t="s">
        <v>3319</v>
      </c>
      <c r="OID45" s="319" t="s">
        <v>3320</v>
      </c>
      <c r="OIE45" s="318" t="s">
        <v>3319</v>
      </c>
      <c r="OIF45" s="319" t="s">
        <v>3320</v>
      </c>
      <c r="OIG45" s="318" t="s">
        <v>3319</v>
      </c>
      <c r="OIH45" s="319" t="s">
        <v>3320</v>
      </c>
      <c r="OII45" s="318" t="s">
        <v>3319</v>
      </c>
      <c r="OIJ45" s="319" t="s">
        <v>3320</v>
      </c>
      <c r="OIK45" s="318" t="s">
        <v>3319</v>
      </c>
      <c r="OIL45" s="319" t="s">
        <v>3320</v>
      </c>
      <c r="OIM45" s="318" t="s">
        <v>3319</v>
      </c>
      <c r="OIN45" s="319" t="s">
        <v>3320</v>
      </c>
      <c r="OIO45" s="318" t="s">
        <v>3319</v>
      </c>
      <c r="OIP45" s="319" t="s">
        <v>3320</v>
      </c>
      <c r="OIQ45" s="318" t="s">
        <v>3319</v>
      </c>
      <c r="OIR45" s="319" t="s">
        <v>3320</v>
      </c>
      <c r="OIS45" s="318" t="s">
        <v>3319</v>
      </c>
      <c r="OIT45" s="319" t="s">
        <v>3320</v>
      </c>
      <c r="OIU45" s="318" t="s">
        <v>3319</v>
      </c>
      <c r="OIV45" s="319" t="s">
        <v>3320</v>
      </c>
      <c r="OIW45" s="318" t="s">
        <v>3319</v>
      </c>
      <c r="OIX45" s="319" t="s">
        <v>3320</v>
      </c>
      <c r="OIY45" s="318" t="s">
        <v>3319</v>
      </c>
      <c r="OIZ45" s="319" t="s">
        <v>3320</v>
      </c>
      <c r="OJA45" s="318" t="s">
        <v>3319</v>
      </c>
      <c r="OJB45" s="319" t="s">
        <v>3320</v>
      </c>
      <c r="OJC45" s="318" t="s">
        <v>3319</v>
      </c>
      <c r="OJD45" s="319" t="s">
        <v>3320</v>
      </c>
      <c r="OJE45" s="318" t="s">
        <v>3319</v>
      </c>
      <c r="OJF45" s="319" t="s">
        <v>3320</v>
      </c>
      <c r="OJG45" s="318" t="s">
        <v>3319</v>
      </c>
      <c r="OJH45" s="319" t="s">
        <v>3320</v>
      </c>
      <c r="OJI45" s="318" t="s">
        <v>3319</v>
      </c>
      <c r="OJJ45" s="319" t="s">
        <v>3320</v>
      </c>
      <c r="OJK45" s="318" t="s">
        <v>3319</v>
      </c>
      <c r="OJL45" s="319" t="s">
        <v>3320</v>
      </c>
      <c r="OJM45" s="318" t="s">
        <v>3319</v>
      </c>
      <c r="OJN45" s="319" t="s">
        <v>3320</v>
      </c>
      <c r="OJO45" s="318" t="s">
        <v>3319</v>
      </c>
      <c r="OJP45" s="319" t="s">
        <v>3320</v>
      </c>
      <c r="OJQ45" s="318" t="s">
        <v>3319</v>
      </c>
      <c r="OJR45" s="319" t="s">
        <v>3320</v>
      </c>
      <c r="OJS45" s="318" t="s">
        <v>3319</v>
      </c>
      <c r="OJT45" s="319" t="s">
        <v>3320</v>
      </c>
      <c r="OJU45" s="318" t="s">
        <v>3319</v>
      </c>
      <c r="OJV45" s="319" t="s">
        <v>3320</v>
      </c>
      <c r="OJW45" s="318" t="s">
        <v>3319</v>
      </c>
      <c r="OJX45" s="319" t="s">
        <v>3320</v>
      </c>
      <c r="OJY45" s="318" t="s">
        <v>3319</v>
      </c>
      <c r="OJZ45" s="319" t="s">
        <v>3320</v>
      </c>
      <c r="OKA45" s="318" t="s">
        <v>3319</v>
      </c>
      <c r="OKB45" s="319" t="s">
        <v>3320</v>
      </c>
      <c r="OKC45" s="318" t="s">
        <v>3319</v>
      </c>
      <c r="OKD45" s="319" t="s">
        <v>3320</v>
      </c>
      <c r="OKE45" s="318" t="s">
        <v>3319</v>
      </c>
      <c r="OKF45" s="319" t="s">
        <v>3320</v>
      </c>
      <c r="OKG45" s="318" t="s">
        <v>3319</v>
      </c>
      <c r="OKH45" s="319" t="s">
        <v>3320</v>
      </c>
      <c r="OKI45" s="318" t="s">
        <v>3319</v>
      </c>
      <c r="OKJ45" s="319" t="s">
        <v>3320</v>
      </c>
      <c r="OKK45" s="318" t="s">
        <v>3319</v>
      </c>
      <c r="OKL45" s="319" t="s">
        <v>3320</v>
      </c>
      <c r="OKM45" s="318" t="s">
        <v>3319</v>
      </c>
      <c r="OKN45" s="319" t="s">
        <v>3320</v>
      </c>
      <c r="OKO45" s="318" t="s">
        <v>3319</v>
      </c>
      <c r="OKP45" s="319" t="s">
        <v>3320</v>
      </c>
      <c r="OKQ45" s="318" t="s">
        <v>3319</v>
      </c>
      <c r="OKR45" s="319" t="s">
        <v>3320</v>
      </c>
      <c r="OKS45" s="318" t="s">
        <v>3319</v>
      </c>
      <c r="OKT45" s="319" t="s">
        <v>3320</v>
      </c>
      <c r="OKU45" s="318" t="s">
        <v>3319</v>
      </c>
      <c r="OKV45" s="319" t="s">
        <v>3320</v>
      </c>
      <c r="OKW45" s="318" t="s">
        <v>3319</v>
      </c>
      <c r="OKX45" s="319" t="s">
        <v>3320</v>
      </c>
      <c r="OKY45" s="318" t="s">
        <v>3319</v>
      </c>
      <c r="OKZ45" s="319" t="s">
        <v>3320</v>
      </c>
      <c r="OLA45" s="318" t="s">
        <v>3319</v>
      </c>
      <c r="OLB45" s="319" t="s">
        <v>3320</v>
      </c>
      <c r="OLC45" s="318" t="s">
        <v>3319</v>
      </c>
      <c r="OLD45" s="319" t="s">
        <v>3320</v>
      </c>
      <c r="OLE45" s="318" t="s">
        <v>3319</v>
      </c>
      <c r="OLF45" s="319" t="s">
        <v>3320</v>
      </c>
      <c r="OLG45" s="318" t="s">
        <v>3319</v>
      </c>
      <c r="OLH45" s="319" t="s">
        <v>3320</v>
      </c>
      <c r="OLI45" s="318" t="s">
        <v>3319</v>
      </c>
      <c r="OLJ45" s="319" t="s">
        <v>3320</v>
      </c>
      <c r="OLK45" s="318" t="s">
        <v>3319</v>
      </c>
      <c r="OLL45" s="319" t="s">
        <v>3320</v>
      </c>
      <c r="OLM45" s="318" t="s">
        <v>3319</v>
      </c>
      <c r="OLN45" s="319" t="s">
        <v>3320</v>
      </c>
      <c r="OLO45" s="318" t="s">
        <v>3319</v>
      </c>
      <c r="OLP45" s="319" t="s">
        <v>3320</v>
      </c>
      <c r="OLQ45" s="318" t="s">
        <v>3319</v>
      </c>
      <c r="OLR45" s="319" t="s">
        <v>3320</v>
      </c>
      <c r="OLS45" s="318" t="s">
        <v>3319</v>
      </c>
      <c r="OLT45" s="319" t="s">
        <v>3320</v>
      </c>
      <c r="OLU45" s="318" t="s">
        <v>3319</v>
      </c>
      <c r="OLV45" s="319" t="s">
        <v>3320</v>
      </c>
      <c r="OLW45" s="318" t="s">
        <v>3319</v>
      </c>
      <c r="OLX45" s="319" t="s">
        <v>3320</v>
      </c>
      <c r="OLY45" s="318" t="s">
        <v>3319</v>
      </c>
      <c r="OLZ45" s="319" t="s">
        <v>3320</v>
      </c>
      <c r="OMA45" s="318" t="s">
        <v>3319</v>
      </c>
      <c r="OMB45" s="319" t="s">
        <v>3320</v>
      </c>
      <c r="OMC45" s="318" t="s">
        <v>3319</v>
      </c>
      <c r="OMD45" s="319" t="s">
        <v>3320</v>
      </c>
      <c r="OME45" s="318" t="s">
        <v>3319</v>
      </c>
      <c r="OMF45" s="319" t="s">
        <v>3320</v>
      </c>
      <c r="OMG45" s="318" t="s">
        <v>3319</v>
      </c>
      <c r="OMH45" s="319" t="s">
        <v>3320</v>
      </c>
      <c r="OMI45" s="318" t="s">
        <v>3319</v>
      </c>
      <c r="OMJ45" s="319" t="s">
        <v>3320</v>
      </c>
      <c r="OMK45" s="318" t="s">
        <v>3319</v>
      </c>
      <c r="OML45" s="319" t="s">
        <v>3320</v>
      </c>
      <c r="OMM45" s="318" t="s">
        <v>3319</v>
      </c>
      <c r="OMN45" s="319" t="s">
        <v>3320</v>
      </c>
      <c r="OMO45" s="318" t="s">
        <v>3319</v>
      </c>
      <c r="OMP45" s="319" t="s">
        <v>3320</v>
      </c>
      <c r="OMQ45" s="318" t="s">
        <v>3319</v>
      </c>
      <c r="OMR45" s="319" t="s">
        <v>3320</v>
      </c>
      <c r="OMS45" s="318" t="s">
        <v>3319</v>
      </c>
      <c r="OMT45" s="319" t="s">
        <v>3320</v>
      </c>
      <c r="OMU45" s="318" t="s">
        <v>3319</v>
      </c>
      <c r="OMV45" s="319" t="s">
        <v>3320</v>
      </c>
      <c r="OMW45" s="318" t="s">
        <v>3319</v>
      </c>
      <c r="OMX45" s="319" t="s">
        <v>3320</v>
      </c>
      <c r="OMY45" s="318" t="s">
        <v>3319</v>
      </c>
      <c r="OMZ45" s="319" t="s">
        <v>3320</v>
      </c>
      <c r="ONA45" s="318" t="s">
        <v>3319</v>
      </c>
      <c r="ONB45" s="319" t="s">
        <v>3320</v>
      </c>
      <c r="ONC45" s="318" t="s">
        <v>3319</v>
      </c>
      <c r="OND45" s="319" t="s">
        <v>3320</v>
      </c>
      <c r="ONE45" s="318" t="s">
        <v>3319</v>
      </c>
      <c r="ONF45" s="319" t="s">
        <v>3320</v>
      </c>
      <c r="ONG45" s="318" t="s">
        <v>3319</v>
      </c>
      <c r="ONH45" s="319" t="s">
        <v>3320</v>
      </c>
      <c r="ONI45" s="318" t="s">
        <v>3319</v>
      </c>
      <c r="ONJ45" s="319" t="s">
        <v>3320</v>
      </c>
      <c r="ONK45" s="318" t="s">
        <v>3319</v>
      </c>
      <c r="ONL45" s="319" t="s">
        <v>3320</v>
      </c>
      <c r="ONM45" s="318" t="s">
        <v>3319</v>
      </c>
      <c r="ONN45" s="319" t="s">
        <v>3320</v>
      </c>
      <c r="ONO45" s="318" t="s">
        <v>3319</v>
      </c>
      <c r="ONP45" s="319" t="s">
        <v>3320</v>
      </c>
      <c r="ONQ45" s="318" t="s">
        <v>3319</v>
      </c>
      <c r="ONR45" s="319" t="s">
        <v>3320</v>
      </c>
      <c r="ONS45" s="318" t="s">
        <v>3319</v>
      </c>
      <c r="ONT45" s="319" t="s">
        <v>3320</v>
      </c>
      <c r="ONU45" s="318" t="s">
        <v>3319</v>
      </c>
      <c r="ONV45" s="319" t="s">
        <v>3320</v>
      </c>
      <c r="ONW45" s="318" t="s">
        <v>3319</v>
      </c>
      <c r="ONX45" s="319" t="s">
        <v>3320</v>
      </c>
      <c r="ONY45" s="318" t="s">
        <v>3319</v>
      </c>
      <c r="ONZ45" s="319" t="s">
        <v>3320</v>
      </c>
      <c r="OOA45" s="318" t="s">
        <v>3319</v>
      </c>
      <c r="OOB45" s="319" t="s">
        <v>3320</v>
      </c>
      <c r="OOC45" s="318" t="s">
        <v>3319</v>
      </c>
      <c r="OOD45" s="319" t="s">
        <v>3320</v>
      </c>
      <c r="OOE45" s="318" t="s">
        <v>3319</v>
      </c>
      <c r="OOF45" s="319" t="s">
        <v>3320</v>
      </c>
      <c r="OOG45" s="318" t="s">
        <v>3319</v>
      </c>
      <c r="OOH45" s="319" t="s">
        <v>3320</v>
      </c>
      <c r="OOI45" s="318" t="s">
        <v>3319</v>
      </c>
      <c r="OOJ45" s="319" t="s">
        <v>3320</v>
      </c>
      <c r="OOK45" s="318" t="s">
        <v>3319</v>
      </c>
      <c r="OOL45" s="319" t="s">
        <v>3320</v>
      </c>
      <c r="OOM45" s="318" t="s">
        <v>3319</v>
      </c>
      <c r="OON45" s="319" t="s">
        <v>3320</v>
      </c>
      <c r="OOO45" s="318" t="s">
        <v>3319</v>
      </c>
      <c r="OOP45" s="319" t="s">
        <v>3320</v>
      </c>
      <c r="OOQ45" s="318" t="s">
        <v>3319</v>
      </c>
      <c r="OOR45" s="319" t="s">
        <v>3320</v>
      </c>
      <c r="OOS45" s="318" t="s">
        <v>3319</v>
      </c>
      <c r="OOT45" s="319" t="s">
        <v>3320</v>
      </c>
      <c r="OOU45" s="318" t="s">
        <v>3319</v>
      </c>
      <c r="OOV45" s="319" t="s">
        <v>3320</v>
      </c>
      <c r="OOW45" s="318" t="s">
        <v>3319</v>
      </c>
      <c r="OOX45" s="319" t="s">
        <v>3320</v>
      </c>
      <c r="OOY45" s="318" t="s">
        <v>3319</v>
      </c>
      <c r="OOZ45" s="319" t="s">
        <v>3320</v>
      </c>
      <c r="OPA45" s="318" t="s">
        <v>3319</v>
      </c>
      <c r="OPB45" s="319" t="s">
        <v>3320</v>
      </c>
      <c r="OPC45" s="318" t="s">
        <v>3319</v>
      </c>
      <c r="OPD45" s="319" t="s">
        <v>3320</v>
      </c>
      <c r="OPE45" s="318" t="s">
        <v>3319</v>
      </c>
      <c r="OPF45" s="319" t="s">
        <v>3320</v>
      </c>
      <c r="OPG45" s="318" t="s">
        <v>3319</v>
      </c>
      <c r="OPH45" s="319" t="s">
        <v>3320</v>
      </c>
      <c r="OPI45" s="318" t="s">
        <v>3319</v>
      </c>
      <c r="OPJ45" s="319" t="s">
        <v>3320</v>
      </c>
      <c r="OPK45" s="318" t="s">
        <v>3319</v>
      </c>
      <c r="OPL45" s="319" t="s">
        <v>3320</v>
      </c>
      <c r="OPM45" s="318" t="s">
        <v>3319</v>
      </c>
      <c r="OPN45" s="319" t="s">
        <v>3320</v>
      </c>
      <c r="OPO45" s="318" t="s">
        <v>3319</v>
      </c>
      <c r="OPP45" s="319" t="s">
        <v>3320</v>
      </c>
      <c r="OPQ45" s="318" t="s">
        <v>3319</v>
      </c>
      <c r="OPR45" s="319" t="s">
        <v>3320</v>
      </c>
      <c r="OPS45" s="318" t="s">
        <v>3319</v>
      </c>
      <c r="OPT45" s="319" t="s">
        <v>3320</v>
      </c>
      <c r="OPU45" s="318" t="s">
        <v>3319</v>
      </c>
      <c r="OPV45" s="319" t="s">
        <v>3320</v>
      </c>
      <c r="OPW45" s="318" t="s">
        <v>3319</v>
      </c>
      <c r="OPX45" s="319" t="s">
        <v>3320</v>
      </c>
      <c r="OPY45" s="318" t="s">
        <v>3319</v>
      </c>
      <c r="OPZ45" s="319" t="s">
        <v>3320</v>
      </c>
      <c r="OQA45" s="318" t="s">
        <v>3319</v>
      </c>
      <c r="OQB45" s="319" t="s">
        <v>3320</v>
      </c>
      <c r="OQC45" s="318" t="s">
        <v>3319</v>
      </c>
      <c r="OQD45" s="319" t="s">
        <v>3320</v>
      </c>
      <c r="OQE45" s="318" t="s">
        <v>3319</v>
      </c>
      <c r="OQF45" s="319" t="s">
        <v>3320</v>
      </c>
      <c r="OQG45" s="318" t="s">
        <v>3319</v>
      </c>
      <c r="OQH45" s="319" t="s">
        <v>3320</v>
      </c>
      <c r="OQI45" s="318" t="s">
        <v>3319</v>
      </c>
      <c r="OQJ45" s="319" t="s">
        <v>3320</v>
      </c>
      <c r="OQK45" s="318" t="s">
        <v>3319</v>
      </c>
      <c r="OQL45" s="319" t="s">
        <v>3320</v>
      </c>
      <c r="OQM45" s="318" t="s">
        <v>3319</v>
      </c>
      <c r="OQN45" s="319" t="s">
        <v>3320</v>
      </c>
      <c r="OQO45" s="318" t="s">
        <v>3319</v>
      </c>
      <c r="OQP45" s="319" t="s">
        <v>3320</v>
      </c>
      <c r="OQQ45" s="318" t="s">
        <v>3319</v>
      </c>
      <c r="OQR45" s="319" t="s">
        <v>3320</v>
      </c>
      <c r="OQS45" s="318" t="s">
        <v>3319</v>
      </c>
      <c r="OQT45" s="319" t="s">
        <v>3320</v>
      </c>
      <c r="OQU45" s="318" t="s">
        <v>3319</v>
      </c>
      <c r="OQV45" s="319" t="s">
        <v>3320</v>
      </c>
      <c r="OQW45" s="318" t="s">
        <v>3319</v>
      </c>
      <c r="OQX45" s="319" t="s">
        <v>3320</v>
      </c>
      <c r="OQY45" s="318" t="s">
        <v>3319</v>
      </c>
      <c r="OQZ45" s="319" t="s">
        <v>3320</v>
      </c>
      <c r="ORA45" s="318" t="s">
        <v>3319</v>
      </c>
      <c r="ORB45" s="319" t="s">
        <v>3320</v>
      </c>
      <c r="ORC45" s="318" t="s">
        <v>3319</v>
      </c>
      <c r="ORD45" s="319" t="s">
        <v>3320</v>
      </c>
      <c r="ORE45" s="318" t="s">
        <v>3319</v>
      </c>
      <c r="ORF45" s="319" t="s">
        <v>3320</v>
      </c>
      <c r="ORG45" s="318" t="s">
        <v>3319</v>
      </c>
      <c r="ORH45" s="319" t="s">
        <v>3320</v>
      </c>
      <c r="ORI45" s="318" t="s">
        <v>3319</v>
      </c>
      <c r="ORJ45" s="319" t="s">
        <v>3320</v>
      </c>
      <c r="ORK45" s="318" t="s">
        <v>3319</v>
      </c>
      <c r="ORL45" s="319" t="s">
        <v>3320</v>
      </c>
      <c r="ORM45" s="318" t="s">
        <v>3319</v>
      </c>
      <c r="ORN45" s="319" t="s">
        <v>3320</v>
      </c>
      <c r="ORO45" s="318" t="s">
        <v>3319</v>
      </c>
      <c r="ORP45" s="319" t="s">
        <v>3320</v>
      </c>
      <c r="ORQ45" s="318" t="s">
        <v>3319</v>
      </c>
      <c r="ORR45" s="319" t="s">
        <v>3320</v>
      </c>
      <c r="ORS45" s="318" t="s">
        <v>3319</v>
      </c>
      <c r="ORT45" s="319" t="s">
        <v>3320</v>
      </c>
      <c r="ORU45" s="318" t="s">
        <v>3319</v>
      </c>
      <c r="ORV45" s="319" t="s">
        <v>3320</v>
      </c>
      <c r="ORW45" s="318" t="s">
        <v>3319</v>
      </c>
      <c r="ORX45" s="319" t="s">
        <v>3320</v>
      </c>
      <c r="ORY45" s="318" t="s">
        <v>3319</v>
      </c>
      <c r="ORZ45" s="319" t="s">
        <v>3320</v>
      </c>
      <c r="OSA45" s="318" t="s">
        <v>3319</v>
      </c>
      <c r="OSB45" s="319" t="s">
        <v>3320</v>
      </c>
      <c r="OSC45" s="318" t="s">
        <v>3319</v>
      </c>
      <c r="OSD45" s="319" t="s">
        <v>3320</v>
      </c>
      <c r="OSE45" s="318" t="s">
        <v>3319</v>
      </c>
      <c r="OSF45" s="319" t="s">
        <v>3320</v>
      </c>
      <c r="OSG45" s="318" t="s">
        <v>3319</v>
      </c>
      <c r="OSH45" s="319" t="s">
        <v>3320</v>
      </c>
      <c r="OSI45" s="318" t="s">
        <v>3319</v>
      </c>
      <c r="OSJ45" s="319" t="s">
        <v>3320</v>
      </c>
      <c r="OSK45" s="318" t="s">
        <v>3319</v>
      </c>
      <c r="OSL45" s="319" t="s">
        <v>3320</v>
      </c>
      <c r="OSM45" s="318" t="s">
        <v>3319</v>
      </c>
      <c r="OSN45" s="319" t="s">
        <v>3320</v>
      </c>
      <c r="OSO45" s="318" t="s">
        <v>3319</v>
      </c>
      <c r="OSP45" s="319" t="s">
        <v>3320</v>
      </c>
      <c r="OSQ45" s="318" t="s">
        <v>3319</v>
      </c>
      <c r="OSR45" s="319" t="s">
        <v>3320</v>
      </c>
      <c r="OSS45" s="318" t="s">
        <v>3319</v>
      </c>
      <c r="OST45" s="319" t="s">
        <v>3320</v>
      </c>
      <c r="OSU45" s="318" t="s">
        <v>3319</v>
      </c>
      <c r="OSV45" s="319" t="s">
        <v>3320</v>
      </c>
      <c r="OSW45" s="318" t="s">
        <v>3319</v>
      </c>
      <c r="OSX45" s="319" t="s">
        <v>3320</v>
      </c>
      <c r="OSY45" s="318" t="s">
        <v>3319</v>
      </c>
      <c r="OSZ45" s="319" t="s">
        <v>3320</v>
      </c>
      <c r="OTA45" s="318" t="s">
        <v>3319</v>
      </c>
      <c r="OTB45" s="319" t="s">
        <v>3320</v>
      </c>
      <c r="OTC45" s="318" t="s">
        <v>3319</v>
      </c>
      <c r="OTD45" s="319" t="s">
        <v>3320</v>
      </c>
      <c r="OTE45" s="318" t="s">
        <v>3319</v>
      </c>
      <c r="OTF45" s="319" t="s">
        <v>3320</v>
      </c>
      <c r="OTG45" s="318" t="s">
        <v>3319</v>
      </c>
      <c r="OTH45" s="319" t="s">
        <v>3320</v>
      </c>
      <c r="OTI45" s="318" t="s">
        <v>3319</v>
      </c>
      <c r="OTJ45" s="319" t="s">
        <v>3320</v>
      </c>
      <c r="OTK45" s="318" t="s">
        <v>3319</v>
      </c>
      <c r="OTL45" s="319" t="s">
        <v>3320</v>
      </c>
      <c r="OTM45" s="318" t="s">
        <v>3319</v>
      </c>
      <c r="OTN45" s="319" t="s">
        <v>3320</v>
      </c>
      <c r="OTO45" s="318" t="s">
        <v>3319</v>
      </c>
      <c r="OTP45" s="319" t="s">
        <v>3320</v>
      </c>
      <c r="OTQ45" s="318" t="s">
        <v>3319</v>
      </c>
      <c r="OTR45" s="319" t="s">
        <v>3320</v>
      </c>
      <c r="OTS45" s="318" t="s">
        <v>3319</v>
      </c>
      <c r="OTT45" s="319" t="s">
        <v>3320</v>
      </c>
      <c r="OTU45" s="318" t="s">
        <v>3319</v>
      </c>
      <c r="OTV45" s="319" t="s">
        <v>3320</v>
      </c>
      <c r="OTW45" s="318" t="s">
        <v>3319</v>
      </c>
      <c r="OTX45" s="319" t="s">
        <v>3320</v>
      </c>
      <c r="OTY45" s="318" t="s">
        <v>3319</v>
      </c>
      <c r="OTZ45" s="319" t="s">
        <v>3320</v>
      </c>
      <c r="OUA45" s="318" t="s">
        <v>3319</v>
      </c>
      <c r="OUB45" s="319" t="s">
        <v>3320</v>
      </c>
      <c r="OUC45" s="318" t="s">
        <v>3319</v>
      </c>
      <c r="OUD45" s="319" t="s">
        <v>3320</v>
      </c>
      <c r="OUE45" s="318" t="s">
        <v>3319</v>
      </c>
      <c r="OUF45" s="319" t="s">
        <v>3320</v>
      </c>
      <c r="OUG45" s="318" t="s">
        <v>3319</v>
      </c>
      <c r="OUH45" s="319" t="s">
        <v>3320</v>
      </c>
      <c r="OUI45" s="318" t="s">
        <v>3319</v>
      </c>
      <c r="OUJ45" s="319" t="s">
        <v>3320</v>
      </c>
      <c r="OUK45" s="318" t="s">
        <v>3319</v>
      </c>
      <c r="OUL45" s="319" t="s">
        <v>3320</v>
      </c>
      <c r="OUM45" s="318" t="s">
        <v>3319</v>
      </c>
      <c r="OUN45" s="319" t="s">
        <v>3320</v>
      </c>
      <c r="OUO45" s="318" t="s">
        <v>3319</v>
      </c>
      <c r="OUP45" s="319" t="s">
        <v>3320</v>
      </c>
      <c r="OUQ45" s="318" t="s">
        <v>3319</v>
      </c>
      <c r="OUR45" s="319" t="s">
        <v>3320</v>
      </c>
      <c r="OUS45" s="318" t="s">
        <v>3319</v>
      </c>
      <c r="OUT45" s="319" t="s">
        <v>3320</v>
      </c>
      <c r="OUU45" s="318" t="s">
        <v>3319</v>
      </c>
      <c r="OUV45" s="319" t="s">
        <v>3320</v>
      </c>
      <c r="OUW45" s="318" t="s">
        <v>3319</v>
      </c>
      <c r="OUX45" s="319" t="s">
        <v>3320</v>
      </c>
      <c r="OUY45" s="318" t="s">
        <v>3319</v>
      </c>
      <c r="OUZ45" s="319" t="s">
        <v>3320</v>
      </c>
      <c r="OVA45" s="318" t="s">
        <v>3319</v>
      </c>
      <c r="OVB45" s="319" t="s">
        <v>3320</v>
      </c>
      <c r="OVC45" s="318" t="s">
        <v>3319</v>
      </c>
      <c r="OVD45" s="319" t="s">
        <v>3320</v>
      </c>
      <c r="OVE45" s="318" t="s">
        <v>3319</v>
      </c>
      <c r="OVF45" s="319" t="s">
        <v>3320</v>
      </c>
      <c r="OVG45" s="318" t="s">
        <v>3319</v>
      </c>
      <c r="OVH45" s="319" t="s">
        <v>3320</v>
      </c>
      <c r="OVI45" s="318" t="s">
        <v>3319</v>
      </c>
      <c r="OVJ45" s="319" t="s">
        <v>3320</v>
      </c>
      <c r="OVK45" s="318" t="s">
        <v>3319</v>
      </c>
      <c r="OVL45" s="319" t="s">
        <v>3320</v>
      </c>
      <c r="OVM45" s="318" t="s">
        <v>3319</v>
      </c>
      <c r="OVN45" s="319" t="s">
        <v>3320</v>
      </c>
      <c r="OVO45" s="318" t="s">
        <v>3319</v>
      </c>
      <c r="OVP45" s="319" t="s">
        <v>3320</v>
      </c>
      <c r="OVQ45" s="318" t="s">
        <v>3319</v>
      </c>
      <c r="OVR45" s="319" t="s">
        <v>3320</v>
      </c>
      <c r="OVS45" s="318" t="s">
        <v>3319</v>
      </c>
      <c r="OVT45" s="319" t="s">
        <v>3320</v>
      </c>
      <c r="OVU45" s="318" t="s">
        <v>3319</v>
      </c>
      <c r="OVV45" s="319" t="s">
        <v>3320</v>
      </c>
      <c r="OVW45" s="318" t="s">
        <v>3319</v>
      </c>
      <c r="OVX45" s="319" t="s">
        <v>3320</v>
      </c>
      <c r="OVY45" s="318" t="s">
        <v>3319</v>
      </c>
      <c r="OVZ45" s="319" t="s">
        <v>3320</v>
      </c>
      <c r="OWA45" s="318" t="s">
        <v>3319</v>
      </c>
      <c r="OWB45" s="319" t="s">
        <v>3320</v>
      </c>
      <c r="OWC45" s="318" t="s">
        <v>3319</v>
      </c>
      <c r="OWD45" s="319" t="s">
        <v>3320</v>
      </c>
      <c r="OWE45" s="318" t="s">
        <v>3319</v>
      </c>
      <c r="OWF45" s="319" t="s">
        <v>3320</v>
      </c>
      <c r="OWG45" s="318" t="s">
        <v>3319</v>
      </c>
      <c r="OWH45" s="319" t="s">
        <v>3320</v>
      </c>
      <c r="OWI45" s="318" t="s">
        <v>3319</v>
      </c>
      <c r="OWJ45" s="319" t="s">
        <v>3320</v>
      </c>
      <c r="OWK45" s="318" t="s">
        <v>3319</v>
      </c>
      <c r="OWL45" s="319" t="s">
        <v>3320</v>
      </c>
      <c r="OWM45" s="318" t="s">
        <v>3319</v>
      </c>
      <c r="OWN45" s="319" t="s">
        <v>3320</v>
      </c>
      <c r="OWO45" s="318" t="s">
        <v>3319</v>
      </c>
      <c r="OWP45" s="319" t="s">
        <v>3320</v>
      </c>
      <c r="OWQ45" s="318" t="s">
        <v>3319</v>
      </c>
      <c r="OWR45" s="319" t="s">
        <v>3320</v>
      </c>
      <c r="OWS45" s="318" t="s">
        <v>3319</v>
      </c>
      <c r="OWT45" s="319" t="s">
        <v>3320</v>
      </c>
      <c r="OWU45" s="318" t="s">
        <v>3319</v>
      </c>
      <c r="OWV45" s="319" t="s">
        <v>3320</v>
      </c>
      <c r="OWW45" s="318" t="s">
        <v>3319</v>
      </c>
      <c r="OWX45" s="319" t="s">
        <v>3320</v>
      </c>
      <c r="OWY45" s="318" t="s">
        <v>3319</v>
      </c>
      <c r="OWZ45" s="319" t="s">
        <v>3320</v>
      </c>
      <c r="OXA45" s="318" t="s">
        <v>3319</v>
      </c>
      <c r="OXB45" s="319" t="s">
        <v>3320</v>
      </c>
      <c r="OXC45" s="318" t="s">
        <v>3319</v>
      </c>
      <c r="OXD45" s="319" t="s">
        <v>3320</v>
      </c>
      <c r="OXE45" s="318" t="s">
        <v>3319</v>
      </c>
      <c r="OXF45" s="319" t="s">
        <v>3320</v>
      </c>
      <c r="OXG45" s="318" t="s">
        <v>3319</v>
      </c>
      <c r="OXH45" s="319" t="s">
        <v>3320</v>
      </c>
      <c r="OXI45" s="318" t="s">
        <v>3319</v>
      </c>
      <c r="OXJ45" s="319" t="s">
        <v>3320</v>
      </c>
      <c r="OXK45" s="318" t="s">
        <v>3319</v>
      </c>
      <c r="OXL45" s="319" t="s">
        <v>3320</v>
      </c>
      <c r="OXM45" s="318" t="s">
        <v>3319</v>
      </c>
      <c r="OXN45" s="319" t="s">
        <v>3320</v>
      </c>
      <c r="OXO45" s="318" t="s">
        <v>3319</v>
      </c>
      <c r="OXP45" s="319" t="s">
        <v>3320</v>
      </c>
      <c r="OXQ45" s="318" t="s">
        <v>3319</v>
      </c>
      <c r="OXR45" s="319" t="s">
        <v>3320</v>
      </c>
      <c r="OXS45" s="318" t="s">
        <v>3319</v>
      </c>
      <c r="OXT45" s="319" t="s">
        <v>3320</v>
      </c>
      <c r="OXU45" s="318" t="s">
        <v>3319</v>
      </c>
      <c r="OXV45" s="319" t="s">
        <v>3320</v>
      </c>
      <c r="OXW45" s="318" t="s">
        <v>3319</v>
      </c>
      <c r="OXX45" s="319" t="s">
        <v>3320</v>
      </c>
      <c r="OXY45" s="318" t="s">
        <v>3319</v>
      </c>
      <c r="OXZ45" s="319" t="s">
        <v>3320</v>
      </c>
      <c r="OYA45" s="318" t="s">
        <v>3319</v>
      </c>
      <c r="OYB45" s="319" t="s">
        <v>3320</v>
      </c>
      <c r="OYC45" s="318" t="s">
        <v>3319</v>
      </c>
      <c r="OYD45" s="319" t="s">
        <v>3320</v>
      </c>
      <c r="OYE45" s="318" t="s">
        <v>3319</v>
      </c>
      <c r="OYF45" s="319" t="s">
        <v>3320</v>
      </c>
      <c r="OYG45" s="318" t="s">
        <v>3319</v>
      </c>
      <c r="OYH45" s="319" t="s">
        <v>3320</v>
      </c>
      <c r="OYI45" s="318" t="s">
        <v>3319</v>
      </c>
      <c r="OYJ45" s="319" t="s">
        <v>3320</v>
      </c>
      <c r="OYK45" s="318" t="s">
        <v>3319</v>
      </c>
      <c r="OYL45" s="319" t="s">
        <v>3320</v>
      </c>
      <c r="OYM45" s="318" t="s">
        <v>3319</v>
      </c>
      <c r="OYN45" s="319" t="s">
        <v>3320</v>
      </c>
      <c r="OYO45" s="318" t="s">
        <v>3319</v>
      </c>
      <c r="OYP45" s="319" t="s">
        <v>3320</v>
      </c>
      <c r="OYQ45" s="318" t="s">
        <v>3319</v>
      </c>
      <c r="OYR45" s="319" t="s">
        <v>3320</v>
      </c>
      <c r="OYS45" s="318" t="s">
        <v>3319</v>
      </c>
      <c r="OYT45" s="319" t="s">
        <v>3320</v>
      </c>
      <c r="OYU45" s="318" t="s">
        <v>3319</v>
      </c>
      <c r="OYV45" s="319" t="s">
        <v>3320</v>
      </c>
      <c r="OYW45" s="318" t="s">
        <v>3319</v>
      </c>
      <c r="OYX45" s="319" t="s">
        <v>3320</v>
      </c>
      <c r="OYY45" s="318" t="s">
        <v>3319</v>
      </c>
      <c r="OYZ45" s="319" t="s">
        <v>3320</v>
      </c>
      <c r="OZA45" s="318" t="s">
        <v>3319</v>
      </c>
      <c r="OZB45" s="319" t="s">
        <v>3320</v>
      </c>
      <c r="OZC45" s="318" t="s">
        <v>3319</v>
      </c>
      <c r="OZD45" s="319" t="s">
        <v>3320</v>
      </c>
      <c r="OZE45" s="318" t="s">
        <v>3319</v>
      </c>
      <c r="OZF45" s="319" t="s">
        <v>3320</v>
      </c>
      <c r="OZG45" s="318" t="s">
        <v>3319</v>
      </c>
      <c r="OZH45" s="319" t="s">
        <v>3320</v>
      </c>
      <c r="OZI45" s="318" t="s">
        <v>3319</v>
      </c>
      <c r="OZJ45" s="319" t="s">
        <v>3320</v>
      </c>
      <c r="OZK45" s="318" t="s">
        <v>3319</v>
      </c>
      <c r="OZL45" s="319" t="s">
        <v>3320</v>
      </c>
      <c r="OZM45" s="318" t="s">
        <v>3319</v>
      </c>
      <c r="OZN45" s="319" t="s">
        <v>3320</v>
      </c>
      <c r="OZO45" s="318" t="s">
        <v>3319</v>
      </c>
      <c r="OZP45" s="319" t="s">
        <v>3320</v>
      </c>
      <c r="OZQ45" s="318" t="s">
        <v>3319</v>
      </c>
      <c r="OZR45" s="319" t="s">
        <v>3320</v>
      </c>
      <c r="OZS45" s="318" t="s">
        <v>3319</v>
      </c>
      <c r="OZT45" s="319" t="s">
        <v>3320</v>
      </c>
      <c r="OZU45" s="318" t="s">
        <v>3319</v>
      </c>
      <c r="OZV45" s="319" t="s">
        <v>3320</v>
      </c>
      <c r="OZW45" s="318" t="s">
        <v>3319</v>
      </c>
      <c r="OZX45" s="319" t="s">
        <v>3320</v>
      </c>
      <c r="OZY45" s="318" t="s">
        <v>3319</v>
      </c>
      <c r="OZZ45" s="319" t="s">
        <v>3320</v>
      </c>
      <c r="PAA45" s="318" t="s">
        <v>3319</v>
      </c>
      <c r="PAB45" s="319" t="s">
        <v>3320</v>
      </c>
      <c r="PAC45" s="318" t="s">
        <v>3319</v>
      </c>
      <c r="PAD45" s="319" t="s">
        <v>3320</v>
      </c>
      <c r="PAE45" s="318" t="s">
        <v>3319</v>
      </c>
      <c r="PAF45" s="319" t="s">
        <v>3320</v>
      </c>
      <c r="PAG45" s="318" t="s">
        <v>3319</v>
      </c>
      <c r="PAH45" s="319" t="s">
        <v>3320</v>
      </c>
      <c r="PAI45" s="318" t="s">
        <v>3319</v>
      </c>
      <c r="PAJ45" s="319" t="s">
        <v>3320</v>
      </c>
      <c r="PAK45" s="318" t="s">
        <v>3319</v>
      </c>
      <c r="PAL45" s="319" t="s">
        <v>3320</v>
      </c>
      <c r="PAM45" s="318" t="s">
        <v>3319</v>
      </c>
      <c r="PAN45" s="319" t="s">
        <v>3320</v>
      </c>
      <c r="PAO45" s="318" t="s">
        <v>3319</v>
      </c>
      <c r="PAP45" s="319" t="s">
        <v>3320</v>
      </c>
      <c r="PAQ45" s="318" t="s">
        <v>3319</v>
      </c>
      <c r="PAR45" s="319" t="s">
        <v>3320</v>
      </c>
      <c r="PAS45" s="318" t="s">
        <v>3319</v>
      </c>
      <c r="PAT45" s="319" t="s">
        <v>3320</v>
      </c>
      <c r="PAU45" s="318" t="s">
        <v>3319</v>
      </c>
      <c r="PAV45" s="319" t="s">
        <v>3320</v>
      </c>
      <c r="PAW45" s="318" t="s">
        <v>3319</v>
      </c>
      <c r="PAX45" s="319" t="s">
        <v>3320</v>
      </c>
      <c r="PAY45" s="318" t="s">
        <v>3319</v>
      </c>
      <c r="PAZ45" s="319" t="s">
        <v>3320</v>
      </c>
      <c r="PBA45" s="318" t="s">
        <v>3319</v>
      </c>
      <c r="PBB45" s="319" t="s">
        <v>3320</v>
      </c>
      <c r="PBC45" s="318" t="s">
        <v>3319</v>
      </c>
      <c r="PBD45" s="319" t="s">
        <v>3320</v>
      </c>
      <c r="PBE45" s="318" t="s">
        <v>3319</v>
      </c>
      <c r="PBF45" s="319" t="s">
        <v>3320</v>
      </c>
      <c r="PBG45" s="318" t="s">
        <v>3319</v>
      </c>
      <c r="PBH45" s="319" t="s">
        <v>3320</v>
      </c>
      <c r="PBI45" s="318" t="s">
        <v>3319</v>
      </c>
      <c r="PBJ45" s="319" t="s">
        <v>3320</v>
      </c>
      <c r="PBK45" s="318" t="s">
        <v>3319</v>
      </c>
      <c r="PBL45" s="319" t="s">
        <v>3320</v>
      </c>
      <c r="PBM45" s="318" t="s">
        <v>3319</v>
      </c>
      <c r="PBN45" s="319" t="s">
        <v>3320</v>
      </c>
      <c r="PBO45" s="318" t="s">
        <v>3319</v>
      </c>
      <c r="PBP45" s="319" t="s">
        <v>3320</v>
      </c>
      <c r="PBQ45" s="318" t="s">
        <v>3319</v>
      </c>
      <c r="PBR45" s="319" t="s">
        <v>3320</v>
      </c>
      <c r="PBS45" s="318" t="s">
        <v>3319</v>
      </c>
      <c r="PBT45" s="319" t="s">
        <v>3320</v>
      </c>
      <c r="PBU45" s="318" t="s">
        <v>3319</v>
      </c>
      <c r="PBV45" s="319" t="s">
        <v>3320</v>
      </c>
      <c r="PBW45" s="318" t="s">
        <v>3319</v>
      </c>
      <c r="PBX45" s="319" t="s">
        <v>3320</v>
      </c>
      <c r="PBY45" s="318" t="s">
        <v>3319</v>
      </c>
      <c r="PBZ45" s="319" t="s">
        <v>3320</v>
      </c>
      <c r="PCA45" s="318" t="s">
        <v>3319</v>
      </c>
      <c r="PCB45" s="319" t="s">
        <v>3320</v>
      </c>
      <c r="PCC45" s="318" t="s">
        <v>3319</v>
      </c>
      <c r="PCD45" s="319" t="s">
        <v>3320</v>
      </c>
      <c r="PCE45" s="318" t="s">
        <v>3319</v>
      </c>
      <c r="PCF45" s="319" t="s">
        <v>3320</v>
      </c>
      <c r="PCG45" s="318" t="s">
        <v>3319</v>
      </c>
      <c r="PCH45" s="319" t="s">
        <v>3320</v>
      </c>
      <c r="PCI45" s="318" t="s">
        <v>3319</v>
      </c>
      <c r="PCJ45" s="319" t="s">
        <v>3320</v>
      </c>
      <c r="PCK45" s="318" t="s">
        <v>3319</v>
      </c>
      <c r="PCL45" s="319" t="s">
        <v>3320</v>
      </c>
      <c r="PCM45" s="318" t="s">
        <v>3319</v>
      </c>
      <c r="PCN45" s="319" t="s">
        <v>3320</v>
      </c>
      <c r="PCO45" s="318" t="s">
        <v>3319</v>
      </c>
      <c r="PCP45" s="319" t="s">
        <v>3320</v>
      </c>
      <c r="PCQ45" s="318" t="s">
        <v>3319</v>
      </c>
      <c r="PCR45" s="319" t="s">
        <v>3320</v>
      </c>
      <c r="PCS45" s="318" t="s">
        <v>3319</v>
      </c>
      <c r="PCT45" s="319" t="s">
        <v>3320</v>
      </c>
      <c r="PCU45" s="318" t="s">
        <v>3319</v>
      </c>
      <c r="PCV45" s="319" t="s">
        <v>3320</v>
      </c>
      <c r="PCW45" s="318" t="s">
        <v>3319</v>
      </c>
      <c r="PCX45" s="319" t="s">
        <v>3320</v>
      </c>
      <c r="PCY45" s="318" t="s">
        <v>3319</v>
      </c>
      <c r="PCZ45" s="319" t="s">
        <v>3320</v>
      </c>
      <c r="PDA45" s="318" t="s">
        <v>3319</v>
      </c>
      <c r="PDB45" s="319" t="s">
        <v>3320</v>
      </c>
      <c r="PDC45" s="318" t="s">
        <v>3319</v>
      </c>
      <c r="PDD45" s="319" t="s">
        <v>3320</v>
      </c>
      <c r="PDE45" s="318" t="s">
        <v>3319</v>
      </c>
      <c r="PDF45" s="319" t="s">
        <v>3320</v>
      </c>
      <c r="PDG45" s="318" t="s">
        <v>3319</v>
      </c>
      <c r="PDH45" s="319" t="s">
        <v>3320</v>
      </c>
      <c r="PDI45" s="318" t="s">
        <v>3319</v>
      </c>
      <c r="PDJ45" s="319" t="s">
        <v>3320</v>
      </c>
      <c r="PDK45" s="318" t="s">
        <v>3319</v>
      </c>
      <c r="PDL45" s="319" t="s">
        <v>3320</v>
      </c>
      <c r="PDM45" s="318" t="s">
        <v>3319</v>
      </c>
      <c r="PDN45" s="319" t="s">
        <v>3320</v>
      </c>
      <c r="PDO45" s="318" t="s">
        <v>3319</v>
      </c>
      <c r="PDP45" s="319" t="s">
        <v>3320</v>
      </c>
      <c r="PDQ45" s="318" t="s">
        <v>3319</v>
      </c>
      <c r="PDR45" s="319" t="s">
        <v>3320</v>
      </c>
      <c r="PDS45" s="318" t="s">
        <v>3319</v>
      </c>
      <c r="PDT45" s="319" t="s">
        <v>3320</v>
      </c>
      <c r="PDU45" s="318" t="s">
        <v>3319</v>
      </c>
      <c r="PDV45" s="319" t="s">
        <v>3320</v>
      </c>
      <c r="PDW45" s="318" t="s">
        <v>3319</v>
      </c>
      <c r="PDX45" s="319" t="s">
        <v>3320</v>
      </c>
      <c r="PDY45" s="318" t="s">
        <v>3319</v>
      </c>
      <c r="PDZ45" s="319" t="s">
        <v>3320</v>
      </c>
      <c r="PEA45" s="318" t="s">
        <v>3319</v>
      </c>
      <c r="PEB45" s="319" t="s">
        <v>3320</v>
      </c>
      <c r="PEC45" s="318" t="s">
        <v>3319</v>
      </c>
      <c r="PED45" s="319" t="s">
        <v>3320</v>
      </c>
      <c r="PEE45" s="318" t="s">
        <v>3319</v>
      </c>
      <c r="PEF45" s="319" t="s">
        <v>3320</v>
      </c>
      <c r="PEG45" s="318" t="s">
        <v>3319</v>
      </c>
      <c r="PEH45" s="319" t="s">
        <v>3320</v>
      </c>
      <c r="PEI45" s="318" t="s">
        <v>3319</v>
      </c>
      <c r="PEJ45" s="319" t="s">
        <v>3320</v>
      </c>
      <c r="PEK45" s="318" t="s">
        <v>3319</v>
      </c>
      <c r="PEL45" s="319" t="s">
        <v>3320</v>
      </c>
      <c r="PEM45" s="318" t="s">
        <v>3319</v>
      </c>
      <c r="PEN45" s="319" t="s">
        <v>3320</v>
      </c>
      <c r="PEO45" s="318" t="s">
        <v>3319</v>
      </c>
      <c r="PEP45" s="319" t="s">
        <v>3320</v>
      </c>
      <c r="PEQ45" s="318" t="s">
        <v>3319</v>
      </c>
      <c r="PER45" s="319" t="s">
        <v>3320</v>
      </c>
      <c r="PES45" s="318" t="s">
        <v>3319</v>
      </c>
      <c r="PET45" s="319" t="s">
        <v>3320</v>
      </c>
      <c r="PEU45" s="318" t="s">
        <v>3319</v>
      </c>
      <c r="PEV45" s="319" t="s">
        <v>3320</v>
      </c>
      <c r="PEW45" s="318" t="s">
        <v>3319</v>
      </c>
      <c r="PEX45" s="319" t="s">
        <v>3320</v>
      </c>
      <c r="PEY45" s="318" t="s">
        <v>3319</v>
      </c>
      <c r="PEZ45" s="319" t="s">
        <v>3320</v>
      </c>
      <c r="PFA45" s="318" t="s">
        <v>3319</v>
      </c>
      <c r="PFB45" s="319" t="s">
        <v>3320</v>
      </c>
      <c r="PFC45" s="318" t="s">
        <v>3319</v>
      </c>
      <c r="PFD45" s="319" t="s">
        <v>3320</v>
      </c>
      <c r="PFE45" s="318" t="s">
        <v>3319</v>
      </c>
      <c r="PFF45" s="319" t="s">
        <v>3320</v>
      </c>
      <c r="PFG45" s="318" t="s">
        <v>3319</v>
      </c>
      <c r="PFH45" s="319" t="s">
        <v>3320</v>
      </c>
      <c r="PFI45" s="318" t="s">
        <v>3319</v>
      </c>
      <c r="PFJ45" s="319" t="s">
        <v>3320</v>
      </c>
      <c r="PFK45" s="318" t="s">
        <v>3319</v>
      </c>
      <c r="PFL45" s="319" t="s">
        <v>3320</v>
      </c>
      <c r="PFM45" s="318" t="s">
        <v>3319</v>
      </c>
      <c r="PFN45" s="319" t="s">
        <v>3320</v>
      </c>
      <c r="PFO45" s="318" t="s">
        <v>3319</v>
      </c>
      <c r="PFP45" s="319" t="s">
        <v>3320</v>
      </c>
      <c r="PFQ45" s="318" t="s">
        <v>3319</v>
      </c>
      <c r="PFR45" s="319" t="s">
        <v>3320</v>
      </c>
      <c r="PFS45" s="318" t="s">
        <v>3319</v>
      </c>
      <c r="PFT45" s="319" t="s">
        <v>3320</v>
      </c>
      <c r="PFU45" s="318" t="s">
        <v>3319</v>
      </c>
      <c r="PFV45" s="319" t="s">
        <v>3320</v>
      </c>
      <c r="PFW45" s="318" t="s">
        <v>3319</v>
      </c>
      <c r="PFX45" s="319" t="s">
        <v>3320</v>
      </c>
      <c r="PFY45" s="318" t="s">
        <v>3319</v>
      </c>
      <c r="PFZ45" s="319" t="s">
        <v>3320</v>
      </c>
      <c r="PGA45" s="318" t="s">
        <v>3319</v>
      </c>
      <c r="PGB45" s="319" t="s">
        <v>3320</v>
      </c>
      <c r="PGC45" s="318" t="s">
        <v>3319</v>
      </c>
      <c r="PGD45" s="319" t="s">
        <v>3320</v>
      </c>
      <c r="PGE45" s="318" t="s">
        <v>3319</v>
      </c>
      <c r="PGF45" s="319" t="s">
        <v>3320</v>
      </c>
      <c r="PGG45" s="318" t="s">
        <v>3319</v>
      </c>
      <c r="PGH45" s="319" t="s">
        <v>3320</v>
      </c>
      <c r="PGI45" s="318" t="s">
        <v>3319</v>
      </c>
      <c r="PGJ45" s="319" t="s">
        <v>3320</v>
      </c>
      <c r="PGK45" s="318" t="s">
        <v>3319</v>
      </c>
      <c r="PGL45" s="319" t="s">
        <v>3320</v>
      </c>
      <c r="PGM45" s="318" t="s">
        <v>3319</v>
      </c>
      <c r="PGN45" s="319" t="s">
        <v>3320</v>
      </c>
      <c r="PGO45" s="318" t="s">
        <v>3319</v>
      </c>
      <c r="PGP45" s="319" t="s">
        <v>3320</v>
      </c>
      <c r="PGQ45" s="318" t="s">
        <v>3319</v>
      </c>
      <c r="PGR45" s="319" t="s">
        <v>3320</v>
      </c>
      <c r="PGS45" s="318" t="s">
        <v>3319</v>
      </c>
      <c r="PGT45" s="319" t="s">
        <v>3320</v>
      </c>
      <c r="PGU45" s="318" t="s">
        <v>3319</v>
      </c>
      <c r="PGV45" s="319" t="s">
        <v>3320</v>
      </c>
      <c r="PGW45" s="318" t="s">
        <v>3319</v>
      </c>
      <c r="PGX45" s="319" t="s">
        <v>3320</v>
      </c>
      <c r="PGY45" s="318" t="s">
        <v>3319</v>
      </c>
      <c r="PGZ45" s="319" t="s">
        <v>3320</v>
      </c>
      <c r="PHA45" s="318" t="s">
        <v>3319</v>
      </c>
      <c r="PHB45" s="319" t="s">
        <v>3320</v>
      </c>
      <c r="PHC45" s="318" t="s">
        <v>3319</v>
      </c>
      <c r="PHD45" s="319" t="s">
        <v>3320</v>
      </c>
      <c r="PHE45" s="318" t="s">
        <v>3319</v>
      </c>
      <c r="PHF45" s="319" t="s">
        <v>3320</v>
      </c>
      <c r="PHG45" s="318" t="s">
        <v>3319</v>
      </c>
      <c r="PHH45" s="319" t="s">
        <v>3320</v>
      </c>
      <c r="PHI45" s="318" t="s">
        <v>3319</v>
      </c>
      <c r="PHJ45" s="319" t="s">
        <v>3320</v>
      </c>
      <c r="PHK45" s="318" t="s">
        <v>3319</v>
      </c>
      <c r="PHL45" s="319" t="s">
        <v>3320</v>
      </c>
      <c r="PHM45" s="318" t="s">
        <v>3319</v>
      </c>
      <c r="PHN45" s="319" t="s">
        <v>3320</v>
      </c>
      <c r="PHO45" s="318" t="s">
        <v>3319</v>
      </c>
      <c r="PHP45" s="319" t="s">
        <v>3320</v>
      </c>
      <c r="PHQ45" s="318" t="s">
        <v>3319</v>
      </c>
      <c r="PHR45" s="319" t="s">
        <v>3320</v>
      </c>
      <c r="PHS45" s="318" t="s">
        <v>3319</v>
      </c>
      <c r="PHT45" s="319" t="s">
        <v>3320</v>
      </c>
      <c r="PHU45" s="318" t="s">
        <v>3319</v>
      </c>
      <c r="PHV45" s="319" t="s">
        <v>3320</v>
      </c>
      <c r="PHW45" s="318" t="s">
        <v>3319</v>
      </c>
      <c r="PHX45" s="319" t="s">
        <v>3320</v>
      </c>
      <c r="PHY45" s="318" t="s">
        <v>3319</v>
      </c>
      <c r="PHZ45" s="319" t="s">
        <v>3320</v>
      </c>
      <c r="PIA45" s="318" t="s">
        <v>3319</v>
      </c>
      <c r="PIB45" s="319" t="s">
        <v>3320</v>
      </c>
      <c r="PIC45" s="318" t="s">
        <v>3319</v>
      </c>
      <c r="PID45" s="319" t="s">
        <v>3320</v>
      </c>
      <c r="PIE45" s="318" t="s">
        <v>3319</v>
      </c>
      <c r="PIF45" s="319" t="s">
        <v>3320</v>
      </c>
      <c r="PIG45" s="318" t="s">
        <v>3319</v>
      </c>
      <c r="PIH45" s="319" t="s">
        <v>3320</v>
      </c>
      <c r="PII45" s="318" t="s">
        <v>3319</v>
      </c>
      <c r="PIJ45" s="319" t="s">
        <v>3320</v>
      </c>
      <c r="PIK45" s="318" t="s">
        <v>3319</v>
      </c>
      <c r="PIL45" s="319" t="s">
        <v>3320</v>
      </c>
      <c r="PIM45" s="318" t="s">
        <v>3319</v>
      </c>
      <c r="PIN45" s="319" t="s">
        <v>3320</v>
      </c>
      <c r="PIO45" s="318" t="s">
        <v>3319</v>
      </c>
      <c r="PIP45" s="319" t="s">
        <v>3320</v>
      </c>
      <c r="PIQ45" s="318" t="s">
        <v>3319</v>
      </c>
      <c r="PIR45" s="319" t="s">
        <v>3320</v>
      </c>
      <c r="PIS45" s="318" t="s">
        <v>3319</v>
      </c>
      <c r="PIT45" s="319" t="s">
        <v>3320</v>
      </c>
      <c r="PIU45" s="318" t="s">
        <v>3319</v>
      </c>
      <c r="PIV45" s="319" t="s">
        <v>3320</v>
      </c>
      <c r="PIW45" s="318" t="s">
        <v>3319</v>
      </c>
      <c r="PIX45" s="319" t="s">
        <v>3320</v>
      </c>
      <c r="PIY45" s="318" t="s">
        <v>3319</v>
      </c>
      <c r="PIZ45" s="319" t="s">
        <v>3320</v>
      </c>
      <c r="PJA45" s="318" t="s">
        <v>3319</v>
      </c>
      <c r="PJB45" s="319" t="s">
        <v>3320</v>
      </c>
      <c r="PJC45" s="318" t="s">
        <v>3319</v>
      </c>
      <c r="PJD45" s="319" t="s">
        <v>3320</v>
      </c>
      <c r="PJE45" s="318" t="s">
        <v>3319</v>
      </c>
      <c r="PJF45" s="319" t="s">
        <v>3320</v>
      </c>
      <c r="PJG45" s="318" t="s">
        <v>3319</v>
      </c>
      <c r="PJH45" s="319" t="s">
        <v>3320</v>
      </c>
      <c r="PJI45" s="318" t="s">
        <v>3319</v>
      </c>
      <c r="PJJ45" s="319" t="s">
        <v>3320</v>
      </c>
      <c r="PJK45" s="318" t="s">
        <v>3319</v>
      </c>
      <c r="PJL45" s="319" t="s">
        <v>3320</v>
      </c>
      <c r="PJM45" s="318" t="s">
        <v>3319</v>
      </c>
      <c r="PJN45" s="319" t="s">
        <v>3320</v>
      </c>
      <c r="PJO45" s="318" t="s">
        <v>3319</v>
      </c>
      <c r="PJP45" s="319" t="s">
        <v>3320</v>
      </c>
      <c r="PJQ45" s="318" t="s">
        <v>3319</v>
      </c>
      <c r="PJR45" s="319" t="s">
        <v>3320</v>
      </c>
      <c r="PJS45" s="318" t="s">
        <v>3319</v>
      </c>
      <c r="PJT45" s="319" t="s">
        <v>3320</v>
      </c>
      <c r="PJU45" s="318" t="s">
        <v>3319</v>
      </c>
      <c r="PJV45" s="319" t="s">
        <v>3320</v>
      </c>
      <c r="PJW45" s="318" t="s">
        <v>3319</v>
      </c>
      <c r="PJX45" s="319" t="s">
        <v>3320</v>
      </c>
      <c r="PJY45" s="318" t="s">
        <v>3319</v>
      </c>
      <c r="PJZ45" s="319" t="s">
        <v>3320</v>
      </c>
      <c r="PKA45" s="318" t="s">
        <v>3319</v>
      </c>
      <c r="PKB45" s="319" t="s">
        <v>3320</v>
      </c>
      <c r="PKC45" s="318" t="s">
        <v>3319</v>
      </c>
      <c r="PKD45" s="319" t="s">
        <v>3320</v>
      </c>
      <c r="PKE45" s="318" t="s">
        <v>3319</v>
      </c>
      <c r="PKF45" s="319" t="s">
        <v>3320</v>
      </c>
      <c r="PKG45" s="318" t="s">
        <v>3319</v>
      </c>
      <c r="PKH45" s="319" t="s">
        <v>3320</v>
      </c>
      <c r="PKI45" s="318" t="s">
        <v>3319</v>
      </c>
      <c r="PKJ45" s="319" t="s">
        <v>3320</v>
      </c>
      <c r="PKK45" s="318" t="s">
        <v>3319</v>
      </c>
      <c r="PKL45" s="319" t="s">
        <v>3320</v>
      </c>
      <c r="PKM45" s="318" t="s">
        <v>3319</v>
      </c>
      <c r="PKN45" s="319" t="s">
        <v>3320</v>
      </c>
      <c r="PKO45" s="318" t="s">
        <v>3319</v>
      </c>
      <c r="PKP45" s="319" t="s">
        <v>3320</v>
      </c>
      <c r="PKQ45" s="318" t="s">
        <v>3319</v>
      </c>
      <c r="PKR45" s="319" t="s">
        <v>3320</v>
      </c>
      <c r="PKS45" s="318" t="s">
        <v>3319</v>
      </c>
      <c r="PKT45" s="319" t="s">
        <v>3320</v>
      </c>
      <c r="PKU45" s="318" t="s">
        <v>3319</v>
      </c>
      <c r="PKV45" s="319" t="s">
        <v>3320</v>
      </c>
      <c r="PKW45" s="318" t="s">
        <v>3319</v>
      </c>
      <c r="PKX45" s="319" t="s">
        <v>3320</v>
      </c>
      <c r="PKY45" s="318" t="s">
        <v>3319</v>
      </c>
      <c r="PKZ45" s="319" t="s">
        <v>3320</v>
      </c>
      <c r="PLA45" s="318" t="s">
        <v>3319</v>
      </c>
      <c r="PLB45" s="319" t="s">
        <v>3320</v>
      </c>
      <c r="PLC45" s="318" t="s">
        <v>3319</v>
      </c>
      <c r="PLD45" s="319" t="s">
        <v>3320</v>
      </c>
      <c r="PLE45" s="318" t="s">
        <v>3319</v>
      </c>
      <c r="PLF45" s="319" t="s">
        <v>3320</v>
      </c>
      <c r="PLG45" s="318" t="s">
        <v>3319</v>
      </c>
      <c r="PLH45" s="319" t="s">
        <v>3320</v>
      </c>
      <c r="PLI45" s="318" t="s">
        <v>3319</v>
      </c>
      <c r="PLJ45" s="319" t="s">
        <v>3320</v>
      </c>
      <c r="PLK45" s="318" t="s">
        <v>3319</v>
      </c>
      <c r="PLL45" s="319" t="s">
        <v>3320</v>
      </c>
      <c r="PLM45" s="318" t="s">
        <v>3319</v>
      </c>
      <c r="PLN45" s="319" t="s">
        <v>3320</v>
      </c>
      <c r="PLO45" s="318" t="s">
        <v>3319</v>
      </c>
      <c r="PLP45" s="319" t="s">
        <v>3320</v>
      </c>
      <c r="PLQ45" s="318" t="s">
        <v>3319</v>
      </c>
      <c r="PLR45" s="319" t="s">
        <v>3320</v>
      </c>
      <c r="PLS45" s="318" t="s">
        <v>3319</v>
      </c>
      <c r="PLT45" s="319" t="s">
        <v>3320</v>
      </c>
      <c r="PLU45" s="318" t="s">
        <v>3319</v>
      </c>
      <c r="PLV45" s="319" t="s">
        <v>3320</v>
      </c>
      <c r="PLW45" s="318" t="s">
        <v>3319</v>
      </c>
      <c r="PLX45" s="319" t="s">
        <v>3320</v>
      </c>
      <c r="PLY45" s="318" t="s">
        <v>3319</v>
      </c>
      <c r="PLZ45" s="319" t="s">
        <v>3320</v>
      </c>
      <c r="PMA45" s="318" t="s">
        <v>3319</v>
      </c>
      <c r="PMB45" s="319" t="s">
        <v>3320</v>
      </c>
      <c r="PMC45" s="318" t="s">
        <v>3319</v>
      </c>
      <c r="PMD45" s="319" t="s">
        <v>3320</v>
      </c>
      <c r="PME45" s="318" t="s">
        <v>3319</v>
      </c>
      <c r="PMF45" s="319" t="s">
        <v>3320</v>
      </c>
      <c r="PMG45" s="318" t="s">
        <v>3319</v>
      </c>
      <c r="PMH45" s="319" t="s">
        <v>3320</v>
      </c>
      <c r="PMI45" s="318" t="s">
        <v>3319</v>
      </c>
      <c r="PMJ45" s="319" t="s">
        <v>3320</v>
      </c>
      <c r="PMK45" s="318" t="s">
        <v>3319</v>
      </c>
      <c r="PML45" s="319" t="s">
        <v>3320</v>
      </c>
      <c r="PMM45" s="318" t="s">
        <v>3319</v>
      </c>
      <c r="PMN45" s="319" t="s">
        <v>3320</v>
      </c>
      <c r="PMO45" s="318" t="s">
        <v>3319</v>
      </c>
      <c r="PMP45" s="319" t="s">
        <v>3320</v>
      </c>
      <c r="PMQ45" s="318" t="s">
        <v>3319</v>
      </c>
      <c r="PMR45" s="319" t="s">
        <v>3320</v>
      </c>
      <c r="PMS45" s="318" t="s">
        <v>3319</v>
      </c>
      <c r="PMT45" s="319" t="s">
        <v>3320</v>
      </c>
      <c r="PMU45" s="318" t="s">
        <v>3319</v>
      </c>
      <c r="PMV45" s="319" t="s">
        <v>3320</v>
      </c>
      <c r="PMW45" s="318" t="s">
        <v>3319</v>
      </c>
      <c r="PMX45" s="319" t="s">
        <v>3320</v>
      </c>
      <c r="PMY45" s="318" t="s">
        <v>3319</v>
      </c>
      <c r="PMZ45" s="319" t="s">
        <v>3320</v>
      </c>
      <c r="PNA45" s="318" t="s">
        <v>3319</v>
      </c>
      <c r="PNB45" s="319" t="s">
        <v>3320</v>
      </c>
      <c r="PNC45" s="318" t="s">
        <v>3319</v>
      </c>
      <c r="PND45" s="319" t="s">
        <v>3320</v>
      </c>
      <c r="PNE45" s="318" t="s">
        <v>3319</v>
      </c>
      <c r="PNF45" s="319" t="s">
        <v>3320</v>
      </c>
      <c r="PNG45" s="318" t="s">
        <v>3319</v>
      </c>
      <c r="PNH45" s="319" t="s">
        <v>3320</v>
      </c>
      <c r="PNI45" s="318" t="s">
        <v>3319</v>
      </c>
      <c r="PNJ45" s="319" t="s">
        <v>3320</v>
      </c>
      <c r="PNK45" s="318" t="s">
        <v>3319</v>
      </c>
      <c r="PNL45" s="319" t="s">
        <v>3320</v>
      </c>
      <c r="PNM45" s="318" t="s">
        <v>3319</v>
      </c>
      <c r="PNN45" s="319" t="s">
        <v>3320</v>
      </c>
      <c r="PNO45" s="318" t="s">
        <v>3319</v>
      </c>
      <c r="PNP45" s="319" t="s">
        <v>3320</v>
      </c>
      <c r="PNQ45" s="318" t="s">
        <v>3319</v>
      </c>
      <c r="PNR45" s="319" t="s">
        <v>3320</v>
      </c>
      <c r="PNS45" s="318" t="s">
        <v>3319</v>
      </c>
      <c r="PNT45" s="319" t="s">
        <v>3320</v>
      </c>
      <c r="PNU45" s="318" t="s">
        <v>3319</v>
      </c>
      <c r="PNV45" s="319" t="s">
        <v>3320</v>
      </c>
      <c r="PNW45" s="318" t="s">
        <v>3319</v>
      </c>
      <c r="PNX45" s="319" t="s">
        <v>3320</v>
      </c>
      <c r="PNY45" s="318" t="s">
        <v>3319</v>
      </c>
      <c r="PNZ45" s="319" t="s">
        <v>3320</v>
      </c>
      <c r="POA45" s="318" t="s">
        <v>3319</v>
      </c>
      <c r="POB45" s="319" t="s">
        <v>3320</v>
      </c>
      <c r="POC45" s="318" t="s">
        <v>3319</v>
      </c>
      <c r="POD45" s="319" t="s">
        <v>3320</v>
      </c>
      <c r="POE45" s="318" t="s">
        <v>3319</v>
      </c>
      <c r="POF45" s="319" t="s">
        <v>3320</v>
      </c>
      <c r="POG45" s="318" t="s">
        <v>3319</v>
      </c>
      <c r="POH45" s="319" t="s">
        <v>3320</v>
      </c>
      <c r="POI45" s="318" t="s">
        <v>3319</v>
      </c>
      <c r="POJ45" s="319" t="s">
        <v>3320</v>
      </c>
      <c r="POK45" s="318" t="s">
        <v>3319</v>
      </c>
      <c r="POL45" s="319" t="s">
        <v>3320</v>
      </c>
      <c r="POM45" s="318" t="s">
        <v>3319</v>
      </c>
      <c r="PON45" s="319" t="s">
        <v>3320</v>
      </c>
      <c r="POO45" s="318" t="s">
        <v>3319</v>
      </c>
      <c r="POP45" s="319" t="s">
        <v>3320</v>
      </c>
      <c r="POQ45" s="318" t="s">
        <v>3319</v>
      </c>
      <c r="POR45" s="319" t="s">
        <v>3320</v>
      </c>
      <c r="POS45" s="318" t="s">
        <v>3319</v>
      </c>
      <c r="POT45" s="319" t="s">
        <v>3320</v>
      </c>
      <c r="POU45" s="318" t="s">
        <v>3319</v>
      </c>
      <c r="POV45" s="319" t="s">
        <v>3320</v>
      </c>
      <c r="POW45" s="318" t="s">
        <v>3319</v>
      </c>
      <c r="POX45" s="319" t="s">
        <v>3320</v>
      </c>
      <c r="POY45" s="318" t="s">
        <v>3319</v>
      </c>
      <c r="POZ45" s="319" t="s">
        <v>3320</v>
      </c>
      <c r="PPA45" s="318" t="s">
        <v>3319</v>
      </c>
      <c r="PPB45" s="319" t="s">
        <v>3320</v>
      </c>
      <c r="PPC45" s="318" t="s">
        <v>3319</v>
      </c>
      <c r="PPD45" s="319" t="s">
        <v>3320</v>
      </c>
      <c r="PPE45" s="318" t="s">
        <v>3319</v>
      </c>
      <c r="PPF45" s="319" t="s">
        <v>3320</v>
      </c>
      <c r="PPG45" s="318" t="s">
        <v>3319</v>
      </c>
      <c r="PPH45" s="319" t="s">
        <v>3320</v>
      </c>
      <c r="PPI45" s="318" t="s">
        <v>3319</v>
      </c>
      <c r="PPJ45" s="319" t="s">
        <v>3320</v>
      </c>
      <c r="PPK45" s="318" t="s">
        <v>3319</v>
      </c>
      <c r="PPL45" s="319" t="s">
        <v>3320</v>
      </c>
      <c r="PPM45" s="318" t="s">
        <v>3319</v>
      </c>
      <c r="PPN45" s="319" t="s">
        <v>3320</v>
      </c>
      <c r="PPO45" s="318" t="s">
        <v>3319</v>
      </c>
      <c r="PPP45" s="319" t="s">
        <v>3320</v>
      </c>
      <c r="PPQ45" s="318" t="s">
        <v>3319</v>
      </c>
      <c r="PPR45" s="319" t="s">
        <v>3320</v>
      </c>
      <c r="PPS45" s="318" t="s">
        <v>3319</v>
      </c>
      <c r="PPT45" s="319" t="s">
        <v>3320</v>
      </c>
      <c r="PPU45" s="318" t="s">
        <v>3319</v>
      </c>
      <c r="PPV45" s="319" t="s">
        <v>3320</v>
      </c>
      <c r="PPW45" s="318" t="s">
        <v>3319</v>
      </c>
      <c r="PPX45" s="319" t="s">
        <v>3320</v>
      </c>
      <c r="PPY45" s="318" t="s">
        <v>3319</v>
      </c>
      <c r="PPZ45" s="319" t="s">
        <v>3320</v>
      </c>
      <c r="PQA45" s="318" t="s">
        <v>3319</v>
      </c>
      <c r="PQB45" s="319" t="s">
        <v>3320</v>
      </c>
      <c r="PQC45" s="318" t="s">
        <v>3319</v>
      </c>
      <c r="PQD45" s="319" t="s">
        <v>3320</v>
      </c>
      <c r="PQE45" s="318" t="s">
        <v>3319</v>
      </c>
      <c r="PQF45" s="319" t="s">
        <v>3320</v>
      </c>
      <c r="PQG45" s="318" t="s">
        <v>3319</v>
      </c>
      <c r="PQH45" s="319" t="s">
        <v>3320</v>
      </c>
      <c r="PQI45" s="318" t="s">
        <v>3319</v>
      </c>
      <c r="PQJ45" s="319" t="s">
        <v>3320</v>
      </c>
      <c r="PQK45" s="318" t="s">
        <v>3319</v>
      </c>
      <c r="PQL45" s="319" t="s">
        <v>3320</v>
      </c>
      <c r="PQM45" s="318" t="s">
        <v>3319</v>
      </c>
      <c r="PQN45" s="319" t="s">
        <v>3320</v>
      </c>
      <c r="PQO45" s="318" t="s">
        <v>3319</v>
      </c>
      <c r="PQP45" s="319" t="s">
        <v>3320</v>
      </c>
      <c r="PQQ45" s="318" t="s">
        <v>3319</v>
      </c>
      <c r="PQR45" s="319" t="s">
        <v>3320</v>
      </c>
      <c r="PQS45" s="318" t="s">
        <v>3319</v>
      </c>
      <c r="PQT45" s="319" t="s">
        <v>3320</v>
      </c>
      <c r="PQU45" s="318" t="s">
        <v>3319</v>
      </c>
      <c r="PQV45" s="319" t="s">
        <v>3320</v>
      </c>
      <c r="PQW45" s="318" t="s">
        <v>3319</v>
      </c>
      <c r="PQX45" s="319" t="s">
        <v>3320</v>
      </c>
      <c r="PQY45" s="318" t="s">
        <v>3319</v>
      </c>
      <c r="PQZ45" s="319" t="s">
        <v>3320</v>
      </c>
      <c r="PRA45" s="318" t="s">
        <v>3319</v>
      </c>
      <c r="PRB45" s="319" t="s">
        <v>3320</v>
      </c>
      <c r="PRC45" s="318" t="s">
        <v>3319</v>
      </c>
      <c r="PRD45" s="319" t="s">
        <v>3320</v>
      </c>
      <c r="PRE45" s="318" t="s">
        <v>3319</v>
      </c>
      <c r="PRF45" s="319" t="s">
        <v>3320</v>
      </c>
      <c r="PRG45" s="318" t="s">
        <v>3319</v>
      </c>
      <c r="PRH45" s="319" t="s">
        <v>3320</v>
      </c>
      <c r="PRI45" s="318" t="s">
        <v>3319</v>
      </c>
      <c r="PRJ45" s="319" t="s">
        <v>3320</v>
      </c>
      <c r="PRK45" s="318" t="s">
        <v>3319</v>
      </c>
      <c r="PRL45" s="319" t="s">
        <v>3320</v>
      </c>
      <c r="PRM45" s="318" t="s">
        <v>3319</v>
      </c>
      <c r="PRN45" s="319" t="s">
        <v>3320</v>
      </c>
      <c r="PRO45" s="318" t="s">
        <v>3319</v>
      </c>
      <c r="PRP45" s="319" t="s">
        <v>3320</v>
      </c>
      <c r="PRQ45" s="318" t="s">
        <v>3319</v>
      </c>
      <c r="PRR45" s="319" t="s">
        <v>3320</v>
      </c>
      <c r="PRS45" s="318" t="s">
        <v>3319</v>
      </c>
      <c r="PRT45" s="319" t="s">
        <v>3320</v>
      </c>
      <c r="PRU45" s="318" t="s">
        <v>3319</v>
      </c>
      <c r="PRV45" s="319" t="s">
        <v>3320</v>
      </c>
      <c r="PRW45" s="318" t="s">
        <v>3319</v>
      </c>
      <c r="PRX45" s="319" t="s">
        <v>3320</v>
      </c>
      <c r="PRY45" s="318" t="s">
        <v>3319</v>
      </c>
      <c r="PRZ45" s="319" t="s">
        <v>3320</v>
      </c>
      <c r="PSA45" s="318" t="s">
        <v>3319</v>
      </c>
      <c r="PSB45" s="319" t="s">
        <v>3320</v>
      </c>
      <c r="PSC45" s="318" t="s">
        <v>3319</v>
      </c>
      <c r="PSD45" s="319" t="s">
        <v>3320</v>
      </c>
      <c r="PSE45" s="318" t="s">
        <v>3319</v>
      </c>
      <c r="PSF45" s="319" t="s">
        <v>3320</v>
      </c>
      <c r="PSG45" s="318" t="s">
        <v>3319</v>
      </c>
      <c r="PSH45" s="319" t="s">
        <v>3320</v>
      </c>
      <c r="PSI45" s="318" t="s">
        <v>3319</v>
      </c>
      <c r="PSJ45" s="319" t="s">
        <v>3320</v>
      </c>
      <c r="PSK45" s="318" t="s">
        <v>3319</v>
      </c>
      <c r="PSL45" s="319" t="s">
        <v>3320</v>
      </c>
      <c r="PSM45" s="318" t="s">
        <v>3319</v>
      </c>
      <c r="PSN45" s="319" t="s">
        <v>3320</v>
      </c>
      <c r="PSO45" s="318" t="s">
        <v>3319</v>
      </c>
      <c r="PSP45" s="319" t="s">
        <v>3320</v>
      </c>
      <c r="PSQ45" s="318" t="s">
        <v>3319</v>
      </c>
      <c r="PSR45" s="319" t="s">
        <v>3320</v>
      </c>
      <c r="PSS45" s="318" t="s">
        <v>3319</v>
      </c>
      <c r="PST45" s="319" t="s">
        <v>3320</v>
      </c>
      <c r="PSU45" s="318" t="s">
        <v>3319</v>
      </c>
      <c r="PSV45" s="319" t="s">
        <v>3320</v>
      </c>
      <c r="PSW45" s="318" t="s">
        <v>3319</v>
      </c>
      <c r="PSX45" s="319" t="s">
        <v>3320</v>
      </c>
      <c r="PSY45" s="318" t="s">
        <v>3319</v>
      </c>
      <c r="PSZ45" s="319" t="s">
        <v>3320</v>
      </c>
      <c r="PTA45" s="318" t="s">
        <v>3319</v>
      </c>
      <c r="PTB45" s="319" t="s">
        <v>3320</v>
      </c>
      <c r="PTC45" s="318" t="s">
        <v>3319</v>
      </c>
      <c r="PTD45" s="319" t="s">
        <v>3320</v>
      </c>
      <c r="PTE45" s="318" t="s">
        <v>3319</v>
      </c>
      <c r="PTF45" s="319" t="s">
        <v>3320</v>
      </c>
      <c r="PTG45" s="318" t="s">
        <v>3319</v>
      </c>
      <c r="PTH45" s="319" t="s">
        <v>3320</v>
      </c>
      <c r="PTI45" s="318" t="s">
        <v>3319</v>
      </c>
      <c r="PTJ45" s="319" t="s">
        <v>3320</v>
      </c>
      <c r="PTK45" s="318" t="s">
        <v>3319</v>
      </c>
      <c r="PTL45" s="319" t="s">
        <v>3320</v>
      </c>
      <c r="PTM45" s="318" t="s">
        <v>3319</v>
      </c>
      <c r="PTN45" s="319" t="s">
        <v>3320</v>
      </c>
      <c r="PTO45" s="318" t="s">
        <v>3319</v>
      </c>
      <c r="PTP45" s="319" t="s">
        <v>3320</v>
      </c>
      <c r="PTQ45" s="318" t="s">
        <v>3319</v>
      </c>
      <c r="PTR45" s="319" t="s">
        <v>3320</v>
      </c>
      <c r="PTS45" s="318" t="s">
        <v>3319</v>
      </c>
      <c r="PTT45" s="319" t="s">
        <v>3320</v>
      </c>
      <c r="PTU45" s="318" t="s">
        <v>3319</v>
      </c>
      <c r="PTV45" s="319" t="s">
        <v>3320</v>
      </c>
      <c r="PTW45" s="318" t="s">
        <v>3319</v>
      </c>
      <c r="PTX45" s="319" t="s">
        <v>3320</v>
      </c>
      <c r="PTY45" s="318" t="s">
        <v>3319</v>
      </c>
      <c r="PTZ45" s="319" t="s">
        <v>3320</v>
      </c>
      <c r="PUA45" s="318" t="s">
        <v>3319</v>
      </c>
      <c r="PUB45" s="319" t="s">
        <v>3320</v>
      </c>
      <c r="PUC45" s="318" t="s">
        <v>3319</v>
      </c>
      <c r="PUD45" s="319" t="s">
        <v>3320</v>
      </c>
      <c r="PUE45" s="318" t="s">
        <v>3319</v>
      </c>
      <c r="PUF45" s="319" t="s">
        <v>3320</v>
      </c>
      <c r="PUG45" s="318" t="s">
        <v>3319</v>
      </c>
      <c r="PUH45" s="319" t="s">
        <v>3320</v>
      </c>
      <c r="PUI45" s="318" t="s">
        <v>3319</v>
      </c>
      <c r="PUJ45" s="319" t="s">
        <v>3320</v>
      </c>
      <c r="PUK45" s="318" t="s">
        <v>3319</v>
      </c>
      <c r="PUL45" s="319" t="s">
        <v>3320</v>
      </c>
      <c r="PUM45" s="318" t="s">
        <v>3319</v>
      </c>
      <c r="PUN45" s="319" t="s">
        <v>3320</v>
      </c>
      <c r="PUO45" s="318" t="s">
        <v>3319</v>
      </c>
      <c r="PUP45" s="319" t="s">
        <v>3320</v>
      </c>
      <c r="PUQ45" s="318" t="s">
        <v>3319</v>
      </c>
      <c r="PUR45" s="319" t="s">
        <v>3320</v>
      </c>
      <c r="PUS45" s="318" t="s">
        <v>3319</v>
      </c>
      <c r="PUT45" s="319" t="s">
        <v>3320</v>
      </c>
      <c r="PUU45" s="318" t="s">
        <v>3319</v>
      </c>
      <c r="PUV45" s="319" t="s">
        <v>3320</v>
      </c>
      <c r="PUW45" s="318" t="s">
        <v>3319</v>
      </c>
      <c r="PUX45" s="319" t="s">
        <v>3320</v>
      </c>
      <c r="PUY45" s="318" t="s">
        <v>3319</v>
      </c>
      <c r="PUZ45" s="319" t="s">
        <v>3320</v>
      </c>
      <c r="PVA45" s="318" t="s">
        <v>3319</v>
      </c>
      <c r="PVB45" s="319" t="s">
        <v>3320</v>
      </c>
      <c r="PVC45" s="318" t="s">
        <v>3319</v>
      </c>
      <c r="PVD45" s="319" t="s">
        <v>3320</v>
      </c>
      <c r="PVE45" s="318" t="s">
        <v>3319</v>
      </c>
      <c r="PVF45" s="319" t="s">
        <v>3320</v>
      </c>
      <c r="PVG45" s="318" t="s">
        <v>3319</v>
      </c>
      <c r="PVH45" s="319" t="s">
        <v>3320</v>
      </c>
      <c r="PVI45" s="318" t="s">
        <v>3319</v>
      </c>
      <c r="PVJ45" s="319" t="s">
        <v>3320</v>
      </c>
      <c r="PVK45" s="318" t="s">
        <v>3319</v>
      </c>
      <c r="PVL45" s="319" t="s">
        <v>3320</v>
      </c>
      <c r="PVM45" s="318" t="s">
        <v>3319</v>
      </c>
      <c r="PVN45" s="319" t="s">
        <v>3320</v>
      </c>
      <c r="PVO45" s="318" t="s">
        <v>3319</v>
      </c>
      <c r="PVP45" s="319" t="s">
        <v>3320</v>
      </c>
      <c r="PVQ45" s="318" t="s">
        <v>3319</v>
      </c>
      <c r="PVR45" s="319" t="s">
        <v>3320</v>
      </c>
      <c r="PVS45" s="318" t="s">
        <v>3319</v>
      </c>
      <c r="PVT45" s="319" t="s">
        <v>3320</v>
      </c>
      <c r="PVU45" s="318" t="s">
        <v>3319</v>
      </c>
      <c r="PVV45" s="319" t="s">
        <v>3320</v>
      </c>
      <c r="PVW45" s="318" t="s">
        <v>3319</v>
      </c>
      <c r="PVX45" s="319" t="s">
        <v>3320</v>
      </c>
      <c r="PVY45" s="318" t="s">
        <v>3319</v>
      </c>
      <c r="PVZ45" s="319" t="s">
        <v>3320</v>
      </c>
      <c r="PWA45" s="318" t="s">
        <v>3319</v>
      </c>
      <c r="PWB45" s="319" t="s">
        <v>3320</v>
      </c>
      <c r="PWC45" s="318" t="s">
        <v>3319</v>
      </c>
      <c r="PWD45" s="319" t="s">
        <v>3320</v>
      </c>
      <c r="PWE45" s="318" t="s">
        <v>3319</v>
      </c>
      <c r="PWF45" s="319" t="s">
        <v>3320</v>
      </c>
      <c r="PWG45" s="318" t="s">
        <v>3319</v>
      </c>
      <c r="PWH45" s="319" t="s">
        <v>3320</v>
      </c>
      <c r="PWI45" s="318" t="s">
        <v>3319</v>
      </c>
      <c r="PWJ45" s="319" t="s">
        <v>3320</v>
      </c>
      <c r="PWK45" s="318" t="s">
        <v>3319</v>
      </c>
      <c r="PWL45" s="319" t="s">
        <v>3320</v>
      </c>
      <c r="PWM45" s="318" t="s">
        <v>3319</v>
      </c>
      <c r="PWN45" s="319" t="s">
        <v>3320</v>
      </c>
      <c r="PWO45" s="318" t="s">
        <v>3319</v>
      </c>
      <c r="PWP45" s="319" t="s">
        <v>3320</v>
      </c>
      <c r="PWQ45" s="318" t="s">
        <v>3319</v>
      </c>
      <c r="PWR45" s="319" t="s">
        <v>3320</v>
      </c>
      <c r="PWS45" s="318" t="s">
        <v>3319</v>
      </c>
      <c r="PWT45" s="319" t="s">
        <v>3320</v>
      </c>
      <c r="PWU45" s="318" t="s">
        <v>3319</v>
      </c>
      <c r="PWV45" s="319" t="s">
        <v>3320</v>
      </c>
      <c r="PWW45" s="318" t="s">
        <v>3319</v>
      </c>
      <c r="PWX45" s="319" t="s">
        <v>3320</v>
      </c>
      <c r="PWY45" s="318" t="s">
        <v>3319</v>
      </c>
      <c r="PWZ45" s="319" t="s">
        <v>3320</v>
      </c>
      <c r="PXA45" s="318" t="s">
        <v>3319</v>
      </c>
      <c r="PXB45" s="319" t="s">
        <v>3320</v>
      </c>
      <c r="PXC45" s="318" t="s">
        <v>3319</v>
      </c>
      <c r="PXD45" s="319" t="s">
        <v>3320</v>
      </c>
      <c r="PXE45" s="318" t="s">
        <v>3319</v>
      </c>
      <c r="PXF45" s="319" t="s">
        <v>3320</v>
      </c>
      <c r="PXG45" s="318" t="s">
        <v>3319</v>
      </c>
      <c r="PXH45" s="319" t="s">
        <v>3320</v>
      </c>
      <c r="PXI45" s="318" t="s">
        <v>3319</v>
      </c>
      <c r="PXJ45" s="319" t="s">
        <v>3320</v>
      </c>
      <c r="PXK45" s="318" t="s">
        <v>3319</v>
      </c>
      <c r="PXL45" s="319" t="s">
        <v>3320</v>
      </c>
      <c r="PXM45" s="318" t="s">
        <v>3319</v>
      </c>
      <c r="PXN45" s="319" t="s">
        <v>3320</v>
      </c>
      <c r="PXO45" s="318" t="s">
        <v>3319</v>
      </c>
      <c r="PXP45" s="319" t="s">
        <v>3320</v>
      </c>
      <c r="PXQ45" s="318" t="s">
        <v>3319</v>
      </c>
      <c r="PXR45" s="319" t="s">
        <v>3320</v>
      </c>
      <c r="PXS45" s="318" t="s">
        <v>3319</v>
      </c>
      <c r="PXT45" s="319" t="s">
        <v>3320</v>
      </c>
      <c r="PXU45" s="318" t="s">
        <v>3319</v>
      </c>
      <c r="PXV45" s="319" t="s">
        <v>3320</v>
      </c>
      <c r="PXW45" s="318" t="s">
        <v>3319</v>
      </c>
      <c r="PXX45" s="319" t="s">
        <v>3320</v>
      </c>
      <c r="PXY45" s="318" t="s">
        <v>3319</v>
      </c>
      <c r="PXZ45" s="319" t="s">
        <v>3320</v>
      </c>
      <c r="PYA45" s="318" t="s">
        <v>3319</v>
      </c>
      <c r="PYB45" s="319" t="s">
        <v>3320</v>
      </c>
      <c r="PYC45" s="318" t="s">
        <v>3319</v>
      </c>
      <c r="PYD45" s="319" t="s">
        <v>3320</v>
      </c>
      <c r="PYE45" s="318" t="s">
        <v>3319</v>
      </c>
      <c r="PYF45" s="319" t="s">
        <v>3320</v>
      </c>
      <c r="PYG45" s="318" t="s">
        <v>3319</v>
      </c>
      <c r="PYH45" s="319" t="s">
        <v>3320</v>
      </c>
      <c r="PYI45" s="318" t="s">
        <v>3319</v>
      </c>
      <c r="PYJ45" s="319" t="s">
        <v>3320</v>
      </c>
      <c r="PYK45" s="318" t="s">
        <v>3319</v>
      </c>
      <c r="PYL45" s="319" t="s">
        <v>3320</v>
      </c>
      <c r="PYM45" s="318" t="s">
        <v>3319</v>
      </c>
      <c r="PYN45" s="319" t="s">
        <v>3320</v>
      </c>
      <c r="PYO45" s="318" t="s">
        <v>3319</v>
      </c>
      <c r="PYP45" s="319" t="s">
        <v>3320</v>
      </c>
      <c r="PYQ45" s="318" t="s">
        <v>3319</v>
      </c>
      <c r="PYR45" s="319" t="s">
        <v>3320</v>
      </c>
      <c r="PYS45" s="318" t="s">
        <v>3319</v>
      </c>
      <c r="PYT45" s="319" t="s">
        <v>3320</v>
      </c>
      <c r="PYU45" s="318" t="s">
        <v>3319</v>
      </c>
      <c r="PYV45" s="319" t="s">
        <v>3320</v>
      </c>
      <c r="PYW45" s="318" t="s">
        <v>3319</v>
      </c>
      <c r="PYX45" s="319" t="s">
        <v>3320</v>
      </c>
      <c r="PYY45" s="318" t="s">
        <v>3319</v>
      </c>
      <c r="PYZ45" s="319" t="s">
        <v>3320</v>
      </c>
      <c r="PZA45" s="318" t="s">
        <v>3319</v>
      </c>
      <c r="PZB45" s="319" t="s">
        <v>3320</v>
      </c>
      <c r="PZC45" s="318" t="s">
        <v>3319</v>
      </c>
      <c r="PZD45" s="319" t="s">
        <v>3320</v>
      </c>
      <c r="PZE45" s="318" t="s">
        <v>3319</v>
      </c>
      <c r="PZF45" s="319" t="s">
        <v>3320</v>
      </c>
      <c r="PZG45" s="318" t="s">
        <v>3319</v>
      </c>
      <c r="PZH45" s="319" t="s">
        <v>3320</v>
      </c>
      <c r="PZI45" s="318" t="s">
        <v>3319</v>
      </c>
      <c r="PZJ45" s="319" t="s">
        <v>3320</v>
      </c>
      <c r="PZK45" s="318" t="s">
        <v>3319</v>
      </c>
      <c r="PZL45" s="319" t="s">
        <v>3320</v>
      </c>
      <c r="PZM45" s="318" t="s">
        <v>3319</v>
      </c>
      <c r="PZN45" s="319" t="s">
        <v>3320</v>
      </c>
      <c r="PZO45" s="318" t="s">
        <v>3319</v>
      </c>
      <c r="PZP45" s="319" t="s">
        <v>3320</v>
      </c>
      <c r="PZQ45" s="318" t="s">
        <v>3319</v>
      </c>
      <c r="PZR45" s="319" t="s">
        <v>3320</v>
      </c>
      <c r="PZS45" s="318" t="s">
        <v>3319</v>
      </c>
      <c r="PZT45" s="319" t="s">
        <v>3320</v>
      </c>
      <c r="PZU45" s="318" t="s">
        <v>3319</v>
      </c>
      <c r="PZV45" s="319" t="s">
        <v>3320</v>
      </c>
      <c r="PZW45" s="318" t="s">
        <v>3319</v>
      </c>
      <c r="PZX45" s="319" t="s">
        <v>3320</v>
      </c>
      <c r="PZY45" s="318" t="s">
        <v>3319</v>
      </c>
      <c r="PZZ45" s="319" t="s">
        <v>3320</v>
      </c>
      <c r="QAA45" s="318" t="s">
        <v>3319</v>
      </c>
      <c r="QAB45" s="319" t="s">
        <v>3320</v>
      </c>
      <c r="QAC45" s="318" t="s">
        <v>3319</v>
      </c>
      <c r="QAD45" s="319" t="s">
        <v>3320</v>
      </c>
      <c r="QAE45" s="318" t="s">
        <v>3319</v>
      </c>
      <c r="QAF45" s="319" t="s">
        <v>3320</v>
      </c>
      <c r="QAG45" s="318" t="s">
        <v>3319</v>
      </c>
      <c r="QAH45" s="319" t="s">
        <v>3320</v>
      </c>
      <c r="QAI45" s="318" t="s">
        <v>3319</v>
      </c>
      <c r="QAJ45" s="319" t="s">
        <v>3320</v>
      </c>
      <c r="QAK45" s="318" t="s">
        <v>3319</v>
      </c>
      <c r="QAL45" s="319" t="s">
        <v>3320</v>
      </c>
      <c r="QAM45" s="318" t="s">
        <v>3319</v>
      </c>
      <c r="QAN45" s="319" t="s">
        <v>3320</v>
      </c>
      <c r="QAO45" s="318" t="s">
        <v>3319</v>
      </c>
      <c r="QAP45" s="319" t="s">
        <v>3320</v>
      </c>
      <c r="QAQ45" s="318" t="s">
        <v>3319</v>
      </c>
      <c r="QAR45" s="319" t="s">
        <v>3320</v>
      </c>
      <c r="QAS45" s="318" t="s">
        <v>3319</v>
      </c>
      <c r="QAT45" s="319" t="s">
        <v>3320</v>
      </c>
      <c r="QAU45" s="318" t="s">
        <v>3319</v>
      </c>
      <c r="QAV45" s="319" t="s">
        <v>3320</v>
      </c>
      <c r="QAW45" s="318" t="s">
        <v>3319</v>
      </c>
      <c r="QAX45" s="319" t="s">
        <v>3320</v>
      </c>
      <c r="QAY45" s="318" t="s">
        <v>3319</v>
      </c>
      <c r="QAZ45" s="319" t="s">
        <v>3320</v>
      </c>
      <c r="QBA45" s="318" t="s">
        <v>3319</v>
      </c>
      <c r="QBB45" s="319" t="s">
        <v>3320</v>
      </c>
      <c r="QBC45" s="318" t="s">
        <v>3319</v>
      </c>
      <c r="QBD45" s="319" t="s">
        <v>3320</v>
      </c>
      <c r="QBE45" s="318" t="s">
        <v>3319</v>
      </c>
      <c r="QBF45" s="319" t="s">
        <v>3320</v>
      </c>
      <c r="QBG45" s="318" t="s">
        <v>3319</v>
      </c>
      <c r="QBH45" s="319" t="s">
        <v>3320</v>
      </c>
      <c r="QBI45" s="318" t="s">
        <v>3319</v>
      </c>
      <c r="QBJ45" s="319" t="s">
        <v>3320</v>
      </c>
      <c r="QBK45" s="318" t="s">
        <v>3319</v>
      </c>
      <c r="QBL45" s="319" t="s">
        <v>3320</v>
      </c>
      <c r="QBM45" s="318" t="s">
        <v>3319</v>
      </c>
      <c r="QBN45" s="319" t="s">
        <v>3320</v>
      </c>
      <c r="QBO45" s="318" t="s">
        <v>3319</v>
      </c>
      <c r="QBP45" s="319" t="s">
        <v>3320</v>
      </c>
      <c r="QBQ45" s="318" t="s">
        <v>3319</v>
      </c>
      <c r="QBR45" s="319" t="s">
        <v>3320</v>
      </c>
      <c r="QBS45" s="318" t="s">
        <v>3319</v>
      </c>
      <c r="QBT45" s="319" t="s">
        <v>3320</v>
      </c>
      <c r="QBU45" s="318" t="s">
        <v>3319</v>
      </c>
      <c r="QBV45" s="319" t="s">
        <v>3320</v>
      </c>
      <c r="QBW45" s="318" t="s">
        <v>3319</v>
      </c>
      <c r="QBX45" s="319" t="s">
        <v>3320</v>
      </c>
      <c r="QBY45" s="318" t="s">
        <v>3319</v>
      </c>
      <c r="QBZ45" s="319" t="s">
        <v>3320</v>
      </c>
      <c r="QCA45" s="318" t="s">
        <v>3319</v>
      </c>
      <c r="QCB45" s="319" t="s">
        <v>3320</v>
      </c>
      <c r="QCC45" s="318" t="s">
        <v>3319</v>
      </c>
      <c r="QCD45" s="319" t="s">
        <v>3320</v>
      </c>
      <c r="QCE45" s="318" t="s">
        <v>3319</v>
      </c>
      <c r="QCF45" s="319" t="s">
        <v>3320</v>
      </c>
      <c r="QCG45" s="318" t="s">
        <v>3319</v>
      </c>
      <c r="QCH45" s="319" t="s">
        <v>3320</v>
      </c>
      <c r="QCI45" s="318" t="s">
        <v>3319</v>
      </c>
      <c r="QCJ45" s="319" t="s">
        <v>3320</v>
      </c>
      <c r="QCK45" s="318" t="s">
        <v>3319</v>
      </c>
      <c r="QCL45" s="319" t="s">
        <v>3320</v>
      </c>
      <c r="QCM45" s="318" t="s">
        <v>3319</v>
      </c>
      <c r="QCN45" s="319" t="s">
        <v>3320</v>
      </c>
      <c r="QCO45" s="318" t="s">
        <v>3319</v>
      </c>
      <c r="QCP45" s="319" t="s">
        <v>3320</v>
      </c>
      <c r="QCQ45" s="318" t="s">
        <v>3319</v>
      </c>
      <c r="QCR45" s="319" t="s">
        <v>3320</v>
      </c>
      <c r="QCS45" s="318" t="s">
        <v>3319</v>
      </c>
      <c r="QCT45" s="319" t="s">
        <v>3320</v>
      </c>
      <c r="QCU45" s="318" t="s">
        <v>3319</v>
      </c>
      <c r="QCV45" s="319" t="s">
        <v>3320</v>
      </c>
      <c r="QCW45" s="318" t="s">
        <v>3319</v>
      </c>
      <c r="QCX45" s="319" t="s">
        <v>3320</v>
      </c>
      <c r="QCY45" s="318" t="s">
        <v>3319</v>
      </c>
      <c r="QCZ45" s="319" t="s">
        <v>3320</v>
      </c>
      <c r="QDA45" s="318" t="s">
        <v>3319</v>
      </c>
      <c r="QDB45" s="319" t="s">
        <v>3320</v>
      </c>
      <c r="QDC45" s="318" t="s">
        <v>3319</v>
      </c>
      <c r="QDD45" s="319" t="s">
        <v>3320</v>
      </c>
      <c r="QDE45" s="318" t="s">
        <v>3319</v>
      </c>
      <c r="QDF45" s="319" t="s">
        <v>3320</v>
      </c>
      <c r="QDG45" s="318" t="s">
        <v>3319</v>
      </c>
      <c r="QDH45" s="319" t="s">
        <v>3320</v>
      </c>
      <c r="QDI45" s="318" t="s">
        <v>3319</v>
      </c>
      <c r="QDJ45" s="319" t="s">
        <v>3320</v>
      </c>
      <c r="QDK45" s="318" t="s">
        <v>3319</v>
      </c>
      <c r="QDL45" s="319" t="s">
        <v>3320</v>
      </c>
      <c r="QDM45" s="318" t="s">
        <v>3319</v>
      </c>
      <c r="QDN45" s="319" t="s">
        <v>3320</v>
      </c>
      <c r="QDO45" s="318" t="s">
        <v>3319</v>
      </c>
      <c r="QDP45" s="319" t="s">
        <v>3320</v>
      </c>
      <c r="QDQ45" s="318" t="s">
        <v>3319</v>
      </c>
      <c r="QDR45" s="319" t="s">
        <v>3320</v>
      </c>
      <c r="QDS45" s="318" t="s">
        <v>3319</v>
      </c>
      <c r="QDT45" s="319" t="s">
        <v>3320</v>
      </c>
      <c r="QDU45" s="318" t="s">
        <v>3319</v>
      </c>
      <c r="QDV45" s="319" t="s">
        <v>3320</v>
      </c>
      <c r="QDW45" s="318" t="s">
        <v>3319</v>
      </c>
      <c r="QDX45" s="319" t="s">
        <v>3320</v>
      </c>
      <c r="QDY45" s="318" t="s">
        <v>3319</v>
      </c>
      <c r="QDZ45" s="319" t="s">
        <v>3320</v>
      </c>
      <c r="QEA45" s="318" t="s">
        <v>3319</v>
      </c>
      <c r="QEB45" s="319" t="s">
        <v>3320</v>
      </c>
      <c r="QEC45" s="318" t="s">
        <v>3319</v>
      </c>
      <c r="QED45" s="319" t="s">
        <v>3320</v>
      </c>
      <c r="QEE45" s="318" t="s">
        <v>3319</v>
      </c>
      <c r="QEF45" s="319" t="s">
        <v>3320</v>
      </c>
      <c r="QEG45" s="318" t="s">
        <v>3319</v>
      </c>
      <c r="QEH45" s="319" t="s">
        <v>3320</v>
      </c>
      <c r="QEI45" s="318" t="s">
        <v>3319</v>
      </c>
      <c r="QEJ45" s="319" t="s">
        <v>3320</v>
      </c>
      <c r="QEK45" s="318" t="s">
        <v>3319</v>
      </c>
      <c r="QEL45" s="319" t="s">
        <v>3320</v>
      </c>
      <c r="QEM45" s="318" t="s">
        <v>3319</v>
      </c>
      <c r="QEN45" s="319" t="s">
        <v>3320</v>
      </c>
      <c r="QEO45" s="318" t="s">
        <v>3319</v>
      </c>
      <c r="QEP45" s="319" t="s">
        <v>3320</v>
      </c>
      <c r="QEQ45" s="318" t="s">
        <v>3319</v>
      </c>
      <c r="QER45" s="319" t="s">
        <v>3320</v>
      </c>
      <c r="QES45" s="318" t="s">
        <v>3319</v>
      </c>
      <c r="QET45" s="319" t="s">
        <v>3320</v>
      </c>
      <c r="QEU45" s="318" t="s">
        <v>3319</v>
      </c>
      <c r="QEV45" s="319" t="s">
        <v>3320</v>
      </c>
      <c r="QEW45" s="318" t="s">
        <v>3319</v>
      </c>
      <c r="QEX45" s="319" t="s">
        <v>3320</v>
      </c>
      <c r="QEY45" s="318" t="s">
        <v>3319</v>
      </c>
      <c r="QEZ45" s="319" t="s">
        <v>3320</v>
      </c>
      <c r="QFA45" s="318" t="s">
        <v>3319</v>
      </c>
      <c r="QFB45" s="319" t="s">
        <v>3320</v>
      </c>
      <c r="QFC45" s="318" t="s">
        <v>3319</v>
      </c>
      <c r="QFD45" s="319" t="s">
        <v>3320</v>
      </c>
      <c r="QFE45" s="318" t="s">
        <v>3319</v>
      </c>
      <c r="QFF45" s="319" t="s">
        <v>3320</v>
      </c>
      <c r="QFG45" s="318" t="s">
        <v>3319</v>
      </c>
      <c r="QFH45" s="319" t="s">
        <v>3320</v>
      </c>
      <c r="QFI45" s="318" t="s">
        <v>3319</v>
      </c>
      <c r="QFJ45" s="319" t="s">
        <v>3320</v>
      </c>
      <c r="QFK45" s="318" t="s">
        <v>3319</v>
      </c>
      <c r="QFL45" s="319" t="s">
        <v>3320</v>
      </c>
      <c r="QFM45" s="318" t="s">
        <v>3319</v>
      </c>
      <c r="QFN45" s="319" t="s">
        <v>3320</v>
      </c>
      <c r="QFO45" s="318" t="s">
        <v>3319</v>
      </c>
      <c r="QFP45" s="319" t="s">
        <v>3320</v>
      </c>
      <c r="QFQ45" s="318" t="s">
        <v>3319</v>
      </c>
      <c r="QFR45" s="319" t="s">
        <v>3320</v>
      </c>
      <c r="QFS45" s="318" t="s">
        <v>3319</v>
      </c>
      <c r="QFT45" s="319" t="s">
        <v>3320</v>
      </c>
      <c r="QFU45" s="318" t="s">
        <v>3319</v>
      </c>
      <c r="QFV45" s="319" t="s">
        <v>3320</v>
      </c>
      <c r="QFW45" s="318" t="s">
        <v>3319</v>
      </c>
      <c r="QFX45" s="319" t="s">
        <v>3320</v>
      </c>
      <c r="QFY45" s="318" t="s">
        <v>3319</v>
      </c>
      <c r="QFZ45" s="319" t="s">
        <v>3320</v>
      </c>
      <c r="QGA45" s="318" t="s">
        <v>3319</v>
      </c>
      <c r="QGB45" s="319" t="s">
        <v>3320</v>
      </c>
      <c r="QGC45" s="318" t="s">
        <v>3319</v>
      </c>
      <c r="QGD45" s="319" t="s">
        <v>3320</v>
      </c>
      <c r="QGE45" s="318" t="s">
        <v>3319</v>
      </c>
      <c r="QGF45" s="319" t="s">
        <v>3320</v>
      </c>
      <c r="QGG45" s="318" t="s">
        <v>3319</v>
      </c>
      <c r="QGH45" s="319" t="s">
        <v>3320</v>
      </c>
      <c r="QGI45" s="318" t="s">
        <v>3319</v>
      </c>
      <c r="QGJ45" s="319" t="s">
        <v>3320</v>
      </c>
      <c r="QGK45" s="318" t="s">
        <v>3319</v>
      </c>
      <c r="QGL45" s="319" t="s">
        <v>3320</v>
      </c>
      <c r="QGM45" s="318" t="s">
        <v>3319</v>
      </c>
      <c r="QGN45" s="319" t="s">
        <v>3320</v>
      </c>
      <c r="QGO45" s="318" t="s">
        <v>3319</v>
      </c>
      <c r="QGP45" s="319" t="s">
        <v>3320</v>
      </c>
      <c r="QGQ45" s="318" t="s">
        <v>3319</v>
      </c>
      <c r="QGR45" s="319" t="s">
        <v>3320</v>
      </c>
      <c r="QGS45" s="318" t="s">
        <v>3319</v>
      </c>
      <c r="QGT45" s="319" t="s">
        <v>3320</v>
      </c>
      <c r="QGU45" s="318" t="s">
        <v>3319</v>
      </c>
      <c r="QGV45" s="319" t="s">
        <v>3320</v>
      </c>
      <c r="QGW45" s="318" t="s">
        <v>3319</v>
      </c>
      <c r="QGX45" s="319" t="s">
        <v>3320</v>
      </c>
      <c r="QGY45" s="318" t="s">
        <v>3319</v>
      </c>
      <c r="QGZ45" s="319" t="s">
        <v>3320</v>
      </c>
      <c r="QHA45" s="318" t="s">
        <v>3319</v>
      </c>
      <c r="QHB45" s="319" t="s">
        <v>3320</v>
      </c>
      <c r="QHC45" s="318" t="s">
        <v>3319</v>
      </c>
      <c r="QHD45" s="319" t="s">
        <v>3320</v>
      </c>
      <c r="QHE45" s="318" t="s">
        <v>3319</v>
      </c>
      <c r="QHF45" s="319" t="s">
        <v>3320</v>
      </c>
      <c r="QHG45" s="318" t="s">
        <v>3319</v>
      </c>
      <c r="QHH45" s="319" t="s">
        <v>3320</v>
      </c>
      <c r="QHI45" s="318" t="s">
        <v>3319</v>
      </c>
      <c r="QHJ45" s="319" t="s">
        <v>3320</v>
      </c>
      <c r="QHK45" s="318" t="s">
        <v>3319</v>
      </c>
      <c r="QHL45" s="319" t="s">
        <v>3320</v>
      </c>
      <c r="QHM45" s="318" t="s">
        <v>3319</v>
      </c>
      <c r="QHN45" s="319" t="s">
        <v>3320</v>
      </c>
      <c r="QHO45" s="318" t="s">
        <v>3319</v>
      </c>
      <c r="QHP45" s="319" t="s">
        <v>3320</v>
      </c>
      <c r="QHQ45" s="318" t="s">
        <v>3319</v>
      </c>
      <c r="QHR45" s="319" t="s">
        <v>3320</v>
      </c>
      <c r="QHS45" s="318" t="s">
        <v>3319</v>
      </c>
      <c r="QHT45" s="319" t="s">
        <v>3320</v>
      </c>
      <c r="QHU45" s="318" t="s">
        <v>3319</v>
      </c>
      <c r="QHV45" s="319" t="s">
        <v>3320</v>
      </c>
      <c r="QHW45" s="318" t="s">
        <v>3319</v>
      </c>
      <c r="QHX45" s="319" t="s">
        <v>3320</v>
      </c>
      <c r="QHY45" s="318" t="s">
        <v>3319</v>
      </c>
      <c r="QHZ45" s="319" t="s">
        <v>3320</v>
      </c>
      <c r="QIA45" s="318" t="s">
        <v>3319</v>
      </c>
      <c r="QIB45" s="319" t="s">
        <v>3320</v>
      </c>
      <c r="QIC45" s="318" t="s">
        <v>3319</v>
      </c>
      <c r="QID45" s="319" t="s">
        <v>3320</v>
      </c>
      <c r="QIE45" s="318" t="s">
        <v>3319</v>
      </c>
      <c r="QIF45" s="319" t="s">
        <v>3320</v>
      </c>
      <c r="QIG45" s="318" t="s">
        <v>3319</v>
      </c>
      <c r="QIH45" s="319" t="s">
        <v>3320</v>
      </c>
      <c r="QII45" s="318" t="s">
        <v>3319</v>
      </c>
      <c r="QIJ45" s="319" t="s">
        <v>3320</v>
      </c>
      <c r="QIK45" s="318" t="s">
        <v>3319</v>
      </c>
      <c r="QIL45" s="319" t="s">
        <v>3320</v>
      </c>
      <c r="QIM45" s="318" t="s">
        <v>3319</v>
      </c>
      <c r="QIN45" s="319" t="s">
        <v>3320</v>
      </c>
      <c r="QIO45" s="318" t="s">
        <v>3319</v>
      </c>
      <c r="QIP45" s="319" t="s">
        <v>3320</v>
      </c>
      <c r="QIQ45" s="318" t="s">
        <v>3319</v>
      </c>
      <c r="QIR45" s="319" t="s">
        <v>3320</v>
      </c>
      <c r="QIS45" s="318" t="s">
        <v>3319</v>
      </c>
      <c r="QIT45" s="319" t="s">
        <v>3320</v>
      </c>
      <c r="QIU45" s="318" t="s">
        <v>3319</v>
      </c>
      <c r="QIV45" s="319" t="s">
        <v>3320</v>
      </c>
      <c r="QIW45" s="318" t="s">
        <v>3319</v>
      </c>
      <c r="QIX45" s="319" t="s">
        <v>3320</v>
      </c>
      <c r="QIY45" s="318" t="s">
        <v>3319</v>
      </c>
      <c r="QIZ45" s="319" t="s">
        <v>3320</v>
      </c>
      <c r="QJA45" s="318" t="s">
        <v>3319</v>
      </c>
      <c r="QJB45" s="319" t="s">
        <v>3320</v>
      </c>
      <c r="QJC45" s="318" t="s">
        <v>3319</v>
      </c>
      <c r="QJD45" s="319" t="s">
        <v>3320</v>
      </c>
      <c r="QJE45" s="318" t="s">
        <v>3319</v>
      </c>
      <c r="QJF45" s="319" t="s">
        <v>3320</v>
      </c>
      <c r="QJG45" s="318" t="s">
        <v>3319</v>
      </c>
      <c r="QJH45" s="319" t="s">
        <v>3320</v>
      </c>
      <c r="QJI45" s="318" t="s">
        <v>3319</v>
      </c>
      <c r="QJJ45" s="319" t="s">
        <v>3320</v>
      </c>
      <c r="QJK45" s="318" t="s">
        <v>3319</v>
      </c>
      <c r="QJL45" s="319" t="s">
        <v>3320</v>
      </c>
      <c r="QJM45" s="318" t="s">
        <v>3319</v>
      </c>
      <c r="QJN45" s="319" t="s">
        <v>3320</v>
      </c>
      <c r="QJO45" s="318" t="s">
        <v>3319</v>
      </c>
      <c r="QJP45" s="319" t="s">
        <v>3320</v>
      </c>
      <c r="QJQ45" s="318" t="s">
        <v>3319</v>
      </c>
      <c r="QJR45" s="319" t="s">
        <v>3320</v>
      </c>
      <c r="QJS45" s="318" t="s">
        <v>3319</v>
      </c>
      <c r="QJT45" s="319" t="s">
        <v>3320</v>
      </c>
      <c r="QJU45" s="318" t="s">
        <v>3319</v>
      </c>
      <c r="QJV45" s="319" t="s">
        <v>3320</v>
      </c>
      <c r="QJW45" s="318" t="s">
        <v>3319</v>
      </c>
      <c r="QJX45" s="319" t="s">
        <v>3320</v>
      </c>
      <c r="QJY45" s="318" t="s">
        <v>3319</v>
      </c>
      <c r="QJZ45" s="319" t="s">
        <v>3320</v>
      </c>
      <c r="QKA45" s="318" t="s">
        <v>3319</v>
      </c>
      <c r="QKB45" s="319" t="s">
        <v>3320</v>
      </c>
      <c r="QKC45" s="318" t="s">
        <v>3319</v>
      </c>
      <c r="QKD45" s="319" t="s">
        <v>3320</v>
      </c>
      <c r="QKE45" s="318" t="s">
        <v>3319</v>
      </c>
      <c r="QKF45" s="319" t="s">
        <v>3320</v>
      </c>
      <c r="QKG45" s="318" t="s">
        <v>3319</v>
      </c>
      <c r="QKH45" s="319" t="s">
        <v>3320</v>
      </c>
      <c r="QKI45" s="318" t="s">
        <v>3319</v>
      </c>
      <c r="QKJ45" s="319" t="s">
        <v>3320</v>
      </c>
      <c r="QKK45" s="318" t="s">
        <v>3319</v>
      </c>
      <c r="QKL45" s="319" t="s">
        <v>3320</v>
      </c>
      <c r="QKM45" s="318" t="s">
        <v>3319</v>
      </c>
      <c r="QKN45" s="319" t="s">
        <v>3320</v>
      </c>
      <c r="QKO45" s="318" t="s">
        <v>3319</v>
      </c>
      <c r="QKP45" s="319" t="s">
        <v>3320</v>
      </c>
      <c r="QKQ45" s="318" t="s">
        <v>3319</v>
      </c>
      <c r="QKR45" s="319" t="s">
        <v>3320</v>
      </c>
      <c r="QKS45" s="318" t="s">
        <v>3319</v>
      </c>
      <c r="QKT45" s="319" t="s">
        <v>3320</v>
      </c>
      <c r="QKU45" s="318" t="s">
        <v>3319</v>
      </c>
      <c r="QKV45" s="319" t="s">
        <v>3320</v>
      </c>
      <c r="QKW45" s="318" t="s">
        <v>3319</v>
      </c>
      <c r="QKX45" s="319" t="s">
        <v>3320</v>
      </c>
      <c r="QKY45" s="318" t="s">
        <v>3319</v>
      </c>
      <c r="QKZ45" s="319" t="s">
        <v>3320</v>
      </c>
      <c r="QLA45" s="318" t="s">
        <v>3319</v>
      </c>
      <c r="QLB45" s="319" t="s">
        <v>3320</v>
      </c>
      <c r="QLC45" s="318" t="s">
        <v>3319</v>
      </c>
      <c r="QLD45" s="319" t="s">
        <v>3320</v>
      </c>
      <c r="QLE45" s="318" t="s">
        <v>3319</v>
      </c>
      <c r="QLF45" s="319" t="s">
        <v>3320</v>
      </c>
      <c r="QLG45" s="318" t="s">
        <v>3319</v>
      </c>
      <c r="QLH45" s="319" t="s">
        <v>3320</v>
      </c>
      <c r="QLI45" s="318" t="s">
        <v>3319</v>
      </c>
      <c r="QLJ45" s="319" t="s">
        <v>3320</v>
      </c>
      <c r="QLK45" s="318" t="s">
        <v>3319</v>
      </c>
      <c r="QLL45" s="319" t="s">
        <v>3320</v>
      </c>
      <c r="QLM45" s="318" t="s">
        <v>3319</v>
      </c>
      <c r="QLN45" s="319" t="s">
        <v>3320</v>
      </c>
      <c r="QLO45" s="318" t="s">
        <v>3319</v>
      </c>
      <c r="QLP45" s="319" t="s">
        <v>3320</v>
      </c>
      <c r="QLQ45" s="318" t="s">
        <v>3319</v>
      </c>
      <c r="QLR45" s="319" t="s">
        <v>3320</v>
      </c>
      <c r="QLS45" s="318" t="s">
        <v>3319</v>
      </c>
      <c r="QLT45" s="319" t="s">
        <v>3320</v>
      </c>
      <c r="QLU45" s="318" t="s">
        <v>3319</v>
      </c>
      <c r="QLV45" s="319" t="s">
        <v>3320</v>
      </c>
      <c r="QLW45" s="318" t="s">
        <v>3319</v>
      </c>
      <c r="QLX45" s="319" t="s">
        <v>3320</v>
      </c>
      <c r="QLY45" s="318" t="s">
        <v>3319</v>
      </c>
      <c r="QLZ45" s="319" t="s">
        <v>3320</v>
      </c>
      <c r="QMA45" s="318" t="s">
        <v>3319</v>
      </c>
      <c r="QMB45" s="319" t="s">
        <v>3320</v>
      </c>
      <c r="QMC45" s="318" t="s">
        <v>3319</v>
      </c>
      <c r="QMD45" s="319" t="s">
        <v>3320</v>
      </c>
      <c r="QME45" s="318" t="s">
        <v>3319</v>
      </c>
      <c r="QMF45" s="319" t="s">
        <v>3320</v>
      </c>
      <c r="QMG45" s="318" t="s">
        <v>3319</v>
      </c>
      <c r="QMH45" s="319" t="s">
        <v>3320</v>
      </c>
      <c r="QMI45" s="318" t="s">
        <v>3319</v>
      </c>
      <c r="QMJ45" s="319" t="s">
        <v>3320</v>
      </c>
      <c r="QMK45" s="318" t="s">
        <v>3319</v>
      </c>
      <c r="QML45" s="319" t="s">
        <v>3320</v>
      </c>
      <c r="QMM45" s="318" t="s">
        <v>3319</v>
      </c>
      <c r="QMN45" s="319" t="s">
        <v>3320</v>
      </c>
      <c r="QMO45" s="318" t="s">
        <v>3319</v>
      </c>
      <c r="QMP45" s="319" t="s">
        <v>3320</v>
      </c>
      <c r="QMQ45" s="318" t="s">
        <v>3319</v>
      </c>
      <c r="QMR45" s="319" t="s">
        <v>3320</v>
      </c>
      <c r="QMS45" s="318" t="s">
        <v>3319</v>
      </c>
      <c r="QMT45" s="319" t="s">
        <v>3320</v>
      </c>
      <c r="QMU45" s="318" t="s">
        <v>3319</v>
      </c>
      <c r="QMV45" s="319" t="s">
        <v>3320</v>
      </c>
      <c r="QMW45" s="318" t="s">
        <v>3319</v>
      </c>
      <c r="QMX45" s="319" t="s">
        <v>3320</v>
      </c>
      <c r="QMY45" s="318" t="s">
        <v>3319</v>
      </c>
      <c r="QMZ45" s="319" t="s">
        <v>3320</v>
      </c>
      <c r="QNA45" s="318" t="s">
        <v>3319</v>
      </c>
      <c r="QNB45" s="319" t="s">
        <v>3320</v>
      </c>
      <c r="QNC45" s="318" t="s">
        <v>3319</v>
      </c>
      <c r="QND45" s="319" t="s">
        <v>3320</v>
      </c>
      <c r="QNE45" s="318" t="s">
        <v>3319</v>
      </c>
      <c r="QNF45" s="319" t="s">
        <v>3320</v>
      </c>
      <c r="QNG45" s="318" t="s">
        <v>3319</v>
      </c>
      <c r="QNH45" s="319" t="s">
        <v>3320</v>
      </c>
      <c r="QNI45" s="318" t="s">
        <v>3319</v>
      </c>
      <c r="QNJ45" s="319" t="s">
        <v>3320</v>
      </c>
      <c r="QNK45" s="318" t="s">
        <v>3319</v>
      </c>
      <c r="QNL45" s="319" t="s">
        <v>3320</v>
      </c>
      <c r="QNM45" s="318" t="s">
        <v>3319</v>
      </c>
      <c r="QNN45" s="319" t="s">
        <v>3320</v>
      </c>
      <c r="QNO45" s="318" t="s">
        <v>3319</v>
      </c>
      <c r="QNP45" s="319" t="s">
        <v>3320</v>
      </c>
      <c r="QNQ45" s="318" t="s">
        <v>3319</v>
      </c>
      <c r="QNR45" s="319" t="s">
        <v>3320</v>
      </c>
      <c r="QNS45" s="318" t="s">
        <v>3319</v>
      </c>
      <c r="QNT45" s="319" t="s">
        <v>3320</v>
      </c>
      <c r="QNU45" s="318" t="s">
        <v>3319</v>
      </c>
      <c r="QNV45" s="319" t="s">
        <v>3320</v>
      </c>
      <c r="QNW45" s="318" t="s">
        <v>3319</v>
      </c>
      <c r="QNX45" s="319" t="s">
        <v>3320</v>
      </c>
      <c r="QNY45" s="318" t="s">
        <v>3319</v>
      </c>
      <c r="QNZ45" s="319" t="s">
        <v>3320</v>
      </c>
      <c r="QOA45" s="318" t="s">
        <v>3319</v>
      </c>
      <c r="QOB45" s="319" t="s">
        <v>3320</v>
      </c>
      <c r="QOC45" s="318" t="s">
        <v>3319</v>
      </c>
      <c r="QOD45" s="319" t="s">
        <v>3320</v>
      </c>
      <c r="QOE45" s="318" t="s">
        <v>3319</v>
      </c>
      <c r="QOF45" s="319" t="s">
        <v>3320</v>
      </c>
      <c r="QOG45" s="318" t="s">
        <v>3319</v>
      </c>
      <c r="QOH45" s="319" t="s">
        <v>3320</v>
      </c>
      <c r="QOI45" s="318" t="s">
        <v>3319</v>
      </c>
      <c r="QOJ45" s="319" t="s">
        <v>3320</v>
      </c>
      <c r="QOK45" s="318" t="s">
        <v>3319</v>
      </c>
      <c r="QOL45" s="319" t="s">
        <v>3320</v>
      </c>
      <c r="QOM45" s="318" t="s">
        <v>3319</v>
      </c>
      <c r="QON45" s="319" t="s">
        <v>3320</v>
      </c>
      <c r="QOO45" s="318" t="s">
        <v>3319</v>
      </c>
      <c r="QOP45" s="319" t="s">
        <v>3320</v>
      </c>
      <c r="QOQ45" s="318" t="s">
        <v>3319</v>
      </c>
      <c r="QOR45" s="319" t="s">
        <v>3320</v>
      </c>
      <c r="QOS45" s="318" t="s">
        <v>3319</v>
      </c>
      <c r="QOT45" s="319" t="s">
        <v>3320</v>
      </c>
      <c r="QOU45" s="318" t="s">
        <v>3319</v>
      </c>
      <c r="QOV45" s="319" t="s">
        <v>3320</v>
      </c>
      <c r="QOW45" s="318" t="s">
        <v>3319</v>
      </c>
      <c r="QOX45" s="319" t="s">
        <v>3320</v>
      </c>
      <c r="QOY45" s="318" t="s">
        <v>3319</v>
      </c>
      <c r="QOZ45" s="319" t="s">
        <v>3320</v>
      </c>
      <c r="QPA45" s="318" t="s">
        <v>3319</v>
      </c>
      <c r="QPB45" s="319" t="s">
        <v>3320</v>
      </c>
      <c r="QPC45" s="318" t="s">
        <v>3319</v>
      </c>
      <c r="QPD45" s="319" t="s">
        <v>3320</v>
      </c>
      <c r="QPE45" s="318" t="s">
        <v>3319</v>
      </c>
      <c r="QPF45" s="319" t="s">
        <v>3320</v>
      </c>
      <c r="QPG45" s="318" t="s">
        <v>3319</v>
      </c>
      <c r="QPH45" s="319" t="s">
        <v>3320</v>
      </c>
      <c r="QPI45" s="318" t="s">
        <v>3319</v>
      </c>
      <c r="QPJ45" s="319" t="s">
        <v>3320</v>
      </c>
      <c r="QPK45" s="318" t="s">
        <v>3319</v>
      </c>
      <c r="QPL45" s="319" t="s">
        <v>3320</v>
      </c>
      <c r="QPM45" s="318" t="s">
        <v>3319</v>
      </c>
      <c r="QPN45" s="319" t="s">
        <v>3320</v>
      </c>
      <c r="QPO45" s="318" t="s">
        <v>3319</v>
      </c>
      <c r="QPP45" s="319" t="s">
        <v>3320</v>
      </c>
      <c r="QPQ45" s="318" t="s">
        <v>3319</v>
      </c>
      <c r="QPR45" s="319" t="s">
        <v>3320</v>
      </c>
      <c r="QPS45" s="318" t="s">
        <v>3319</v>
      </c>
      <c r="QPT45" s="319" t="s">
        <v>3320</v>
      </c>
      <c r="QPU45" s="318" t="s">
        <v>3319</v>
      </c>
      <c r="QPV45" s="319" t="s">
        <v>3320</v>
      </c>
      <c r="QPW45" s="318" t="s">
        <v>3319</v>
      </c>
      <c r="QPX45" s="319" t="s">
        <v>3320</v>
      </c>
      <c r="QPY45" s="318" t="s">
        <v>3319</v>
      </c>
      <c r="QPZ45" s="319" t="s">
        <v>3320</v>
      </c>
      <c r="QQA45" s="318" t="s">
        <v>3319</v>
      </c>
      <c r="QQB45" s="319" t="s">
        <v>3320</v>
      </c>
      <c r="QQC45" s="318" t="s">
        <v>3319</v>
      </c>
      <c r="QQD45" s="319" t="s">
        <v>3320</v>
      </c>
      <c r="QQE45" s="318" t="s">
        <v>3319</v>
      </c>
      <c r="QQF45" s="319" t="s">
        <v>3320</v>
      </c>
      <c r="QQG45" s="318" t="s">
        <v>3319</v>
      </c>
      <c r="QQH45" s="319" t="s">
        <v>3320</v>
      </c>
      <c r="QQI45" s="318" t="s">
        <v>3319</v>
      </c>
      <c r="QQJ45" s="319" t="s">
        <v>3320</v>
      </c>
      <c r="QQK45" s="318" t="s">
        <v>3319</v>
      </c>
      <c r="QQL45" s="319" t="s">
        <v>3320</v>
      </c>
      <c r="QQM45" s="318" t="s">
        <v>3319</v>
      </c>
      <c r="QQN45" s="319" t="s">
        <v>3320</v>
      </c>
      <c r="QQO45" s="318" t="s">
        <v>3319</v>
      </c>
      <c r="QQP45" s="319" t="s">
        <v>3320</v>
      </c>
      <c r="QQQ45" s="318" t="s">
        <v>3319</v>
      </c>
      <c r="QQR45" s="319" t="s">
        <v>3320</v>
      </c>
      <c r="QQS45" s="318" t="s">
        <v>3319</v>
      </c>
      <c r="QQT45" s="319" t="s">
        <v>3320</v>
      </c>
      <c r="QQU45" s="318" t="s">
        <v>3319</v>
      </c>
      <c r="QQV45" s="319" t="s">
        <v>3320</v>
      </c>
      <c r="QQW45" s="318" t="s">
        <v>3319</v>
      </c>
      <c r="QQX45" s="319" t="s">
        <v>3320</v>
      </c>
      <c r="QQY45" s="318" t="s">
        <v>3319</v>
      </c>
      <c r="QQZ45" s="319" t="s">
        <v>3320</v>
      </c>
      <c r="QRA45" s="318" t="s">
        <v>3319</v>
      </c>
      <c r="QRB45" s="319" t="s">
        <v>3320</v>
      </c>
      <c r="QRC45" s="318" t="s">
        <v>3319</v>
      </c>
      <c r="QRD45" s="319" t="s">
        <v>3320</v>
      </c>
      <c r="QRE45" s="318" t="s">
        <v>3319</v>
      </c>
      <c r="QRF45" s="319" t="s">
        <v>3320</v>
      </c>
      <c r="QRG45" s="318" t="s">
        <v>3319</v>
      </c>
      <c r="QRH45" s="319" t="s">
        <v>3320</v>
      </c>
      <c r="QRI45" s="318" t="s">
        <v>3319</v>
      </c>
      <c r="QRJ45" s="319" t="s">
        <v>3320</v>
      </c>
      <c r="QRK45" s="318" t="s">
        <v>3319</v>
      </c>
      <c r="QRL45" s="319" t="s">
        <v>3320</v>
      </c>
      <c r="QRM45" s="318" t="s">
        <v>3319</v>
      </c>
      <c r="QRN45" s="319" t="s">
        <v>3320</v>
      </c>
      <c r="QRO45" s="318" t="s">
        <v>3319</v>
      </c>
      <c r="QRP45" s="319" t="s">
        <v>3320</v>
      </c>
      <c r="QRQ45" s="318" t="s">
        <v>3319</v>
      </c>
      <c r="QRR45" s="319" t="s">
        <v>3320</v>
      </c>
      <c r="QRS45" s="318" t="s">
        <v>3319</v>
      </c>
      <c r="QRT45" s="319" t="s">
        <v>3320</v>
      </c>
      <c r="QRU45" s="318" t="s">
        <v>3319</v>
      </c>
      <c r="QRV45" s="319" t="s">
        <v>3320</v>
      </c>
      <c r="QRW45" s="318" t="s">
        <v>3319</v>
      </c>
      <c r="QRX45" s="319" t="s">
        <v>3320</v>
      </c>
      <c r="QRY45" s="318" t="s">
        <v>3319</v>
      </c>
      <c r="QRZ45" s="319" t="s">
        <v>3320</v>
      </c>
      <c r="QSA45" s="318" t="s">
        <v>3319</v>
      </c>
      <c r="QSB45" s="319" t="s">
        <v>3320</v>
      </c>
      <c r="QSC45" s="318" t="s">
        <v>3319</v>
      </c>
      <c r="QSD45" s="319" t="s">
        <v>3320</v>
      </c>
      <c r="QSE45" s="318" t="s">
        <v>3319</v>
      </c>
      <c r="QSF45" s="319" t="s">
        <v>3320</v>
      </c>
      <c r="QSG45" s="318" t="s">
        <v>3319</v>
      </c>
      <c r="QSH45" s="319" t="s">
        <v>3320</v>
      </c>
      <c r="QSI45" s="318" t="s">
        <v>3319</v>
      </c>
      <c r="QSJ45" s="319" t="s">
        <v>3320</v>
      </c>
      <c r="QSK45" s="318" t="s">
        <v>3319</v>
      </c>
      <c r="QSL45" s="319" t="s">
        <v>3320</v>
      </c>
      <c r="QSM45" s="318" t="s">
        <v>3319</v>
      </c>
      <c r="QSN45" s="319" t="s">
        <v>3320</v>
      </c>
      <c r="QSO45" s="318" t="s">
        <v>3319</v>
      </c>
      <c r="QSP45" s="319" t="s">
        <v>3320</v>
      </c>
      <c r="QSQ45" s="318" t="s">
        <v>3319</v>
      </c>
      <c r="QSR45" s="319" t="s">
        <v>3320</v>
      </c>
      <c r="QSS45" s="318" t="s">
        <v>3319</v>
      </c>
      <c r="QST45" s="319" t="s">
        <v>3320</v>
      </c>
      <c r="QSU45" s="318" t="s">
        <v>3319</v>
      </c>
      <c r="QSV45" s="319" t="s">
        <v>3320</v>
      </c>
      <c r="QSW45" s="318" t="s">
        <v>3319</v>
      </c>
      <c r="QSX45" s="319" t="s">
        <v>3320</v>
      </c>
      <c r="QSY45" s="318" t="s">
        <v>3319</v>
      </c>
      <c r="QSZ45" s="319" t="s">
        <v>3320</v>
      </c>
      <c r="QTA45" s="318" t="s">
        <v>3319</v>
      </c>
      <c r="QTB45" s="319" t="s">
        <v>3320</v>
      </c>
      <c r="QTC45" s="318" t="s">
        <v>3319</v>
      </c>
      <c r="QTD45" s="319" t="s">
        <v>3320</v>
      </c>
      <c r="QTE45" s="318" t="s">
        <v>3319</v>
      </c>
      <c r="QTF45" s="319" t="s">
        <v>3320</v>
      </c>
      <c r="QTG45" s="318" t="s">
        <v>3319</v>
      </c>
      <c r="QTH45" s="319" t="s">
        <v>3320</v>
      </c>
      <c r="QTI45" s="318" t="s">
        <v>3319</v>
      </c>
      <c r="QTJ45" s="319" t="s">
        <v>3320</v>
      </c>
      <c r="QTK45" s="318" t="s">
        <v>3319</v>
      </c>
      <c r="QTL45" s="319" t="s">
        <v>3320</v>
      </c>
      <c r="QTM45" s="318" t="s">
        <v>3319</v>
      </c>
      <c r="QTN45" s="319" t="s">
        <v>3320</v>
      </c>
      <c r="QTO45" s="318" t="s">
        <v>3319</v>
      </c>
      <c r="QTP45" s="319" t="s">
        <v>3320</v>
      </c>
      <c r="QTQ45" s="318" t="s">
        <v>3319</v>
      </c>
      <c r="QTR45" s="319" t="s">
        <v>3320</v>
      </c>
      <c r="QTS45" s="318" t="s">
        <v>3319</v>
      </c>
      <c r="QTT45" s="319" t="s">
        <v>3320</v>
      </c>
      <c r="QTU45" s="318" t="s">
        <v>3319</v>
      </c>
      <c r="QTV45" s="319" t="s">
        <v>3320</v>
      </c>
      <c r="QTW45" s="318" t="s">
        <v>3319</v>
      </c>
      <c r="QTX45" s="319" t="s">
        <v>3320</v>
      </c>
      <c r="QTY45" s="318" t="s">
        <v>3319</v>
      </c>
      <c r="QTZ45" s="319" t="s">
        <v>3320</v>
      </c>
      <c r="QUA45" s="318" t="s">
        <v>3319</v>
      </c>
      <c r="QUB45" s="319" t="s">
        <v>3320</v>
      </c>
      <c r="QUC45" s="318" t="s">
        <v>3319</v>
      </c>
      <c r="QUD45" s="319" t="s">
        <v>3320</v>
      </c>
      <c r="QUE45" s="318" t="s">
        <v>3319</v>
      </c>
      <c r="QUF45" s="319" t="s">
        <v>3320</v>
      </c>
      <c r="QUG45" s="318" t="s">
        <v>3319</v>
      </c>
      <c r="QUH45" s="319" t="s">
        <v>3320</v>
      </c>
      <c r="QUI45" s="318" t="s">
        <v>3319</v>
      </c>
      <c r="QUJ45" s="319" t="s">
        <v>3320</v>
      </c>
      <c r="QUK45" s="318" t="s">
        <v>3319</v>
      </c>
      <c r="QUL45" s="319" t="s">
        <v>3320</v>
      </c>
      <c r="QUM45" s="318" t="s">
        <v>3319</v>
      </c>
      <c r="QUN45" s="319" t="s">
        <v>3320</v>
      </c>
      <c r="QUO45" s="318" t="s">
        <v>3319</v>
      </c>
      <c r="QUP45" s="319" t="s">
        <v>3320</v>
      </c>
      <c r="QUQ45" s="318" t="s">
        <v>3319</v>
      </c>
      <c r="QUR45" s="319" t="s">
        <v>3320</v>
      </c>
      <c r="QUS45" s="318" t="s">
        <v>3319</v>
      </c>
      <c r="QUT45" s="319" t="s">
        <v>3320</v>
      </c>
      <c r="QUU45" s="318" t="s">
        <v>3319</v>
      </c>
      <c r="QUV45" s="319" t="s">
        <v>3320</v>
      </c>
      <c r="QUW45" s="318" t="s">
        <v>3319</v>
      </c>
      <c r="QUX45" s="319" t="s">
        <v>3320</v>
      </c>
      <c r="QUY45" s="318" t="s">
        <v>3319</v>
      </c>
      <c r="QUZ45" s="319" t="s">
        <v>3320</v>
      </c>
      <c r="QVA45" s="318" t="s">
        <v>3319</v>
      </c>
      <c r="QVB45" s="319" t="s">
        <v>3320</v>
      </c>
      <c r="QVC45" s="318" t="s">
        <v>3319</v>
      </c>
      <c r="QVD45" s="319" t="s">
        <v>3320</v>
      </c>
      <c r="QVE45" s="318" t="s">
        <v>3319</v>
      </c>
      <c r="QVF45" s="319" t="s">
        <v>3320</v>
      </c>
      <c r="QVG45" s="318" t="s">
        <v>3319</v>
      </c>
      <c r="QVH45" s="319" t="s">
        <v>3320</v>
      </c>
      <c r="QVI45" s="318" t="s">
        <v>3319</v>
      </c>
      <c r="QVJ45" s="319" t="s">
        <v>3320</v>
      </c>
      <c r="QVK45" s="318" t="s">
        <v>3319</v>
      </c>
      <c r="QVL45" s="319" t="s">
        <v>3320</v>
      </c>
      <c r="QVM45" s="318" t="s">
        <v>3319</v>
      </c>
      <c r="QVN45" s="319" t="s">
        <v>3320</v>
      </c>
      <c r="QVO45" s="318" t="s">
        <v>3319</v>
      </c>
      <c r="QVP45" s="319" t="s">
        <v>3320</v>
      </c>
      <c r="QVQ45" s="318" t="s">
        <v>3319</v>
      </c>
      <c r="QVR45" s="319" t="s">
        <v>3320</v>
      </c>
      <c r="QVS45" s="318" t="s">
        <v>3319</v>
      </c>
      <c r="QVT45" s="319" t="s">
        <v>3320</v>
      </c>
      <c r="QVU45" s="318" t="s">
        <v>3319</v>
      </c>
      <c r="QVV45" s="319" t="s">
        <v>3320</v>
      </c>
      <c r="QVW45" s="318" t="s">
        <v>3319</v>
      </c>
      <c r="QVX45" s="319" t="s">
        <v>3320</v>
      </c>
      <c r="QVY45" s="318" t="s">
        <v>3319</v>
      </c>
      <c r="QVZ45" s="319" t="s">
        <v>3320</v>
      </c>
      <c r="QWA45" s="318" t="s">
        <v>3319</v>
      </c>
      <c r="QWB45" s="319" t="s">
        <v>3320</v>
      </c>
      <c r="QWC45" s="318" t="s">
        <v>3319</v>
      </c>
      <c r="QWD45" s="319" t="s">
        <v>3320</v>
      </c>
      <c r="QWE45" s="318" t="s">
        <v>3319</v>
      </c>
      <c r="QWF45" s="319" t="s">
        <v>3320</v>
      </c>
      <c r="QWG45" s="318" t="s">
        <v>3319</v>
      </c>
      <c r="QWH45" s="319" t="s">
        <v>3320</v>
      </c>
      <c r="QWI45" s="318" t="s">
        <v>3319</v>
      </c>
      <c r="QWJ45" s="319" t="s">
        <v>3320</v>
      </c>
      <c r="QWK45" s="318" t="s">
        <v>3319</v>
      </c>
      <c r="QWL45" s="319" t="s">
        <v>3320</v>
      </c>
      <c r="QWM45" s="318" t="s">
        <v>3319</v>
      </c>
      <c r="QWN45" s="319" t="s">
        <v>3320</v>
      </c>
      <c r="QWO45" s="318" t="s">
        <v>3319</v>
      </c>
      <c r="QWP45" s="319" t="s">
        <v>3320</v>
      </c>
      <c r="QWQ45" s="318" t="s">
        <v>3319</v>
      </c>
      <c r="QWR45" s="319" t="s">
        <v>3320</v>
      </c>
      <c r="QWS45" s="318" t="s">
        <v>3319</v>
      </c>
      <c r="QWT45" s="319" t="s">
        <v>3320</v>
      </c>
      <c r="QWU45" s="318" t="s">
        <v>3319</v>
      </c>
      <c r="QWV45" s="319" t="s">
        <v>3320</v>
      </c>
      <c r="QWW45" s="318" t="s">
        <v>3319</v>
      </c>
      <c r="QWX45" s="319" t="s">
        <v>3320</v>
      </c>
      <c r="QWY45" s="318" t="s">
        <v>3319</v>
      </c>
      <c r="QWZ45" s="319" t="s">
        <v>3320</v>
      </c>
      <c r="QXA45" s="318" t="s">
        <v>3319</v>
      </c>
      <c r="QXB45" s="319" t="s">
        <v>3320</v>
      </c>
      <c r="QXC45" s="318" t="s">
        <v>3319</v>
      </c>
      <c r="QXD45" s="319" t="s">
        <v>3320</v>
      </c>
      <c r="QXE45" s="318" t="s">
        <v>3319</v>
      </c>
      <c r="QXF45" s="319" t="s">
        <v>3320</v>
      </c>
      <c r="QXG45" s="318" t="s">
        <v>3319</v>
      </c>
      <c r="QXH45" s="319" t="s">
        <v>3320</v>
      </c>
      <c r="QXI45" s="318" t="s">
        <v>3319</v>
      </c>
      <c r="QXJ45" s="319" t="s">
        <v>3320</v>
      </c>
      <c r="QXK45" s="318" t="s">
        <v>3319</v>
      </c>
      <c r="QXL45" s="319" t="s">
        <v>3320</v>
      </c>
      <c r="QXM45" s="318" t="s">
        <v>3319</v>
      </c>
      <c r="QXN45" s="319" t="s">
        <v>3320</v>
      </c>
      <c r="QXO45" s="318" t="s">
        <v>3319</v>
      </c>
      <c r="QXP45" s="319" t="s">
        <v>3320</v>
      </c>
      <c r="QXQ45" s="318" t="s">
        <v>3319</v>
      </c>
      <c r="QXR45" s="319" t="s">
        <v>3320</v>
      </c>
      <c r="QXS45" s="318" t="s">
        <v>3319</v>
      </c>
      <c r="QXT45" s="319" t="s">
        <v>3320</v>
      </c>
      <c r="QXU45" s="318" t="s">
        <v>3319</v>
      </c>
      <c r="QXV45" s="319" t="s">
        <v>3320</v>
      </c>
      <c r="QXW45" s="318" t="s">
        <v>3319</v>
      </c>
      <c r="QXX45" s="319" t="s">
        <v>3320</v>
      </c>
      <c r="QXY45" s="318" t="s">
        <v>3319</v>
      </c>
      <c r="QXZ45" s="319" t="s">
        <v>3320</v>
      </c>
      <c r="QYA45" s="318" t="s">
        <v>3319</v>
      </c>
      <c r="QYB45" s="319" t="s">
        <v>3320</v>
      </c>
      <c r="QYC45" s="318" t="s">
        <v>3319</v>
      </c>
      <c r="QYD45" s="319" t="s">
        <v>3320</v>
      </c>
      <c r="QYE45" s="318" t="s">
        <v>3319</v>
      </c>
      <c r="QYF45" s="319" t="s">
        <v>3320</v>
      </c>
      <c r="QYG45" s="318" t="s">
        <v>3319</v>
      </c>
      <c r="QYH45" s="319" t="s">
        <v>3320</v>
      </c>
      <c r="QYI45" s="318" t="s">
        <v>3319</v>
      </c>
      <c r="QYJ45" s="319" t="s">
        <v>3320</v>
      </c>
      <c r="QYK45" s="318" t="s">
        <v>3319</v>
      </c>
      <c r="QYL45" s="319" t="s">
        <v>3320</v>
      </c>
      <c r="QYM45" s="318" t="s">
        <v>3319</v>
      </c>
      <c r="QYN45" s="319" t="s">
        <v>3320</v>
      </c>
      <c r="QYO45" s="318" t="s">
        <v>3319</v>
      </c>
      <c r="QYP45" s="319" t="s">
        <v>3320</v>
      </c>
      <c r="QYQ45" s="318" t="s">
        <v>3319</v>
      </c>
      <c r="QYR45" s="319" t="s">
        <v>3320</v>
      </c>
      <c r="QYS45" s="318" t="s">
        <v>3319</v>
      </c>
      <c r="QYT45" s="319" t="s">
        <v>3320</v>
      </c>
      <c r="QYU45" s="318" t="s">
        <v>3319</v>
      </c>
      <c r="QYV45" s="319" t="s">
        <v>3320</v>
      </c>
      <c r="QYW45" s="318" t="s">
        <v>3319</v>
      </c>
      <c r="QYX45" s="319" t="s">
        <v>3320</v>
      </c>
      <c r="QYY45" s="318" t="s">
        <v>3319</v>
      </c>
      <c r="QYZ45" s="319" t="s">
        <v>3320</v>
      </c>
      <c r="QZA45" s="318" t="s">
        <v>3319</v>
      </c>
      <c r="QZB45" s="319" t="s">
        <v>3320</v>
      </c>
      <c r="QZC45" s="318" t="s">
        <v>3319</v>
      </c>
      <c r="QZD45" s="319" t="s">
        <v>3320</v>
      </c>
      <c r="QZE45" s="318" t="s">
        <v>3319</v>
      </c>
      <c r="QZF45" s="319" t="s">
        <v>3320</v>
      </c>
      <c r="QZG45" s="318" t="s">
        <v>3319</v>
      </c>
      <c r="QZH45" s="319" t="s">
        <v>3320</v>
      </c>
      <c r="QZI45" s="318" t="s">
        <v>3319</v>
      </c>
      <c r="QZJ45" s="319" t="s">
        <v>3320</v>
      </c>
      <c r="QZK45" s="318" t="s">
        <v>3319</v>
      </c>
      <c r="QZL45" s="319" t="s">
        <v>3320</v>
      </c>
      <c r="QZM45" s="318" t="s">
        <v>3319</v>
      </c>
      <c r="QZN45" s="319" t="s">
        <v>3320</v>
      </c>
      <c r="QZO45" s="318" t="s">
        <v>3319</v>
      </c>
      <c r="QZP45" s="319" t="s">
        <v>3320</v>
      </c>
      <c r="QZQ45" s="318" t="s">
        <v>3319</v>
      </c>
      <c r="QZR45" s="319" t="s">
        <v>3320</v>
      </c>
      <c r="QZS45" s="318" t="s">
        <v>3319</v>
      </c>
      <c r="QZT45" s="319" t="s">
        <v>3320</v>
      </c>
      <c r="QZU45" s="318" t="s">
        <v>3319</v>
      </c>
      <c r="QZV45" s="319" t="s">
        <v>3320</v>
      </c>
      <c r="QZW45" s="318" t="s">
        <v>3319</v>
      </c>
      <c r="QZX45" s="319" t="s">
        <v>3320</v>
      </c>
      <c r="QZY45" s="318" t="s">
        <v>3319</v>
      </c>
      <c r="QZZ45" s="319" t="s">
        <v>3320</v>
      </c>
      <c r="RAA45" s="318" t="s">
        <v>3319</v>
      </c>
      <c r="RAB45" s="319" t="s">
        <v>3320</v>
      </c>
      <c r="RAC45" s="318" t="s">
        <v>3319</v>
      </c>
      <c r="RAD45" s="319" t="s">
        <v>3320</v>
      </c>
      <c r="RAE45" s="318" t="s">
        <v>3319</v>
      </c>
      <c r="RAF45" s="319" t="s">
        <v>3320</v>
      </c>
      <c r="RAG45" s="318" t="s">
        <v>3319</v>
      </c>
      <c r="RAH45" s="319" t="s">
        <v>3320</v>
      </c>
      <c r="RAI45" s="318" t="s">
        <v>3319</v>
      </c>
      <c r="RAJ45" s="319" t="s">
        <v>3320</v>
      </c>
      <c r="RAK45" s="318" t="s">
        <v>3319</v>
      </c>
      <c r="RAL45" s="319" t="s">
        <v>3320</v>
      </c>
      <c r="RAM45" s="318" t="s">
        <v>3319</v>
      </c>
      <c r="RAN45" s="319" t="s">
        <v>3320</v>
      </c>
      <c r="RAO45" s="318" t="s">
        <v>3319</v>
      </c>
      <c r="RAP45" s="319" t="s">
        <v>3320</v>
      </c>
      <c r="RAQ45" s="318" t="s">
        <v>3319</v>
      </c>
      <c r="RAR45" s="319" t="s">
        <v>3320</v>
      </c>
      <c r="RAS45" s="318" t="s">
        <v>3319</v>
      </c>
      <c r="RAT45" s="319" t="s">
        <v>3320</v>
      </c>
      <c r="RAU45" s="318" t="s">
        <v>3319</v>
      </c>
      <c r="RAV45" s="319" t="s">
        <v>3320</v>
      </c>
      <c r="RAW45" s="318" t="s">
        <v>3319</v>
      </c>
      <c r="RAX45" s="319" t="s">
        <v>3320</v>
      </c>
      <c r="RAY45" s="318" t="s">
        <v>3319</v>
      </c>
      <c r="RAZ45" s="319" t="s">
        <v>3320</v>
      </c>
      <c r="RBA45" s="318" t="s">
        <v>3319</v>
      </c>
      <c r="RBB45" s="319" t="s">
        <v>3320</v>
      </c>
      <c r="RBC45" s="318" t="s">
        <v>3319</v>
      </c>
      <c r="RBD45" s="319" t="s">
        <v>3320</v>
      </c>
      <c r="RBE45" s="318" t="s">
        <v>3319</v>
      </c>
      <c r="RBF45" s="319" t="s">
        <v>3320</v>
      </c>
      <c r="RBG45" s="318" t="s">
        <v>3319</v>
      </c>
      <c r="RBH45" s="319" t="s">
        <v>3320</v>
      </c>
      <c r="RBI45" s="318" t="s">
        <v>3319</v>
      </c>
      <c r="RBJ45" s="319" t="s">
        <v>3320</v>
      </c>
      <c r="RBK45" s="318" t="s">
        <v>3319</v>
      </c>
      <c r="RBL45" s="319" t="s">
        <v>3320</v>
      </c>
      <c r="RBM45" s="318" t="s">
        <v>3319</v>
      </c>
      <c r="RBN45" s="319" t="s">
        <v>3320</v>
      </c>
      <c r="RBO45" s="318" t="s">
        <v>3319</v>
      </c>
      <c r="RBP45" s="319" t="s">
        <v>3320</v>
      </c>
      <c r="RBQ45" s="318" t="s">
        <v>3319</v>
      </c>
      <c r="RBR45" s="319" t="s">
        <v>3320</v>
      </c>
      <c r="RBS45" s="318" t="s">
        <v>3319</v>
      </c>
      <c r="RBT45" s="319" t="s">
        <v>3320</v>
      </c>
      <c r="RBU45" s="318" t="s">
        <v>3319</v>
      </c>
      <c r="RBV45" s="319" t="s">
        <v>3320</v>
      </c>
      <c r="RBW45" s="318" t="s">
        <v>3319</v>
      </c>
      <c r="RBX45" s="319" t="s">
        <v>3320</v>
      </c>
      <c r="RBY45" s="318" t="s">
        <v>3319</v>
      </c>
      <c r="RBZ45" s="319" t="s">
        <v>3320</v>
      </c>
      <c r="RCA45" s="318" t="s">
        <v>3319</v>
      </c>
      <c r="RCB45" s="319" t="s">
        <v>3320</v>
      </c>
      <c r="RCC45" s="318" t="s">
        <v>3319</v>
      </c>
      <c r="RCD45" s="319" t="s">
        <v>3320</v>
      </c>
      <c r="RCE45" s="318" t="s">
        <v>3319</v>
      </c>
      <c r="RCF45" s="319" t="s">
        <v>3320</v>
      </c>
      <c r="RCG45" s="318" t="s">
        <v>3319</v>
      </c>
      <c r="RCH45" s="319" t="s">
        <v>3320</v>
      </c>
      <c r="RCI45" s="318" t="s">
        <v>3319</v>
      </c>
      <c r="RCJ45" s="319" t="s">
        <v>3320</v>
      </c>
      <c r="RCK45" s="318" t="s">
        <v>3319</v>
      </c>
      <c r="RCL45" s="319" t="s">
        <v>3320</v>
      </c>
      <c r="RCM45" s="318" t="s">
        <v>3319</v>
      </c>
      <c r="RCN45" s="319" t="s">
        <v>3320</v>
      </c>
      <c r="RCO45" s="318" t="s">
        <v>3319</v>
      </c>
      <c r="RCP45" s="319" t="s">
        <v>3320</v>
      </c>
      <c r="RCQ45" s="318" t="s">
        <v>3319</v>
      </c>
      <c r="RCR45" s="319" t="s">
        <v>3320</v>
      </c>
      <c r="RCS45" s="318" t="s">
        <v>3319</v>
      </c>
      <c r="RCT45" s="319" t="s">
        <v>3320</v>
      </c>
      <c r="RCU45" s="318" t="s">
        <v>3319</v>
      </c>
      <c r="RCV45" s="319" t="s">
        <v>3320</v>
      </c>
      <c r="RCW45" s="318" t="s">
        <v>3319</v>
      </c>
      <c r="RCX45" s="319" t="s">
        <v>3320</v>
      </c>
      <c r="RCY45" s="318" t="s">
        <v>3319</v>
      </c>
      <c r="RCZ45" s="319" t="s">
        <v>3320</v>
      </c>
      <c r="RDA45" s="318" t="s">
        <v>3319</v>
      </c>
      <c r="RDB45" s="319" t="s">
        <v>3320</v>
      </c>
      <c r="RDC45" s="318" t="s">
        <v>3319</v>
      </c>
      <c r="RDD45" s="319" t="s">
        <v>3320</v>
      </c>
      <c r="RDE45" s="318" t="s">
        <v>3319</v>
      </c>
      <c r="RDF45" s="319" t="s">
        <v>3320</v>
      </c>
      <c r="RDG45" s="318" t="s">
        <v>3319</v>
      </c>
      <c r="RDH45" s="319" t="s">
        <v>3320</v>
      </c>
      <c r="RDI45" s="318" t="s">
        <v>3319</v>
      </c>
      <c r="RDJ45" s="319" t="s">
        <v>3320</v>
      </c>
      <c r="RDK45" s="318" t="s">
        <v>3319</v>
      </c>
      <c r="RDL45" s="319" t="s">
        <v>3320</v>
      </c>
      <c r="RDM45" s="318" t="s">
        <v>3319</v>
      </c>
      <c r="RDN45" s="319" t="s">
        <v>3320</v>
      </c>
      <c r="RDO45" s="318" t="s">
        <v>3319</v>
      </c>
      <c r="RDP45" s="319" t="s">
        <v>3320</v>
      </c>
      <c r="RDQ45" s="318" t="s">
        <v>3319</v>
      </c>
      <c r="RDR45" s="319" t="s">
        <v>3320</v>
      </c>
      <c r="RDS45" s="318" t="s">
        <v>3319</v>
      </c>
      <c r="RDT45" s="319" t="s">
        <v>3320</v>
      </c>
      <c r="RDU45" s="318" t="s">
        <v>3319</v>
      </c>
      <c r="RDV45" s="319" t="s">
        <v>3320</v>
      </c>
      <c r="RDW45" s="318" t="s">
        <v>3319</v>
      </c>
      <c r="RDX45" s="319" t="s">
        <v>3320</v>
      </c>
      <c r="RDY45" s="318" t="s">
        <v>3319</v>
      </c>
      <c r="RDZ45" s="319" t="s">
        <v>3320</v>
      </c>
      <c r="REA45" s="318" t="s">
        <v>3319</v>
      </c>
      <c r="REB45" s="319" t="s">
        <v>3320</v>
      </c>
      <c r="REC45" s="318" t="s">
        <v>3319</v>
      </c>
      <c r="RED45" s="319" t="s">
        <v>3320</v>
      </c>
      <c r="REE45" s="318" t="s">
        <v>3319</v>
      </c>
      <c r="REF45" s="319" t="s">
        <v>3320</v>
      </c>
      <c r="REG45" s="318" t="s">
        <v>3319</v>
      </c>
      <c r="REH45" s="319" t="s">
        <v>3320</v>
      </c>
      <c r="REI45" s="318" t="s">
        <v>3319</v>
      </c>
      <c r="REJ45" s="319" t="s">
        <v>3320</v>
      </c>
      <c r="REK45" s="318" t="s">
        <v>3319</v>
      </c>
      <c r="REL45" s="319" t="s">
        <v>3320</v>
      </c>
      <c r="REM45" s="318" t="s">
        <v>3319</v>
      </c>
      <c r="REN45" s="319" t="s">
        <v>3320</v>
      </c>
      <c r="REO45" s="318" t="s">
        <v>3319</v>
      </c>
      <c r="REP45" s="319" t="s">
        <v>3320</v>
      </c>
      <c r="REQ45" s="318" t="s">
        <v>3319</v>
      </c>
      <c r="RER45" s="319" t="s">
        <v>3320</v>
      </c>
      <c r="RES45" s="318" t="s">
        <v>3319</v>
      </c>
      <c r="RET45" s="319" t="s">
        <v>3320</v>
      </c>
      <c r="REU45" s="318" t="s">
        <v>3319</v>
      </c>
      <c r="REV45" s="319" t="s">
        <v>3320</v>
      </c>
      <c r="REW45" s="318" t="s">
        <v>3319</v>
      </c>
      <c r="REX45" s="319" t="s">
        <v>3320</v>
      </c>
      <c r="REY45" s="318" t="s">
        <v>3319</v>
      </c>
      <c r="REZ45" s="319" t="s">
        <v>3320</v>
      </c>
      <c r="RFA45" s="318" t="s">
        <v>3319</v>
      </c>
      <c r="RFB45" s="319" t="s">
        <v>3320</v>
      </c>
      <c r="RFC45" s="318" t="s">
        <v>3319</v>
      </c>
      <c r="RFD45" s="319" t="s">
        <v>3320</v>
      </c>
      <c r="RFE45" s="318" t="s">
        <v>3319</v>
      </c>
      <c r="RFF45" s="319" t="s">
        <v>3320</v>
      </c>
      <c r="RFG45" s="318" t="s">
        <v>3319</v>
      </c>
      <c r="RFH45" s="319" t="s">
        <v>3320</v>
      </c>
      <c r="RFI45" s="318" t="s">
        <v>3319</v>
      </c>
      <c r="RFJ45" s="319" t="s">
        <v>3320</v>
      </c>
      <c r="RFK45" s="318" t="s">
        <v>3319</v>
      </c>
      <c r="RFL45" s="319" t="s">
        <v>3320</v>
      </c>
      <c r="RFM45" s="318" t="s">
        <v>3319</v>
      </c>
      <c r="RFN45" s="319" t="s">
        <v>3320</v>
      </c>
      <c r="RFO45" s="318" t="s">
        <v>3319</v>
      </c>
      <c r="RFP45" s="319" t="s">
        <v>3320</v>
      </c>
      <c r="RFQ45" s="318" t="s">
        <v>3319</v>
      </c>
      <c r="RFR45" s="319" t="s">
        <v>3320</v>
      </c>
      <c r="RFS45" s="318" t="s">
        <v>3319</v>
      </c>
      <c r="RFT45" s="319" t="s">
        <v>3320</v>
      </c>
      <c r="RFU45" s="318" t="s">
        <v>3319</v>
      </c>
      <c r="RFV45" s="319" t="s">
        <v>3320</v>
      </c>
      <c r="RFW45" s="318" t="s">
        <v>3319</v>
      </c>
      <c r="RFX45" s="319" t="s">
        <v>3320</v>
      </c>
      <c r="RFY45" s="318" t="s">
        <v>3319</v>
      </c>
      <c r="RFZ45" s="319" t="s">
        <v>3320</v>
      </c>
      <c r="RGA45" s="318" t="s">
        <v>3319</v>
      </c>
      <c r="RGB45" s="319" t="s">
        <v>3320</v>
      </c>
      <c r="RGC45" s="318" t="s">
        <v>3319</v>
      </c>
      <c r="RGD45" s="319" t="s">
        <v>3320</v>
      </c>
      <c r="RGE45" s="318" t="s">
        <v>3319</v>
      </c>
      <c r="RGF45" s="319" t="s">
        <v>3320</v>
      </c>
      <c r="RGG45" s="318" t="s">
        <v>3319</v>
      </c>
      <c r="RGH45" s="319" t="s">
        <v>3320</v>
      </c>
      <c r="RGI45" s="318" t="s">
        <v>3319</v>
      </c>
      <c r="RGJ45" s="319" t="s">
        <v>3320</v>
      </c>
      <c r="RGK45" s="318" t="s">
        <v>3319</v>
      </c>
      <c r="RGL45" s="319" t="s">
        <v>3320</v>
      </c>
      <c r="RGM45" s="318" t="s">
        <v>3319</v>
      </c>
      <c r="RGN45" s="319" t="s">
        <v>3320</v>
      </c>
      <c r="RGO45" s="318" t="s">
        <v>3319</v>
      </c>
      <c r="RGP45" s="319" t="s">
        <v>3320</v>
      </c>
      <c r="RGQ45" s="318" t="s">
        <v>3319</v>
      </c>
      <c r="RGR45" s="319" t="s">
        <v>3320</v>
      </c>
      <c r="RGS45" s="318" t="s">
        <v>3319</v>
      </c>
      <c r="RGT45" s="319" t="s">
        <v>3320</v>
      </c>
      <c r="RGU45" s="318" t="s">
        <v>3319</v>
      </c>
      <c r="RGV45" s="319" t="s">
        <v>3320</v>
      </c>
      <c r="RGW45" s="318" t="s">
        <v>3319</v>
      </c>
      <c r="RGX45" s="319" t="s">
        <v>3320</v>
      </c>
      <c r="RGY45" s="318" t="s">
        <v>3319</v>
      </c>
      <c r="RGZ45" s="319" t="s">
        <v>3320</v>
      </c>
      <c r="RHA45" s="318" t="s">
        <v>3319</v>
      </c>
      <c r="RHB45" s="319" t="s">
        <v>3320</v>
      </c>
      <c r="RHC45" s="318" t="s">
        <v>3319</v>
      </c>
      <c r="RHD45" s="319" t="s">
        <v>3320</v>
      </c>
      <c r="RHE45" s="318" t="s">
        <v>3319</v>
      </c>
      <c r="RHF45" s="319" t="s">
        <v>3320</v>
      </c>
      <c r="RHG45" s="318" t="s">
        <v>3319</v>
      </c>
      <c r="RHH45" s="319" t="s">
        <v>3320</v>
      </c>
      <c r="RHI45" s="318" t="s">
        <v>3319</v>
      </c>
      <c r="RHJ45" s="319" t="s">
        <v>3320</v>
      </c>
      <c r="RHK45" s="318" t="s">
        <v>3319</v>
      </c>
      <c r="RHL45" s="319" t="s">
        <v>3320</v>
      </c>
      <c r="RHM45" s="318" t="s">
        <v>3319</v>
      </c>
      <c r="RHN45" s="319" t="s">
        <v>3320</v>
      </c>
      <c r="RHO45" s="318" t="s">
        <v>3319</v>
      </c>
      <c r="RHP45" s="319" t="s">
        <v>3320</v>
      </c>
      <c r="RHQ45" s="318" t="s">
        <v>3319</v>
      </c>
      <c r="RHR45" s="319" t="s">
        <v>3320</v>
      </c>
      <c r="RHS45" s="318" t="s">
        <v>3319</v>
      </c>
      <c r="RHT45" s="319" t="s">
        <v>3320</v>
      </c>
      <c r="RHU45" s="318" t="s">
        <v>3319</v>
      </c>
      <c r="RHV45" s="319" t="s">
        <v>3320</v>
      </c>
      <c r="RHW45" s="318" t="s">
        <v>3319</v>
      </c>
      <c r="RHX45" s="319" t="s">
        <v>3320</v>
      </c>
      <c r="RHY45" s="318" t="s">
        <v>3319</v>
      </c>
      <c r="RHZ45" s="319" t="s">
        <v>3320</v>
      </c>
      <c r="RIA45" s="318" t="s">
        <v>3319</v>
      </c>
      <c r="RIB45" s="319" t="s">
        <v>3320</v>
      </c>
      <c r="RIC45" s="318" t="s">
        <v>3319</v>
      </c>
      <c r="RID45" s="319" t="s">
        <v>3320</v>
      </c>
      <c r="RIE45" s="318" t="s">
        <v>3319</v>
      </c>
      <c r="RIF45" s="319" t="s">
        <v>3320</v>
      </c>
      <c r="RIG45" s="318" t="s">
        <v>3319</v>
      </c>
      <c r="RIH45" s="319" t="s">
        <v>3320</v>
      </c>
      <c r="RII45" s="318" t="s">
        <v>3319</v>
      </c>
      <c r="RIJ45" s="319" t="s">
        <v>3320</v>
      </c>
      <c r="RIK45" s="318" t="s">
        <v>3319</v>
      </c>
      <c r="RIL45" s="319" t="s">
        <v>3320</v>
      </c>
      <c r="RIM45" s="318" t="s">
        <v>3319</v>
      </c>
      <c r="RIN45" s="319" t="s">
        <v>3320</v>
      </c>
      <c r="RIO45" s="318" t="s">
        <v>3319</v>
      </c>
      <c r="RIP45" s="319" t="s">
        <v>3320</v>
      </c>
      <c r="RIQ45" s="318" t="s">
        <v>3319</v>
      </c>
      <c r="RIR45" s="319" t="s">
        <v>3320</v>
      </c>
      <c r="RIS45" s="318" t="s">
        <v>3319</v>
      </c>
      <c r="RIT45" s="319" t="s">
        <v>3320</v>
      </c>
      <c r="RIU45" s="318" t="s">
        <v>3319</v>
      </c>
      <c r="RIV45" s="319" t="s">
        <v>3320</v>
      </c>
      <c r="RIW45" s="318" t="s">
        <v>3319</v>
      </c>
      <c r="RIX45" s="319" t="s">
        <v>3320</v>
      </c>
      <c r="RIY45" s="318" t="s">
        <v>3319</v>
      </c>
      <c r="RIZ45" s="319" t="s">
        <v>3320</v>
      </c>
      <c r="RJA45" s="318" t="s">
        <v>3319</v>
      </c>
      <c r="RJB45" s="319" t="s">
        <v>3320</v>
      </c>
      <c r="RJC45" s="318" t="s">
        <v>3319</v>
      </c>
      <c r="RJD45" s="319" t="s">
        <v>3320</v>
      </c>
      <c r="RJE45" s="318" t="s">
        <v>3319</v>
      </c>
      <c r="RJF45" s="319" t="s">
        <v>3320</v>
      </c>
      <c r="RJG45" s="318" t="s">
        <v>3319</v>
      </c>
      <c r="RJH45" s="319" t="s">
        <v>3320</v>
      </c>
      <c r="RJI45" s="318" t="s">
        <v>3319</v>
      </c>
      <c r="RJJ45" s="319" t="s">
        <v>3320</v>
      </c>
      <c r="RJK45" s="318" t="s">
        <v>3319</v>
      </c>
      <c r="RJL45" s="319" t="s">
        <v>3320</v>
      </c>
      <c r="RJM45" s="318" t="s">
        <v>3319</v>
      </c>
      <c r="RJN45" s="319" t="s">
        <v>3320</v>
      </c>
      <c r="RJO45" s="318" t="s">
        <v>3319</v>
      </c>
      <c r="RJP45" s="319" t="s">
        <v>3320</v>
      </c>
      <c r="RJQ45" s="318" t="s">
        <v>3319</v>
      </c>
      <c r="RJR45" s="319" t="s">
        <v>3320</v>
      </c>
      <c r="RJS45" s="318" t="s">
        <v>3319</v>
      </c>
      <c r="RJT45" s="319" t="s">
        <v>3320</v>
      </c>
      <c r="RJU45" s="318" t="s">
        <v>3319</v>
      </c>
      <c r="RJV45" s="319" t="s">
        <v>3320</v>
      </c>
      <c r="RJW45" s="318" t="s">
        <v>3319</v>
      </c>
      <c r="RJX45" s="319" t="s">
        <v>3320</v>
      </c>
      <c r="RJY45" s="318" t="s">
        <v>3319</v>
      </c>
      <c r="RJZ45" s="319" t="s">
        <v>3320</v>
      </c>
      <c r="RKA45" s="318" t="s">
        <v>3319</v>
      </c>
      <c r="RKB45" s="319" t="s">
        <v>3320</v>
      </c>
      <c r="RKC45" s="318" t="s">
        <v>3319</v>
      </c>
      <c r="RKD45" s="319" t="s">
        <v>3320</v>
      </c>
      <c r="RKE45" s="318" t="s">
        <v>3319</v>
      </c>
      <c r="RKF45" s="319" t="s">
        <v>3320</v>
      </c>
      <c r="RKG45" s="318" t="s">
        <v>3319</v>
      </c>
      <c r="RKH45" s="319" t="s">
        <v>3320</v>
      </c>
      <c r="RKI45" s="318" t="s">
        <v>3319</v>
      </c>
      <c r="RKJ45" s="319" t="s">
        <v>3320</v>
      </c>
      <c r="RKK45" s="318" t="s">
        <v>3319</v>
      </c>
      <c r="RKL45" s="319" t="s">
        <v>3320</v>
      </c>
      <c r="RKM45" s="318" t="s">
        <v>3319</v>
      </c>
      <c r="RKN45" s="319" t="s">
        <v>3320</v>
      </c>
      <c r="RKO45" s="318" t="s">
        <v>3319</v>
      </c>
      <c r="RKP45" s="319" t="s">
        <v>3320</v>
      </c>
      <c r="RKQ45" s="318" t="s">
        <v>3319</v>
      </c>
      <c r="RKR45" s="319" t="s">
        <v>3320</v>
      </c>
      <c r="RKS45" s="318" t="s">
        <v>3319</v>
      </c>
      <c r="RKT45" s="319" t="s">
        <v>3320</v>
      </c>
      <c r="RKU45" s="318" t="s">
        <v>3319</v>
      </c>
      <c r="RKV45" s="319" t="s">
        <v>3320</v>
      </c>
      <c r="RKW45" s="318" t="s">
        <v>3319</v>
      </c>
      <c r="RKX45" s="319" t="s">
        <v>3320</v>
      </c>
      <c r="RKY45" s="318" t="s">
        <v>3319</v>
      </c>
      <c r="RKZ45" s="319" t="s">
        <v>3320</v>
      </c>
      <c r="RLA45" s="318" t="s">
        <v>3319</v>
      </c>
      <c r="RLB45" s="319" t="s">
        <v>3320</v>
      </c>
      <c r="RLC45" s="318" t="s">
        <v>3319</v>
      </c>
      <c r="RLD45" s="319" t="s">
        <v>3320</v>
      </c>
      <c r="RLE45" s="318" t="s">
        <v>3319</v>
      </c>
      <c r="RLF45" s="319" t="s">
        <v>3320</v>
      </c>
      <c r="RLG45" s="318" t="s">
        <v>3319</v>
      </c>
      <c r="RLH45" s="319" t="s">
        <v>3320</v>
      </c>
      <c r="RLI45" s="318" t="s">
        <v>3319</v>
      </c>
      <c r="RLJ45" s="319" t="s">
        <v>3320</v>
      </c>
      <c r="RLK45" s="318" t="s">
        <v>3319</v>
      </c>
      <c r="RLL45" s="319" t="s">
        <v>3320</v>
      </c>
      <c r="RLM45" s="318" t="s">
        <v>3319</v>
      </c>
      <c r="RLN45" s="319" t="s">
        <v>3320</v>
      </c>
      <c r="RLO45" s="318" t="s">
        <v>3319</v>
      </c>
      <c r="RLP45" s="319" t="s">
        <v>3320</v>
      </c>
      <c r="RLQ45" s="318" t="s">
        <v>3319</v>
      </c>
      <c r="RLR45" s="319" t="s">
        <v>3320</v>
      </c>
      <c r="RLS45" s="318" t="s">
        <v>3319</v>
      </c>
      <c r="RLT45" s="319" t="s">
        <v>3320</v>
      </c>
      <c r="RLU45" s="318" t="s">
        <v>3319</v>
      </c>
      <c r="RLV45" s="319" t="s">
        <v>3320</v>
      </c>
      <c r="RLW45" s="318" t="s">
        <v>3319</v>
      </c>
      <c r="RLX45" s="319" t="s">
        <v>3320</v>
      </c>
      <c r="RLY45" s="318" t="s">
        <v>3319</v>
      </c>
      <c r="RLZ45" s="319" t="s">
        <v>3320</v>
      </c>
      <c r="RMA45" s="318" t="s">
        <v>3319</v>
      </c>
      <c r="RMB45" s="319" t="s">
        <v>3320</v>
      </c>
      <c r="RMC45" s="318" t="s">
        <v>3319</v>
      </c>
      <c r="RMD45" s="319" t="s">
        <v>3320</v>
      </c>
      <c r="RME45" s="318" t="s">
        <v>3319</v>
      </c>
      <c r="RMF45" s="319" t="s">
        <v>3320</v>
      </c>
      <c r="RMG45" s="318" t="s">
        <v>3319</v>
      </c>
      <c r="RMH45" s="319" t="s">
        <v>3320</v>
      </c>
      <c r="RMI45" s="318" t="s">
        <v>3319</v>
      </c>
      <c r="RMJ45" s="319" t="s">
        <v>3320</v>
      </c>
      <c r="RMK45" s="318" t="s">
        <v>3319</v>
      </c>
      <c r="RML45" s="319" t="s">
        <v>3320</v>
      </c>
      <c r="RMM45" s="318" t="s">
        <v>3319</v>
      </c>
      <c r="RMN45" s="319" t="s">
        <v>3320</v>
      </c>
      <c r="RMO45" s="318" t="s">
        <v>3319</v>
      </c>
      <c r="RMP45" s="319" t="s">
        <v>3320</v>
      </c>
      <c r="RMQ45" s="318" t="s">
        <v>3319</v>
      </c>
      <c r="RMR45" s="319" t="s">
        <v>3320</v>
      </c>
      <c r="RMS45" s="318" t="s">
        <v>3319</v>
      </c>
      <c r="RMT45" s="319" t="s">
        <v>3320</v>
      </c>
      <c r="RMU45" s="318" t="s">
        <v>3319</v>
      </c>
      <c r="RMV45" s="319" t="s">
        <v>3320</v>
      </c>
      <c r="RMW45" s="318" t="s">
        <v>3319</v>
      </c>
      <c r="RMX45" s="319" t="s">
        <v>3320</v>
      </c>
      <c r="RMY45" s="318" t="s">
        <v>3319</v>
      </c>
      <c r="RMZ45" s="319" t="s">
        <v>3320</v>
      </c>
      <c r="RNA45" s="318" t="s">
        <v>3319</v>
      </c>
      <c r="RNB45" s="319" t="s">
        <v>3320</v>
      </c>
      <c r="RNC45" s="318" t="s">
        <v>3319</v>
      </c>
      <c r="RND45" s="319" t="s">
        <v>3320</v>
      </c>
      <c r="RNE45" s="318" t="s">
        <v>3319</v>
      </c>
      <c r="RNF45" s="319" t="s">
        <v>3320</v>
      </c>
      <c r="RNG45" s="318" t="s">
        <v>3319</v>
      </c>
      <c r="RNH45" s="319" t="s">
        <v>3320</v>
      </c>
      <c r="RNI45" s="318" t="s">
        <v>3319</v>
      </c>
      <c r="RNJ45" s="319" t="s">
        <v>3320</v>
      </c>
      <c r="RNK45" s="318" t="s">
        <v>3319</v>
      </c>
      <c r="RNL45" s="319" t="s">
        <v>3320</v>
      </c>
      <c r="RNM45" s="318" t="s">
        <v>3319</v>
      </c>
      <c r="RNN45" s="319" t="s">
        <v>3320</v>
      </c>
      <c r="RNO45" s="318" t="s">
        <v>3319</v>
      </c>
      <c r="RNP45" s="319" t="s">
        <v>3320</v>
      </c>
      <c r="RNQ45" s="318" t="s">
        <v>3319</v>
      </c>
      <c r="RNR45" s="319" t="s">
        <v>3320</v>
      </c>
      <c r="RNS45" s="318" t="s">
        <v>3319</v>
      </c>
      <c r="RNT45" s="319" t="s">
        <v>3320</v>
      </c>
      <c r="RNU45" s="318" t="s">
        <v>3319</v>
      </c>
      <c r="RNV45" s="319" t="s">
        <v>3320</v>
      </c>
      <c r="RNW45" s="318" t="s">
        <v>3319</v>
      </c>
      <c r="RNX45" s="319" t="s">
        <v>3320</v>
      </c>
      <c r="RNY45" s="318" t="s">
        <v>3319</v>
      </c>
      <c r="RNZ45" s="319" t="s">
        <v>3320</v>
      </c>
      <c r="ROA45" s="318" t="s">
        <v>3319</v>
      </c>
      <c r="ROB45" s="319" t="s">
        <v>3320</v>
      </c>
      <c r="ROC45" s="318" t="s">
        <v>3319</v>
      </c>
      <c r="ROD45" s="319" t="s">
        <v>3320</v>
      </c>
      <c r="ROE45" s="318" t="s">
        <v>3319</v>
      </c>
      <c r="ROF45" s="319" t="s">
        <v>3320</v>
      </c>
      <c r="ROG45" s="318" t="s">
        <v>3319</v>
      </c>
      <c r="ROH45" s="319" t="s">
        <v>3320</v>
      </c>
      <c r="ROI45" s="318" t="s">
        <v>3319</v>
      </c>
      <c r="ROJ45" s="319" t="s">
        <v>3320</v>
      </c>
      <c r="ROK45" s="318" t="s">
        <v>3319</v>
      </c>
      <c r="ROL45" s="319" t="s">
        <v>3320</v>
      </c>
      <c r="ROM45" s="318" t="s">
        <v>3319</v>
      </c>
      <c r="RON45" s="319" t="s">
        <v>3320</v>
      </c>
      <c r="ROO45" s="318" t="s">
        <v>3319</v>
      </c>
      <c r="ROP45" s="319" t="s">
        <v>3320</v>
      </c>
      <c r="ROQ45" s="318" t="s">
        <v>3319</v>
      </c>
      <c r="ROR45" s="319" t="s">
        <v>3320</v>
      </c>
      <c r="ROS45" s="318" t="s">
        <v>3319</v>
      </c>
      <c r="ROT45" s="319" t="s">
        <v>3320</v>
      </c>
      <c r="ROU45" s="318" t="s">
        <v>3319</v>
      </c>
      <c r="ROV45" s="319" t="s">
        <v>3320</v>
      </c>
      <c r="ROW45" s="318" t="s">
        <v>3319</v>
      </c>
      <c r="ROX45" s="319" t="s">
        <v>3320</v>
      </c>
      <c r="ROY45" s="318" t="s">
        <v>3319</v>
      </c>
      <c r="ROZ45" s="319" t="s">
        <v>3320</v>
      </c>
      <c r="RPA45" s="318" t="s">
        <v>3319</v>
      </c>
      <c r="RPB45" s="319" t="s">
        <v>3320</v>
      </c>
      <c r="RPC45" s="318" t="s">
        <v>3319</v>
      </c>
      <c r="RPD45" s="319" t="s">
        <v>3320</v>
      </c>
      <c r="RPE45" s="318" t="s">
        <v>3319</v>
      </c>
      <c r="RPF45" s="319" t="s">
        <v>3320</v>
      </c>
      <c r="RPG45" s="318" t="s">
        <v>3319</v>
      </c>
      <c r="RPH45" s="319" t="s">
        <v>3320</v>
      </c>
      <c r="RPI45" s="318" t="s">
        <v>3319</v>
      </c>
      <c r="RPJ45" s="319" t="s">
        <v>3320</v>
      </c>
      <c r="RPK45" s="318" t="s">
        <v>3319</v>
      </c>
      <c r="RPL45" s="319" t="s">
        <v>3320</v>
      </c>
      <c r="RPM45" s="318" t="s">
        <v>3319</v>
      </c>
      <c r="RPN45" s="319" t="s">
        <v>3320</v>
      </c>
      <c r="RPO45" s="318" t="s">
        <v>3319</v>
      </c>
      <c r="RPP45" s="319" t="s">
        <v>3320</v>
      </c>
      <c r="RPQ45" s="318" t="s">
        <v>3319</v>
      </c>
      <c r="RPR45" s="319" t="s">
        <v>3320</v>
      </c>
      <c r="RPS45" s="318" t="s">
        <v>3319</v>
      </c>
      <c r="RPT45" s="319" t="s">
        <v>3320</v>
      </c>
      <c r="RPU45" s="318" t="s">
        <v>3319</v>
      </c>
      <c r="RPV45" s="319" t="s">
        <v>3320</v>
      </c>
      <c r="RPW45" s="318" t="s">
        <v>3319</v>
      </c>
      <c r="RPX45" s="319" t="s">
        <v>3320</v>
      </c>
      <c r="RPY45" s="318" t="s">
        <v>3319</v>
      </c>
      <c r="RPZ45" s="319" t="s">
        <v>3320</v>
      </c>
      <c r="RQA45" s="318" t="s">
        <v>3319</v>
      </c>
      <c r="RQB45" s="319" t="s">
        <v>3320</v>
      </c>
      <c r="RQC45" s="318" t="s">
        <v>3319</v>
      </c>
      <c r="RQD45" s="319" t="s">
        <v>3320</v>
      </c>
      <c r="RQE45" s="318" t="s">
        <v>3319</v>
      </c>
      <c r="RQF45" s="319" t="s">
        <v>3320</v>
      </c>
      <c r="RQG45" s="318" t="s">
        <v>3319</v>
      </c>
      <c r="RQH45" s="319" t="s">
        <v>3320</v>
      </c>
      <c r="RQI45" s="318" t="s">
        <v>3319</v>
      </c>
      <c r="RQJ45" s="319" t="s">
        <v>3320</v>
      </c>
      <c r="RQK45" s="318" t="s">
        <v>3319</v>
      </c>
      <c r="RQL45" s="319" t="s">
        <v>3320</v>
      </c>
      <c r="RQM45" s="318" t="s">
        <v>3319</v>
      </c>
      <c r="RQN45" s="319" t="s">
        <v>3320</v>
      </c>
      <c r="RQO45" s="318" t="s">
        <v>3319</v>
      </c>
      <c r="RQP45" s="319" t="s">
        <v>3320</v>
      </c>
      <c r="RQQ45" s="318" t="s">
        <v>3319</v>
      </c>
      <c r="RQR45" s="319" t="s">
        <v>3320</v>
      </c>
      <c r="RQS45" s="318" t="s">
        <v>3319</v>
      </c>
      <c r="RQT45" s="319" t="s">
        <v>3320</v>
      </c>
      <c r="RQU45" s="318" t="s">
        <v>3319</v>
      </c>
      <c r="RQV45" s="319" t="s">
        <v>3320</v>
      </c>
      <c r="RQW45" s="318" t="s">
        <v>3319</v>
      </c>
      <c r="RQX45" s="319" t="s">
        <v>3320</v>
      </c>
      <c r="RQY45" s="318" t="s">
        <v>3319</v>
      </c>
      <c r="RQZ45" s="319" t="s">
        <v>3320</v>
      </c>
      <c r="RRA45" s="318" t="s">
        <v>3319</v>
      </c>
      <c r="RRB45" s="319" t="s">
        <v>3320</v>
      </c>
      <c r="RRC45" s="318" t="s">
        <v>3319</v>
      </c>
      <c r="RRD45" s="319" t="s">
        <v>3320</v>
      </c>
      <c r="RRE45" s="318" t="s">
        <v>3319</v>
      </c>
      <c r="RRF45" s="319" t="s">
        <v>3320</v>
      </c>
      <c r="RRG45" s="318" t="s">
        <v>3319</v>
      </c>
      <c r="RRH45" s="319" t="s">
        <v>3320</v>
      </c>
      <c r="RRI45" s="318" t="s">
        <v>3319</v>
      </c>
      <c r="RRJ45" s="319" t="s">
        <v>3320</v>
      </c>
      <c r="RRK45" s="318" t="s">
        <v>3319</v>
      </c>
      <c r="RRL45" s="319" t="s">
        <v>3320</v>
      </c>
      <c r="RRM45" s="318" t="s">
        <v>3319</v>
      </c>
      <c r="RRN45" s="319" t="s">
        <v>3320</v>
      </c>
      <c r="RRO45" s="318" t="s">
        <v>3319</v>
      </c>
      <c r="RRP45" s="319" t="s">
        <v>3320</v>
      </c>
      <c r="RRQ45" s="318" t="s">
        <v>3319</v>
      </c>
      <c r="RRR45" s="319" t="s">
        <v>3320</v>
      </c>
      <c r="RRS45" s="318" t="s">
        <v>3319</v>
      </c>
      <c r="RRT45" s="319" t="s">
        <v>3320</v>
      </c>
      <c r="RRU45" s="318" t="s">
        <v>3319</v>
      </c>
      <c r="RRV45" s="319" t="s">
        <v>3320</v>
      </c>
      <c r="RRW45" s="318" t="s">
        <v>3319</v>
      </c>
      <c r="RRX45" s="319" t="s">
        <v>3320</v>
      </c>
      <c r="RRY45" s="318" t="s">
        <v>3319</v>
      </c>
      <c r="RRZ45" s="319" t="s">
        <v>3320</v>
      </c>
      <c r="RSA45" s="318" t="s">
        <v>3319</v>
      </c>
      <c r="RSB45" s="319" t="s">
        <v>3320</v>
      </c>
      <c r="RSC45" s="318" t="s">
        <v>3319</v>
      </c>
      <c r="RSD45" s="319" t="s">
        <v>3320</v>
      </c>
      <c r="RSE45" s="318" t="s">
        <v>3319</v>
      </c>
      <c r="RSF45" s="319" t="s">
        <v>3320</v>
      </c>
      <c r="RSG45" s="318" t="s">
        <v>3319</v>
      </c>
      <c r="RSH45" s="319" t="s">
        <v>3320</v>
      </c>
      <c r="RSI45" s="318" t="s">
        <v>3319</v>
      </c>
      <c r="RSJ45" s="319" t="s">
        <v>3320</v>
      </c>
      <c r="RSK45" s="318" t="s">
        <v>3319</v>
      </c>
      <c r="RSL45" s="319" t="s">
        <v>3320</v>
      </c>
      <c r="RSM45" s="318" t="s">
        <v>3319</v>
      </c>
      <c r="RSN45" s="319" t="s">
        <v>3320</v>
      </c>
      <c r="RSO45" s="318" t="s">
        <v>3319</v>
      </c>
      <c r="RSP45" s="319" t="s">
        <v>3320</v>
      </c>
      <c r="RSQ45" s="318" t="s">
        <v>3319</v>
      </c>
      <c r="RSR45" s="319" t="s">
        <v>3320</v>
      </c>
      <c r="RSS45" s="318" t="s">
        <v>3319</v>
      </c>
      <c r="RST45" s="319" t="s">
        <v>3320</v>
      </c>
      <c r="RSU45" s="318" t="s">
        <v>3319</v>
      </c>
      <c r="RSV45" s="319" t="s">
        <v>3320</v>
      </c>
      <c r="RSW45" s="318" t="s">
        <v>3319</v>
      </c>
      <c r="RSX45" s="319" t="s">
        <v>3320</v>
      </c>
      <c r="RSY45" s="318" t="s">
        <v>3319</v>
      </c>
      <c r="RSZ45" s="319" t="s">
        <v>3320</v>
      </c>
      <c r="RTA45" s="318" t="s">
        <v>3319</v>
      </c>
      <c r="RTB45" s="319" t="s">
        <v>3320</v>
      </c>
      <c r="RTC45" s="318" t="s">
        <v>3319</v>
      </c>
      <c r="RTD45" s="319" t="s">
        <v>3320</v>
      </c>
      <c r="RTE45" s="318" t="s">
        <v>3319</v>
      </c>
      <c r="RTF45" s="319" t="s">
        <v>3320</v>
      </c>
      <c r="RTG45" s="318" t="s">
        <v>3319</v>
      </c>
      <c r="RTH45" s="319" t="s">
        <v>3320</v>
      </c>
      <c r="RTI45" s="318" t="s">
        <v>3319</v>
      </c>
      <c r="RTJ45" s="319" t="s">
        <v>3320</v>
      </c>
      <c r="RTK45" s="318" t="s">
        <v>3319</v>
      </c>
      <c r="RTL45" s="319" t="s">
        <v>3320</v>
      </c>
      <c r="RTM45" s="318" t="s">
        <v>3319</v>
      </c>
      <c r="RTN45" s="319" t="s">
        <v>3320</v>
      </c>
      <c r="RTO45" s="318" t="s">
        <v>3319</v>
      </c>
      <c r="RTP45" s="319" t="s">
        <v>3320</v>
      </c>
      <c r="RTQ45" s="318" t="s">
        <v>3319</v>
      </c>
      <c r="RTR45" s="319" t="s">
        <v>3320</v>
      </c>
      <c r="RTS45" s="318" t="s">
        <v>3319</v>
      </c>
      <c r="RTT45" s="319" t="s">
        <v>3320</v>
      </c>
      <c r="RTU45" s="318" t="s">
        <v>3319</v>
      </c>
      <c r="RTV45" s="319" t="s">
        <v>3320</v>
      </c>
      <c r="RTW45" s="318" t="s">
        <v>3319</v>
      </c>
      <c r="RTX45" s="319" t="s">
        <v>3320</v>
      </c>
      <c r="RTY45" s="318" t="s">
        <v>3319</v>
      </c>
      <c r="RTZ45" s="319" t="s">
        <v>3320</v>
      </c>
      <c r="RUA45" s="318" t="s">
        <v>3319</v>
      </c>
      <c r="RUB45" s="319" t="s">
        <v>3320</v>
      </c>
      <c r="RUC45" s="318" t="s">
        <v>3319</v>
      </c>
      <c r="RUD45" s="319" t="s">
        <v>3320</v>
      </c>
      <c r="RUE45" s="318" t="s">
        <v>3319</v>
      </c>
      <c r="RUF45" s="319" t="s">
        <v>3320</v>
      </c>
      <c r="RUG45" s="318" t="s">
        <v>3319</v>
      </c>
      <c r="RUH45" s="319" t="s">
        <v>3320</v>
      </c>
      <c r="RUI45" s="318" t="s">
        <v>3319</v>
      </c>
      <c r="RUJ45" s="319" t="s">
        <v>3320</v>
      </c>
      <c r="RUK45" s="318" t="s">
        <v>3319</v>
      </c>
      <c r="RUL45" s="319" t="s">
        <v>3320</v>
      </c>
      <c r="RUM45" s="318" t="s">
        <v>3319</v>
      </c>
      <c r="RUN45" s="319" t="s">
        <v>3320</v>
      </c>
      <c r="RUO45" s="318" t="s">
        <v>3319</v>
      </c>
      <c r="RUP45" s="319" t="s">
        <v>3320</v>
      </c>
      <c r="RUQ45" s="318" t="s">
        <v>3319</v>
      </c>
      <c r="RUR45" s="319" t="s">
        <v>3320</v>
      </c>
      <c r="RUS45" s="318" t="s">
        <v>3319</v>
      </c>
      <c r="RUT45" s="319" t="s">
        <v>3320</v>
      </c>
      <c r="RUU45" s="318" t="s">
        <v>3319</v>
      </c>
      <c r="RUV45" s="319" t="s">
        <v>3320</v>
      </c>
      <c r="RUW45" s="318" t="s">
        <v>3319</v>
      </c>
      <c r="RUX45" s="319" t="s">
        <v>3320</v>
      </c>
      <c r="RUY45" s="318" t="s">
        <v>3319</v>
      </c>
      <c r="RUZ45" s="319" t="s">
        <v>3320</v>
      </c>
      <c r="RVA45" s="318" t="s">
        <v>3319</v>
      </c>
      <c r="RVB45" s="319" t="s">
        <v>3320</v>
      </c>
      <c r="RVC45" s="318" t="s">
        <v>3319</v>
      </c>
      <c r="RVD45" s="319" t="s">
        <v>3320</v>
      </c>
      <c r="RVE45" s="318" t="s">
        <v>3319</v>
      </c>
      <c r="RVF45" s="319" t="s">
        <v>3320</v>
      </c>
      <c r="RVG45" s="318" t="s">
        <v>3319</v>
      </c>
      <c r="RVH45" s="319" t="s">
        <v>3320</v>
      </c>
      <c r="RVI45" s="318" t="s">
        <v>3319</v>
      </c>
      <c r="RVJ45" s="319" t="s">
        <v>3320</v>
      </c>
      <c r="RVK45" s="318" t="s">
        <v>3319</v>
      </c>
      <c r="RVL45" s="319" t="s">
        <v>3320</v>
      </c>
      <c r="RVM45" s="318" t="s">
        <v>3319</v>
      </c>
      <c r="RVN45" s="319" t="s">
        <v>3320</v>
      </c>
      <c r="RVO45" s="318" t="s">
        <v>3319</v>
      </c>
      <c r="RVP45" s="319" t="s">
        <v>3320</v>
      </c>
      <c r="RVQ45" s="318" t="s">
        <v>3319</v>
      </c>
      <c r="RVR45" s="319" t="s">
        <v>3320</v>
      </c>
      <c r="RVS45" s="318" t="s">
        <v>3319</v>
      </c>
      <c r="RVT45" s="319" t="s">
        <v>3320</v>
      </c>
      <c r="RVU45" s="318" t="s">
        <v>3319</v>
      </c>
      <c r="RVV45" s="319" t="s">
        <v>3320</v>
      </c>
      <c r="RVW45" s="318" t="s">
        <v>3319</v>
      </c>
      <c r="RVX45" s="319" t="s">
        <v>3320</v>
      </c>
      <c r="RVY45" s="318" t="s">
        <v>3319</v>
      </c>
      <c r="RVZ45" s="319" t="s">
        <v>3320</v>
      </c>
      <c r="RWA45" s="318" t="s">
        <v>3319</v>
      </c>
      <c r="RWB45" s="319" t="s">
        <v>3320</v>
      </c>
      <c r="RWC45" s="318" t="s">
        <v>3319</v>
      </c>
      <c r="RWD45" s="319" t="s">
        <v>3320</v>
      </c>
      <c r="RWE45" s="318" t="s">
        <v>3319</v>
      </c>
      <c r="RWF45" s="319" t="s">
        <v>3320</v>
      </c>
      <c r="RWG45" s="318" t="s">
        <v>3319</v>
      </c>
      <c r="RWH45" s="319" t="s">
        <v>3320</v>
      </c>
      <c r="RWI45" s="318" t="s">
        <v>3319</v>
      </c>
      <c r="RWJ45" s="319" t="s">
        <v>3320</v>
      </c>
      <c r="RWK45" s="318" t="s">
        <v>3319</v>
      </c>
      <c r="RWL45" s="319" t="s">
        <v>3320</v>
      </c>
      <c r="RWM45" s="318" t="s">
        <v>3319</v>
      </c>
      <c r="RWN45" s="319" t="s">
        <v>3320</v>
      </c>
      <c r="RWO45" s="318" t="s">
        <v>3319</v>
      </c>
      <c r="RWP45" s="319" t="s">
        <v>3320</v>
      </c>
      <c r="RWQ45" s="318" t="s">
        <v>3319</v>
      </c>
      <c r="RWR45" s="319" t="s">
        <v>3320</v>
      </c>
      <c r="RWS45" s="318" t="s">
        <v>3319</v>
      </c>
      <c r="RWT45" s="319" t="s">
        <v>3320</v>
      </c>
      <c r="RWU45" s="318" t="s">
        <v>3319</v>
      </c>
      <c r="RWV45" s="319" t="s">
        <v>3320</v>
      </c>
      <c r="RWW45" s="318" t="s">
        <v>3319</v>
      </c>
      <c r="RWX45" s="319" t="s">
        <v>3320</v>
      </c>
      <c r="RWY45" s="318" t="s">
        <v>3319</v>
      </c>
      <c r="RWZ45" s="319" t="s">
        <v>3320</v>
      </c>
      <c r="RXA45" s="318" t="s">
        <v>3319</v>
      </c>
      <c r="RXB45" s="319" t="s">
        <v>3320</v>
      </c>
      <c r="RXC45" s="318" t="s">
        <v>3319</v>
      </c>
      <c r="RXD45" s="319" t="s">
        <v>3320</v>
      </c>
      <c r="RXE45" s="318" t="s">
        <v>3319</v>
      </c>
      <c r="RXF45" s="319" t="s">
        <v>3320</v>
      </c>
      <c r="RXG45" s="318" t="s">
        <v>3319</v>
      </c>
      <c r="RXH45" s="319" t="s">
        <v>3320</v>
      </c>
      <c r="RXI45" s="318" t="s">
        <v>3319</v>
      </c>
      <c r="RXJ45" s="319" t="s">
        <v>3320</v>
      </c>
      <c r="RXK45" s="318" t="s">
        <v>3319</v>
      </c>
      <c r="RXL45" s="319" t="s">
        <v>3320</v>
      </c>
      <c r="RXM45" s="318" t="s">
        <v>3319</v>
      </c>
      <c r="RXN45" s="319" t="s">
        <v>3320</v>
      </c>
      <c r="RXO45" s="318" t="s">
        <v>3319</v>
      </c>
      <c r="RXP45" s="319" t="s">
        <v>3320</v>
      </c>
      <c r="RXQ45" s="318" t="s">
        <v>3319</v>
      </c>
      <c r="RXR45" s="319" t="s">
        <v>3320</v>
      </c>
      <c r="RXS45" s="318" t="s">
        <v>3319</v>
      </c>
      <c r="RXT45" s="319" t="s">
        <v>3320</v>
      </c>
      <c r="RXU45" s="318" t="s">
        <v>3319</v>
      </c>
      <c r="RXV45" s="319" t="s">
        <v>3320</v>
      </c>
      <c r="RXW45" s="318" t="s">
        <v>3319</v>
      </c>
      <c r="RXX45" s="319" t="s">
        <v>3320</v>
      </c>
      <c r="RXY45" s="318" t="s">
        <v>3319</v>
      </c>
      <c r="RXZ45" s="319" t="s">
        <v>3320</v>
      </c>
      <c r="RYA45" s="318" t="s">
        <v>3319</v>
      </c>
      <c r="RYB45" s="319" t="s">
        <v>3320</v>
      </c>
      <c r="RYC45" s="318" t="s">
        <v>3319</v>
      </c>
      <c r="RYD45" s="319" t="s">
        <v>3320</v>
      </c>
      <c r="RYE45" s="318" t="s">
        <v>3319</v>
      </c>
      <c r="RYF45" s="319" t="s">
        <v>3320</v>
      </c>
      <c r="RYG45" s="318" t="s">
        <v>3319</v>
      </c>
      <c r="RYH45" s="319" t="s">
        <v>3320</v>
      </c>
      <c r="RYI45" s="318" t="s">
        <v>3319</v>
      </c>
      <c r="RYJ45" s="319" t="s">
        <v>3320</v>
      </c>
      <c r="RYK45" s="318" t="s">
        <v>3319</v>
      </c>
      <c r="RYL45" s="319" t="s">
        <v>3320</v>
      </c>
      <c r="RYM45" s="318" t="s">
        <v>3319</v>
      </c>
      <c r="RYN45" s="319" t="s">
        <v>3320</v>
      </c>
      <c r="RYO45" s="318" t="s">
        <v>3319</v>
      </c>
      <c r="RYP45" s="319" t="s">
        <v>3320</v>
      </c>
      <c r="RYQ45" s="318" t="s">
        <v>3319</v>
      </c>
      <c r="RYR45" s="319" t="s">
        <v>3320</v>
      </c>
      <c r="RYS45" s="318" t="s">
        <v>3319</v>
      </c>
      <c r="RYT45" s="319" t="s">
        <v>3320</v>
      </c>
      <c r="RYU45" s="318" t="s">
        <v>3319</v>
      </c>
      <c r="RYV45" s="319" t="s">
        <v>3320</v>
      </c>
      <c r="RYW45" s="318" t="s">
        <v>3319</v>
      </c>
      <c r="RYX45" s="319" t="s">
        <v>3320</v>
      </c>
      <c r="RYY45" s="318" t="s">
        <v>3319</v>
      </c>
      <c r="RYZ45" s="319" t="s">
        <v>3320</v>
      </c>
      <c r="RZA45" s="318" t="s">
        <v>3319</v>
      </c>
      <c r="RZB45" s="319" t="s">
        <v>3320</v>
      </c>
      <c r="RZC45" s="318" t="s">
        <v>3319</v>
      </c>
      <c r="RZD45" s="319" t="s">
        <v>3320</v>
      </c>
      <c r="RZE45" s="318" t="s">
        <v>3319</v>
      </c>
      <c r="RZF45" s="319" t="s">
        <v>3320</v>
      </c>
      <c r="RZG45" s="318" t="s">
        <v>3319</v>
      </c>
      <c r="RZH45" s="319" t="s">
        <v>3320</v>
      </c>
      <c r="RZI45" s="318" t="s">
        <v>3319</v>
      </c>
      <c r="RZJ45" s="319" t="s">
        <v>3320</v>
      </c>
      <c r="RZK45" s="318" t="s">
        <v>3319</v>
      </c>
      <c r="RZL45" s="319" t="s">
        <v>3320</v>
      </c>
      <c r="RZM45" s="318" t="s">
        <v>3319</v>
      </c>
      <c r="RZN45" s="319" t="s">
        <v>3320</v>
      </c>
      <c r="RZO45" s="318" t="s">
        <v>3319</v>
      </c>
      <c r="RZP45" s="319" t="s">
        <v>3320</v>
      </c>
      <c r="RZQ45" s="318" t="s">
        <v>3319</v>
      </c>
      <c r="RZR45" s="319" t="s">
        <v>3320</v>
      </c>
      <c r="RZS45" s="318" t="s">
        <v>3319</v>
      </c>
      <c r="RZT45" s="319" t="s">
        <v>3320</v>
      </c>
      <c r="RZU45" s="318" t="s">
        <v>3319</v>
      </c>
      <c r="RZV45" s="319" t="s">
        <v>3320</v>
      </c>
      <c r="RZW45" s="318" t="s">
        <v>3319</v>
      </c>
      <c r="RZX45" s="319" t="s">
        <v>3320</v>
      </c>
      <c r="RZY45" s="318" t="s">
        <v>3319</v>
      </c>
      <c r="RZZ45" s="319" t="s">
        <v>3320</v>
      </c>
      <c r="SAA45" s="318" t="s">
        <v>3319</v>
      </c>
      <c r="SAB45" s="319" t="s">
        <v>3320</v>
      </c>
      <c r="SAC45" s="318" t="s">
        <v>3319</v>
      </c>
      <c r="SAD45" s="319" t="s">
        <v>3320</v>
      </c>
      <c r="SAE45" s="318" t="s">
        <v>3319</v>
      </c>
      <c r="SAF45" s="319" t="s">
        <v>3320</v>
      </c>
      <c r="SAG45" s="318" t="s">
        <v>3319</v>
      </c>
      <c r="SAH45" s="319" t="s">
        <v>3320</v>
      </c>
      <c r="SAI45" s="318" t="s">
        <v>3319</v>
      </c>
      <c r="SAJ45" s="319" t="s">
        <v>3320</v>
      </c>
      <c r="SAK45" s="318" t="s">
        <v>3319</v>
      </c>
      <c r="SAL45" s="319" t="s">
        <v>3320</v>
      </c>
      <c r="SAM45" s="318" t="s">
        <v>3319</v>
      </c>
      <c r="SAN45" s="319" t="s">
        <v>3320</v>
      </c>
      <c r="SAO45" s="318" t="s">
        <v>3319</v>
      </c>
      <c r="SAP45" s="319" t="s">
        <v>3320</v>
      </c>
      <c r="SAQ45" s="318" t="s">
        <v>3319</v>
      </c>
      <c r="SAR45" s="319" t="s">
        <v>3320</v>
      </c>
      <c r="SAS45" s="318" t="s">
        <v>3319</v>
      </c>
      <c r="SAT45" s="319" t="s">
        <v>3320</v>
      </c>
      <c r="SAU45" s="318" t="s">
        <v>3319</v>
      </c>
      <c r="SAV45" s="319" t="s">
        <v>3320</v>
      </c>
      <c r="SAW45" s="318" t="s">
        <v>3319</v>
      </c>
      <c r="SAX45" s="319" t="s">
        <v>3320</v>
      </c>
      <c r="SAY45" s="318" t="s">
        <v>3319</v>
      </c>
      <c r="SAZ45" s="319" t="s">
        <v>3320</v>
      </c>
      <c r="SBA45" s="318" t="s">
        <v>3319</v>
      </c>
      <c r="SBB45" s="319" t="s">
        <v>3320</v>
      </c>
      <c r="SBC45" s="318" t="s">
        <v>3319</v>
      </c>
      <c r="SBD45" s="319" t="s">
        <v>3320</v>
      </c>
      <c r="SBE45" s="318" t="s">
        <v>3319</v>
      </c>
      <c r="SBF45" s="319" t="s">
        <v>3320</v>
      </c>
      <c r="SBG45" s="318" t="s">
        <v>3319</v>
      </c>
      <c r="SBH45" s="319" t="s">
        <v>3320</v>
      </c>
      <c r="SBI45" s="318" t="s">
        <v>3319</v>
      </c>
      <c r="SBJ45" s="319" t="s">
        <v>3320</v>
      </c>
      <c r="SBK45" s="318" t="s">
        <v>3319</v>
      </c>
      <c r="SBL45" s="319" t="s">
        <v>3320</v>
      </c>
      <c r="SBM45" s="318" t="s">
        <v>3319</v>
      </c>
      <c r="SBN45" s="319" t="s">
        <v>3320</v>
      </c>
      <c r="SBO45" s="318" t="s">
        <v>3319</v>
      </c>
      <c r="SBP45" s="319" t="s">
        <v>3320</v>
      </c>
      <c r="SBQ45" s="318" t="s">
        <v>3319</v>
      </c>
      <c r="SBR45" s="319" t="s">
        <v>3320</v>
      </c>
      <c r="SBS45" s="318" t="s">
        <v>3319</v>
      </c>
      <c r="SBT45" s="319" t="s">
        <v>3320</v>
      </c>
      <c r="SBU45" s="318" t="s">
        <v>3319</v>
      </c>
      <c r="SBV45" s="319" t="s">
        <v>3320</v>
      </c>
      <c r="SBW45" s="318" t="s">
        <v>3319</v>
      </c>
      <c r="SBX45" s="319" t="s">
        <v>3320</v>
      </c>
      <c r="SBY45" s="318" t="s">
        <v>3319</v>
      </c>
      <c r="SBZ45" s="319" t="s">
        <v>3320</v>
      </c>
      <c r="SCA45" s="318" t="s">
        <v>3319</v>
      </c>
      <c r="SCB45" s="319" t="s">
        <v>3320</v>
      </c>
      <c r="SCC45" s="318" t="s">
        <v>3319</v>
      </c>
      <c r="SCD45" s="319" t="s">
        <v>3320</v>
      </c>
      <c r="SCE45" s="318" t="s">
        <v>3319</v>
      </c>
      <c r="SCF45" s="319" t="s">
        <v>3320</v>
      </c>
      <c r="SCG45" s="318" t="s">
        <v>3319</v>
      </c>
      <c r="SCH45" s="319" t="s">
        <v>3320</v>
      </c>
      <c r="SCI45" s="318" t="s">
        <v>3319</v>
      </c>
      <c r="SCJ45" s="319" t="s">
        <v>3320</v>
      </c>
      <c r="SCK45" s="318" t="s">
        <v>3319</v>
      </c>
      <c r="SCL45" s="319" t="s">
        <v>3320</v>
      </c>
      <c r="SCM45" s="318" t="s">
        <v>3319</v>
      </c>
      <c r="SCN45" s="319" t="s">
        <v>3320</v>
      </c>
      <c r="SCO45" s="318" t="s">
        <v>3319</v>
      </c>
      <c r="SCP45" s="319" t="s">
        <v>3320</v>
      </c>
      <c r="SCQ45" s="318" t="s">
        <v>3319</v>
      </c>
      <c r="SCR45" s="319" t="s">
        <v>3320</v>
      </c>
      <c r="SCS45" s="318" t="s">
        <v>3319</v>
      </c>
      <c r="SCT45" s="319" t="s">
        <v>3320</v>
      </c>
      <c r="SCU45" s="318" t="s">
        <v>3319</v>
      </c>
      <c r="SCV45" s="319" t="s">
        <v>3320</v>
      </c>
      <c r="SCW45" s="318" t="s">
        <v>3319</v>
      </c>
      <c r="SCX45" s="319" t="s">
        <v>3320</v>
      </c>
      <c r="SCY45" s="318" t="s">
        <v>3319</v>
      </c>
      <c r="SCZ45" s="319" t="s">
        <v>3320</v>
      </c>
      <c r="SDA45" s="318" t="s">
        <v>3319</v>
      </c>
      <c r="SDB45" s="319" t="s">
        <v>3320</v>
      </c>
      <c r="SDC45" s="318" t="s">
        <v>3319</v>
      </c>
      <c r="SDD45" s="319" t="s">
        <v>3320</v>
      </c>
      <c r="SDE45" s="318" t="s">
        <v>3319</v>
      </c>
      <c r="SDF45" s="319" t="s">
        <v>3320</v>
      </c>
      <c r="SDG45" s="318" t="s">
        <v>3319</v>
      </c>
      <c r="SDH45" s="319" t="s">
        <v>3320</v>
      </c>
      <c r="SDI45" s="318" t="s">
        <v>3319</v>
      </c>
      <c r="SDJ45" s="319" t="s">
        <v>3320</v>
      </c>
      <c r="SDK45" s="318" t="s">
        <v>3319</v>
      </c>
      <c r="SDL45" s="319" t="s">
        <v>3320</v>
      </c>
      <c r="SDM45" s="318" t="s">
        <v>3319</v>
      </c>
      <c r="SDN45" s="319" t="s">
        <v>3320</v>
      </c>
      <c r="SDO45" s="318" t="s">
        <v>3319</v>
      </c>
      <c r="SDP45" s="319" t="s">
        <v>3320</v>
      </c>
      <c r="SDQ45" s="318" t="s">
        <v>3319</v>
      </c>
      <c r="SDR45" s="319" t="s">
        <v>3320</v>
      </c>
      <c r="SDS45" s="318" t="s">
        <v>3319</v>
      </c>
      <c r="SDT45" s="319" t="s">
        <v>3320</v>
      </c>
      <c r="SDU45" s="318" t="s">
        <v>3319</v>
      </c>
      <c r="SDV45" s="319" t="s">
        <v>3320</v>
      </c>
      <c r="SDW45" s="318" t="s">
        <v>3319</v>
      </c>
      <c r="SDX45" s="319" t="s">
        <v>3320</v>
      </c>
      <c r="SDY45" s="318" t="s">
        <v>3319</v>
      </c>
      <c r="SDZ45" s="319" t="s">
        <v>3320</v>
      </c>
      <c r="SEA45" s="318" t="s">
        <v>3319</v>
      </c>
      <c r="SEB45" s="319" t="s">
        <v>3320</v>
      </c>
      <c r="SEC45" s="318" t="s">
        <v>3319</v>
      </c>
      <c r="SED45" s="319" t="s">
        <v>3320</v>
      </c>
      <c r="SEE45" s="318" t="s">
        <v>3319</v>
      </c>
      <c r="SEF45" s="319" t="s">
        <v>3320</v>
      </c>
      <c r="SEG45" s="318" t="s">
        <v>3319</v>
      </c>
      <c r="SEH45" s="319" t="s">
        <v>3320</v>
      </c>
      <c r="SEI45" s="318" t="s">
        <v>3319</v>
      </c>
      <c r="SEJ45" s="319" t="s">
        <v>3320</v>
      </c>
      <c r="SEK45" s="318" t="s">
        <v>3319</v>
      </c>
      <c r="SEL45" s="319" t="s">
        <v>3320</v>
      </c>
      <c r="SEM45" s="318" t="s">
        <v>3319</v>
      </c>
      <c r="SEN45" s="319" t="s">
        <v>3320</v>
      </c>
      <c r="SEO45" s="318" t="s">
        <v>3319</v>
      </c>
      <c r="SEP45" s="319" t="s">
        <v>3320</v>
      </c>
      <c r="SEQ45" s="318" t="s">
        <v>3319</v>
      </c>
      <c r="SER45" s="319" t="s">
        <v>3320</v>
      </c>
      <c r="SES45" s="318" t="s">
        <v>3319</v>
      </c>
      <c r="SET45" s="319" t="s">
        <v>3320</v>
      </c>
      <c r="SEU45" s="318" t="s">
        <v>3319</v>
      </c>
      <c r="SEV45" s="319" t="s">
        <v>3320</v>
      </c>
      <c r="SEW45" s="318" t="s">
        <v>3319</v>
      </c>
      <c r="SEX45" s="319" t="s">
        <v>3320</v>
      </c>
      <c r="SEY45" s="318" t="s">
        <v>3319</v>
      </c>
      <c r="SEZ45" s="319" t="s">
        <v>3320</v>
      </c>
      <c r="SFA45" s="318" t="s">
        <v>3319</v>
      </c>
      <c r="SFB45" s="319" t="s">
        <v>3320</v>
      </c>
      <c r="SFC45" s="318" t="s">
        <v>3319</v>
      </c>
      <c r="SFD45" s="319" t="s">
        <v>3320</v>
      </c>
      <c r="SFE45" s="318" t="s">
        <v>3319</v>
      </c>
      <c r="SFF45" s="319" t="s">
        <v>3320</v>
      </c>
      <c r="SFG45" s="318" t="s">
        <v>3319</v>
      </c>
      <c r="SFH45" s="319" t="s">
        <v>3320</v>
      </c>
      <c r="SFI45" s="318" t="s">
        <v>3319</v>
      </c>
      <c r="SFJ45" s="319" t="s">
        <v>3320</v>
      </c>
      <c r="SFK45" s="318" t="s">
        <v>3319</v>
      </c>
      <c r="SFL45" s="319" t="s">
        <v>3320</v>
      </c>
      <c r="SFM45" s="318" t="s">
        <v>3319</v>
      </c>
      <c r="SFN45" s="319" t="s">
        <v>3320</v>
      </c>
      <c r="SFO45" s="318" t="s">
        <v>3319</v>
      </c>
      <c r="SFP45" s="319" t="s">
        <v>3320</v>
      </c>
      <c r="SFQ45" s="318" t="s">
        <v>3319</v>
      </c>
      <c r="SFR45" s="319" t="s">
        <v>3320</v>
      </c>
      <c r="SFS45" s="318" t="s">
        <v>3319</v>
      </c>
      <c r="SFT45" s="319" t="s">
        <v>3320</v>
      </c>
      <c r="SFU45" s="318" t="s">
        <v>3319</v>
      </c>
      <c r="SFV45" s="319" t="s">
        <v>3320</v>
      </c>
      <c r="SFW45" s="318" t="s">
        <v>3319</v>
      </c>
      <c r="SFX45" s="319" t="s">
        <v>3320</v>
      </c>
      <c r="SFY45" s="318" t="s">
        <v>3319</v>
      </c>
      <c r="SFZ45" s="319" t="s">
        <v>3320</v>
      </c>
      <c r="SGA45" s="318" t="s">
        <v>3319</v>
      </c>
      <c r="SGB45" s="319" t="s">
        <v>3320</v>
      </c>
      <c r="SGC45" s="318" t="s">
        <v>3319</v>
      </c>
      <c r="SGD45" s="319" t="s">
        <v>3320</v>
      </c>
      <c r="SGE45" s="318" t="s">
        <v>3319</v>
      </c>
      <c r="SGF45" s="319" t="s">
        <v>3320</v>
      </c>
      <c r="SGG45" s="318" t="s">
        <v>3319</v>
      </c>
      <c r="SGH45" s="319" t="s">
        <v>3320</v>
      </c>
      <c r="SGI45" s="318" t="s">
        <v>3319</v>
      </c>
      <c r="SGJ45" s="319" t="s">
        <v>3320</v>
      </c>
      <c r="SGK45" s="318" t="s">
        <v>3319</v>
      </c>
      <c r="SGL45" s="319" t="s">
        <v>3320</v>
      </c>
      <c r="SGM45" s="318" t="s">
        <v>3319</v>
      </c>
      <c r="SGN45" s="319" t="s">
        <v>3320</v>
      </c>
      <c r="SGO45" s="318" t="s">
        <v>3319</v>
      </c>
      <c r="SGP45" s="319" t="s">
        <v>3320</v>
      </c>
      <c r="SGQ45" s="318" t="s">
        <v>3319</v>
      </c>
      <c r="SGR45" s="319" t="s">
        <v>3320</v>
      </c>
      <c r="SGS45" s="318" t="s">
        <v>3319</v>
      </c>
      <c r="SGT45" s="319" t="s">
        <v>3320</v>
      </c>
      <c r="SGU45" s="318" t="s">
        <v>3319</v>
      </c>
      <c r="SGV45" s="319" t="s">
        <v>3320</v>
      </c>
      <c r="SGW45" s="318" t="s">
        <v>3319</v>
      </c>
      <c r="SGX45" s="319" t="s">
        <v>3320</v>
      </c>
      <c r="SGY45" s="318" t="s">
        <v>3319</v>
      </c>
      <c r="SGZ45" s="319" t="s">
        <v>3320</v>
      </c>
      <c r="SHA45" s="318" t="s">
        <v>3319</v>
      </c>
      <c r="SHB45" s="319" t="s">
        <v>3320</v>
      </c>
      <c r="SHC45" s="318" t="s">
        <v>3319</v>
      </c>
      <c r="SHD45" s="319" t="s">
        <v>3320</v>
      </c>
      <c r="SHE45" s="318" t="s">
        <v>3319</v>
      </c>
      <c r="SHF45" s="319" t="s">
        <v>3320</v>
      </c>
      <c r="SHG45" s="318" t="s">
        <v>3319</v>
      </c>
      <c r="SHH45" s="319" t="s">
        <v>3320</v>
      </c>
      <c r="SHI45" s="318" t="s">
        <v>3319</v>
      </c>
      <c r="SHJ45" s="319" t="s">
        <v>3320</v>
      </c>
      <c r="SHK45" s="318" t="s">
        <v>3319</v>
      </c>
      <c r="SHL45" s="319" t="s">
        <v>3320</v>
      </c>
      <c r="SHM45" s="318" t="s">
        <v>3319</v>
      </c>
      <c r="SHN45" s="319" t="s">
        <v>3320</v>
      </c>
      <c r="SHO45" s="318" t="s">
        <v>3319</v>
      </c>
      <c r="SHP45" s="319" t="s">
        <v>3320</v>
      </c>
      <c r="SHQ45" s="318" t="s">
        <v>3319</v>
      </c>
      <c r="SHR45" s="319" t="s">
        <v>3320</v>
      </c>
      <c r="SHS45" s="318" t="s">
        <v>3319</v>
      </c>
      <c r="SHT45" s="319" t="s">
        <v>3320</v>
      </c>
      <c r="SHU45" s="318" t="s">
        <v>3319</v>
      </c>
      <c r="SHV45" s="319" t="s">
        <v>3320</v>
      </c>
      <c r="SHW45" s="318" t="s">
        <v>3319</v>
      </c>
      <c r="SHX45" s="319" t="s">
        <v>3320</v>
      </c>
      <c r="SHY45" s="318" t="s">
        <v>3319</v>
      </c>
      <c r="SHZ45" s="319" t="s">
        <v>3320</v>
      </c>
      <c r="SIA45" s="318" t="s">
        <v>3319</v>
      </c>
      <c r="SIB45" s="319" t="s">
        <v>3320</v>
      </c>
      <c r="SIC45" s="318" t="s">
        <v>3319</v>
      </c>
      <c r="SID45" s="319" t="s">
        <v>3320</v>
      </c>
      <c r="SIE45" s="318" t="s">
        <v>3319</v>
      </c>
      <c r="SIF45" s="319" t="s">
        <v>3320</v>
      </c>
      <c r="SIG45" s="318" t="s">
        <v>3319</v>
      </c>
      <c r="SIH45" s="319" t="s">
        <v>3320</v>
      </c>
      <c r="SII45" s="318" t="s">
        <v>3319</v>
      </c>
      <c r="SIJ45" s="319" t="s">
        <v>3320</v>
      </c>
      <c r="SIK45" s="318" t="s">
        <v>3319</v>
      </c>
      <c r="SIL45" s="319" t="s">
        <v>3320</v>
      </c>
      <c r="SIM45" s="318" t="s">
        <v>3319</v>
      </c>
      <c r="SIN45" s="319" t="s">
        <v>3320</v>
      </c>
      <c r="SIO45" s="318" t="s">
        <v>3319</v>
      </c>
      <c r="SIP45" s="319" t="s">
        <v>3320</v>
      </c>
      <c r="SIQ45" s="318" t="s">
        <v>3319</v>
      </c>
      <c r="SIR45" s="319" t="s">
        <v>3320</v>
      </c>
      <c r="SIS45" s="318" t="s">
        <v>3319</v>
      </c>
      <c r="SIT45" s="319" t="s">
        <v>3320</v>
      </c>
      <c r="SIU45" s="318" t="s">
        <v>3319</v>
      </c>
      <c r="SIV45" s="319" t="s">
        <v>3320</v>
      </c>
      <c r="SIW45" s="318" t="s">
        <v>3319</v>
      </c>
      <c r="SIX45" s="319" t="s">
        <v>3320</v>
      </c>
      <c r="SIY45" s="318" t="s">
        <v>3319</v>
      </c>
      <c r="SIZ45" s="319" t="s">
        <v>3320</v>
      </c>
      <c r="SJA45" s="318" t="s">
        <v>3319</v>
      </c>
      <c r="SJB45" s="319" t="s">
        <v>3320</v>
      </c>
      <c r="SJC45" s="318" t="s">
        <v>3319</v>
      </c>
      <c r="SJD45" s="319" t="s">
        <v>3320</v>
      </c>
      <c r="SJE45" s="318" t="s">
        <v>3319</v>
      </c>
      <c r="SJF45" s="319" t="s">
        <v>3320</v>
      </c>
      <c r="SJG45" s="318" t="s">
        <v>3319</v>
      </c>
      <c r="SJH45" s="319" t="s">
        <v>3320</v>
      </c>
      <c r="SJI45" s="318" t="s">
        <v>3319</v>
      </c>
      <c r="SJJ45" s="319" t="s">
        <v>3320</v>
      </c>
      <c r="SJK45" s="318" t="s">
        <v>3319</v>
      </c>
      <c r="SJL45" s="319" t="s">
        <v>3320</v>
      </c>
      <c r="SJM45" s="318" t="s">
        <v>3319</v>
      </c>
      <c r="SJN45" s="319" t="s">
        <v>3320</v>
      </c>
      <c r="SJO45" s="318" t="s">
        <v>3319</v>
      </c>
      <c r="SJP45" s="319" t="s">
        <v>3320</v>
      </c>
      <c r="SJQ45" s="318" t="s">
        <v>3319</v>
      </c>
      <c r="SJR45" s="319" t="s">
        <v>3320</v>
      </c>
      <c r="SJS45" s="318" t="s">
        <v>3319</v>
      </c>
      <c r="SJT45" s="319" t="s">
        <v>3320</v>
      </c>
      <c r="SJU45" s="318" t="s">
        <v>3319</v>
      </c>
      <c r="SJV45" s="319" t="s">
        <v>3320</v>
      </c>
      <c r="SJW45" s="318" t="s">
        <v>3319</v>
      </c>
      <c r="SJX45" s="319" t="s">
        <v>3320</v>
      </c>
      <c r="SJY45" s="318" t="s">
        <v>3319</v>
      </c>
      <c r="SJZ45" s="319" t="s">
        <v>3320</v>
      </c>
      <c r="SKA45" s="318" t="s">
        <v>3319</v>
      </c>
      <c r="SKB45" s="319" t="s">
        <v>3320</v>
      </c>
      <c r="SKC45" s="318" t="s">
        <v>3319</v>
      </c>
      <c r="SKD45" s="319" t="s">
        <v>3320</v>
      </c>
      <c r="SKE45" s="318" t="s">
        <v>3319</v>
      </c>
      <c r="SKF45" s="319" t="s">
        <v>3320</v>
      </c>
      <c r="SKG45" s="318" t="s">
        <v>3319</v>
      </c>
      <c r="SKH45" s="319" t="s">
        <v>3320</v>
      </c>
      <c r="SKI45" s="318" t="s">
        <v>3319</v>
      </c>
      <c r="SKJ45" s="319" t="s">
        <v>3320</v>
      </c>
      <c r="SKK45" s="318" t="s">
        <v>3319</v>
      </c>
      <c r="SKL45" s="319" t="s">
        <v>3320</v>
      </c>
      <c r="SKM45" s="318" t="s">
        <v>3319</v>
      </c>
      <c r="SKN45" s="319" t="s">
        <v>3320</v>
      </c>
      <c r="SKO45" s="318" t="s">
        <v>3319</v>
      </c>
      <c r="SKP45" s="319" t="s">
        <v>3320</v>
      </c>
      <c r="SKQ45" s="318" t="s">
        <v>3319</v>
      </c>
      <c r="SKR45" s="319" t="s">
        <v>3320</v>
      </c>
      <c r="SKS45" s="318" t="s">
        <v>3319</v>
      </c>
      <c r="SKT45" s="319" t="s">
        <v>3320</v>
      </c>
      <c r="SKU45" s="318" t="s">
        <v>3319</v>
      </c>
      <c r="SKV45" s="319" t="s">
        <v>3320</v>
      </c>
      <c r="SKW45" s="318" t="s">
        <v>3319</v>
      </c>
      <c r="SKX45" s="319" t="s">
        <v>3320</v>
      </c>
      <c r="SKY45" s="318" t="s">
        <v>3319</v>
      </c>
      <c r="SKZ45" s="319" t="s">
        <v>3320</v>
      </c>
      <c r="SLA45" s="318" t="s">
        <v>3319</v>
      </c>
      <c r="SLB45" s="319" t="s">
        <v>3320</v>
      </c>
      <c r="SLC45" s="318" t="s">
        <v>3319</v>
      </c>
      <c r="SLD45" s="319" t="s">
        <v>3320</v>
      </c>
      <c r="SLE45" s="318" t="s">
        <v>3319</v>
      </c>
      <c r="SLF45" s="319" t="s">
        <v>3320</v>
      </c>
      <c r="SLG45" s="318" t="s">
        <v>3319</v>
      </c>
      <c r="SLH45" s="319" t="s">
        <v>3320</v>
      </c>
      <c r="SLI45" s="318" t="s">
        <v>3319</v>
      </c>
      <c r="SLJ45" s="319" t="s">
        <v>3320</v>
      </c>
      <c r="SLK45" s="318" t="s">
        <v>3319</v>
      </c>
      <c r="SLL45" s="319" t="s">
        <v>3320</v>
      </c>
      <c r="SLM45" s="318" t="s">
        <v>3319</v>
      </c>
      <c r="SLN45" s="319" t="s">
        <v>3320</v>
      </c>
      <c r="SLO45" s="318" t="s">
        <v>3319</v>
      </c>
      <c r="SLP45" s="319" t="s">
        <v>3320</v>
      </c>
      <c r="SLQ45" s="318" t="s">
        <v>3319</v>
      </c>
      <c r="SLR45" s="319" t="s">
        <v>3320</v>
      </c>
      <c r="SLS45" s="318" t="s">
        <v>3319</v>
      </c>
      <c r="SLT45" s="319" t="s">
        <v>3320</v>
      </c>
      <c r="SLU45" s="318" t="s">
        <v>3319</v>
      </c>
      <c r="SLV45" s="319" t="s">
        <v>3320</v>
      </c>
      <c r="SLW45" s="318" t="s">
        <v>3319</v>
      </c>
      <c r="SLX45" s="319" t="s">
        <v>3320</v>
      </c>
      <c r="SLY45" s="318" t="s">
        <v>3319</v>
      </c>
      <c r="SLZ45" s="319" t="s">
        <v>3320</v>
      </c>
      <c r="SMA45" s="318" t="s">
        <v>3319</v>
      </c>
      <c r="SMB45" s="319" t="s">
        <v>3320</v>
      </c>
      <c r="SMC45" s="318" t="s">
        <v>3319</v>
      </c>
      <c r="SMD45" s="319" t="s">
        <v>3320</v>
      </c>
      <c r="SME45" s="318" t="s">
        <v>3319</v>
      </c>
      <c r="SMF45" s="319" t="s">
        <v>3320</v>
      </c>
      <c r="SMG45" s="318" t="s">
        <v>3319</v>
      </c>
      <c r="SMH45" s="319" t="s">
        <v>3320</v>
      </c>
      <c r="SMI45" s="318" t="s">
        <v>3319</v>
      </c>
      <c r="SMJ45" s="319" t="s">
        <v>3320</v>
      </c>
      <c r="SMK45" s="318" t="s">
        <v>3319</v>
      </c>
      <c r="SML45" s="319" t="s">
        <v>3320</v>
      </c>
      <c r="SMM45" s="318" t="s">
        <v>3319</v>
      </c>
      <c r="SMN45" s="319" t="s">
        <v>3320</v>
      </c>
      <c r="SMO45" s="318" t="s">
        <v>3319</v>
      </c>
      <c r="SMP45" s="319" t="s">
        <v>3320</v>
      </c>
      <c r="SMQ45" s="318" t="s">
        <v>3319</v>
      </c>
      <c r="SMR45" s="319" t="s">
        <v>3320</v>
      </c>
      <c r="SMS45" s="318" t="s">
        <v>3319</v>
      </c>
      <c r="SMT45" s="319" t="s">
        <v>3320</v>
      </c>
      <c r="SMU45" s="318" t="s">
        <v>3319</v>
      </c>
      <c r="SMV45" s="319" t="s">
        <v>3320</v>
      </c>
      <c r="SMW45" s="318" t="s">
        <v>3319</v>
      </c>
      <c r="SMX45" s="319" t="s">
        <v>3320</v>
      </c>
      <c r="SMY45" s="318" t="s">
        <v>3319</v>
      </c>
      <c r="SMZ45" s="319" t="s">
        <v>3320</v>
      </c>
      <c r="SNA45" s="318" t="s">
        <v>3319</v>
      </c>
      <c r="SNB45" s="319" t="s">
        <v>3320</v>
      </c>
      <c r="SNC45" s="318" t="s">
        <v>3319</v>
      </c>
      <c r="SND45" s="319" t="s">
        <v>3320</v>
      </c>
      <c r="SNE45" s="318" t="s">
        <v>3319</v>
      </c>
      <c r="SNF45" s="319" t="s">
        <v>3320</v>
      </c>
      <c r="SNG45" s="318" t="s">
        <v>3319</v>
      </c>
      <c r="SNH45" s="319" t="s">
        <v>3320</v>
      </c>
      <c r="SNI45" s="318" t="s">
        <v>3319</v>
      </c>
      <c r="SNJ45" s="319" t="s">
        <v>3320</v>
      </c>
      <c r="SNK45" s="318" t="s">
        <v>3319</v>
      </c>
      <c r="SNL45" s="319" t="s">
        <v>3320</v>
      </c>
      <c r="SNM45" s="318" t="s">
        <v>3319</v>
      </c>
      <c r="SNN45" s="319" t="s">
        <v>3320</v>
      </c>
      <c r="SNO45" s="318" t="s">
        <v>3319</v>
      </c>
      <c r="SNP45" s="319" t="s">
        <v>3320</v>
      </c>
      <c r="SNQ45" s="318" t="s">
        <v>3319</v>
      </c>
      <c r="SNR45" s="319" t="s">
        <v>3320</v>
      </c>
      <c r="SNS45" s="318" t="s">
        <v>3319</v>
      </c>
      <c r="SNT45" s="319" t="s">
        <v>3320</v>
      </c>
      <c r="SNU45" s="318" t="s">
        <v>3319</v>
      </c>
      <c r="SNV45" s="319" t="s">
        <v>3320</v>
      </c>
      <c r="SNW45" s="318" t="s">
        <v>3319</v>
      </c>
      <c r="SNX45" s="319" t="s">
        <v>3320</v>
      </c>
      <c r="SNY45" s="318" t="s">
        <v>3319</v>
      </c>
      <c r="SNZ45" s="319" t="s">
        <v>3320</v>
      </c>
      <c r="SOA45" s="318" t="s">
        <v>3319</v>
      </c>
      <c r="SOB45" s="319" t="s">
        <v>3320</v>
      </c>
      <c r="SOC45" s="318" t="s">
        <v>3319</v>
      </c>
      <c r="SOD45" s="319" t="s">
        <v>3320</v>
      </c>
      <c r="SOE45" s="318" t="s">
        <v>3319</v>
      </c>
      <c r="SOF45" s="319" t="s">
        <v>3320</v>
      </c>
      <c r="SOG45" s="318" t="s">
        <v>3319</v>
      </c>
      <c r="SOH45" s="319" t="s">
        <v>3320</v>
      </c>
      <c r="SOI45" s="318" t="s">
        <v>3319</v>
      </c>
      <c r="SOJ45" s="319" t="s">
        <v>3320</v>
      </c>
      <c r="SOK45" s="318" t="s">
        <v>3319</v>
      </c>
      <c r="SOL45" s="319" t="s">
        <v>3320</v>
      </c>
      <c r="SOM45" s="318" t="s">
        <v>3319</v>
      </c>
      <c r="SON45" s="319" t="s">
        <v>3320</v>
      </c>
      <c r="SOO45" s="318" t="s">
        <v>3319</v>
      </c>
      <c r="SOP45" s="319" t="s">
        <v>3320</v>
      </c>
      <c r="SOQ45" s="318" t="s">
        <v>3319</v>
      </c>
      <c r="SOR45" s="319" t="s">
        <v>3320</v>
      </c>
      <c r="SOS45" s="318" t="s">
        <v>3319</v>
      </c>
      <c r="SOT45" s="319" t="s">
        <v>3320</v>
      </c>
      <c r="SOU45" s="318" t="s">
        <v>3319</v>
      </c>
      <c r="SOV45" s="319" t="s">
        <v>3320</v>
      </c>
      <c r="SOW45" s="318" t="s">
        <v>3319</v>
      </c>
      <c r="SOX45" s="319" t="s">
        <v>3320</v>
      </c>
      <c r="SOY45" s="318" t="s">
        <v>3319</v>
      </c>
      <c r="SOZ45" s="319" t="s">
        <v>3320</v>
      </c>
      <c r="SPA45" s="318" t="s">
        <v>3319</v>
      </c>
      <c r="SPB45" s="319" t="s">
        <v>3320</v>
      </c>
      <c r="SPC45" s="318" t="s">
        <v>3319</v>
      </c>
      <c r="SPD45" s="319" t="s">
        <v>3320</v>
      </c>
      <c r="SPE45" s="318" t="s">
        <v>3319</v>
      </c>
      <c r="SPF45" s="319" t="s">
        <v>3320</v>
      </c>
      <c r="SPG45" s="318" t="s">
        <v>3319</v>
      </c>
      <c r="SPH45" s="319" t="s">
        <v>3320</v>
      </c>
      <c r="SPI45" s="318" t="s">
        <v>3319</v>
      </c>
      <c r="SPJ45" s="319" t="s">
        <v>3320</v>
      </c>
      <c r="SPK45" s="318" t="s">
        <v>3319</v>
      </c>
      <c r="SPL45" s="319" t="s">
        <v>3320</v>
      </c>
      <c r="SPM45" s="318" t="s">
        <v>3319</v>
      </c>
      <c r="SPN45" s="319" t="s">
        <v>3320</v>
      </c>
      <c r="SPO45" s="318" t="s">
        <v>3319</v>
      </c>
      <c r="SPP45" s="319" t="s">
        <v>3320</v>
      </c>
      <c r="SPQ45" s="318" t="s">
        <v>3319</v>
      </c>
      <c r="SPR45" s="319" t="s">
        <v>3320</v>
      </c>
      <c r="SPS45" s="318" t="s">
        <v>3319</v>
      </c>
      <c r="SPT45" s="319" t="s">
        <v>3320</v>
      </c>
      <c r="SPU45" s="318" t="s">
        <v>3319</v>
      </c>
      <c r="SPV45" s="319" t="s">
        <v>3320</v>
      </c>
      <c r="SPW45" s="318" t="s">
        <v>3319</v>
      </c>
      <c r="SPX45" s="319" t="s">
        <v>3320</v>
      </c>
      <c r="SPY45" s="318" t="s">
        <v>3319</v>
      </c>
      <c r="SPZ45" s="319" t="s">
        <v>3320</v>
      </c>
      <c r="SQA45" s="318" t="s">
        <v>3319</v>
      </c>
      <c r="SQB45" s="319" t="s">
        <v>3320</v>
      </c>
      <c r="SQC45" s="318" t="s">
        <v>3319</v>
      </c>
      <c r="SQD45" s="319" t="s">
        <v>3320</v>
      </c>
      <c r="SQE45" s="318" t="s">
        <v>3319</v>
      </c>
      <c r="SQF45" s="319" t="s">
        <v>3320</v>
      </c>
      <c r="SQG45" s="318" t="s">
        <v>3319</v>
      </c>
      <c r="SQH45" s="319" t="s">
        <v>3320</v>
      </c>
      <c r="SQI45" s="318" t="s">
        <v>3319</v>
      </c>
      <c r="SQJ45" s="319" t="s">
        <v>3320</v>
      </c>
      <c r="SQK45" s="318" t="s">
        <v>3319</v>
      </c>
      <c r="SQL45" s="319" t="s">
        <v>3320</v>
      </c>
      <c r="SQM45" s="318" t="s">
        <v>3319</v>
      </c>
      <c r="SQN45" s="319" t="s">
        <v>3320</v>
      </c>
      <c r="SQO45" s="318" t="s">
        <v>3319</v>
      </c>
      <c r="SQP45" s="319" t="s">
        <v>3320</v>
      </c>
      <c r="SQQ45" s="318" t="s">
        <v>3319</v>
      </c>
      <c r="SQR45" s="319" t="s">
        <v>3320</v>
      </c>
      <c r="SQS45" s="318" t="s">
        <v>3319</v>
      </c>
      <c r="SQT45" s="319" t="s">
        <v>3320</v>
      </c>
      <c r="SQU45" s="318" t="s">
        <v>3319</v>
      </c>
      <c r="SQV45" s="319" t="s">
        <v>3320</v>
      </c>
      <c r="SQW45" s="318" t="s">
        <v>3319</v>
      </c>
      <c r="SQX45" s="319" t="s">
        <v>3320</v>
      </c>
      <c r="SQY45" s="318" t="s">
        <v>3319</v>
      </c>
      <c r="SQZ45" s="319" t="s">
        <v>3320</v>
      </c>
      <c r="SRA45" s="318" t="s">
        <v>3319</v>
      </c>
      <c r="SRB45" s="319" t="s">
        <v>3320</v>
      </c>
      <c r="SRC45" s="318" t="s">
        <v>3319</v>
      </c>
      <c r="SRD45" s="319" t="s">
        <v>3320</v>
      </c>
      <c r="SRE45" s="318" t="s">
        <v>3319</v>
      </c>
      <c r="SRF45" s="319" t="s">
        <v>3320</v>
      </c>
      <c r="SRG45" s="318" t="s">
        <v>3319</v>
      </c>
      <c r="SRH45" s="319" t="s">
        <v>3320</v>
      </c>
      <c r="SRI45" s="318" t="s">
        <v>3319</v>
      </c>
      <c r="SRJ45" s="319" t="s">
        <v>3320</v>
      </c>
      <c r="SRK45" s="318" t="s">
        <v>3319</v>
      </c>
      <c r="SRL45" s="319" t="s">
        <v>3320</v>
      </c>
      <c r="SRM45" s="318" t="s">
        <v>3319</v>
      </c>
      <c r="SRN45" s="319" t="s">
        <v>3320</v>
      </c>
      <c r="SRO45" s="318" t="s">
        <v>3319</v>
      </c>
      <c r="SRP45" s="319" t="s">
        <v>3320</v>
      </c>
      <c r="SRQ45" s="318" t="s">
        <v>3319</v>
      </c>
      <c r="SRR45" s="319" t="s">
        <v>3320</v>
      </c>
      <c r="SRS45" s="318" t="s">
        <v>3319</v>
      </c>
      <c r="SRT45" s="319" t="s">
        <v>3320</v>
      </c>
      <c r="SRU45" s="318" t="s">
        <v>3319</v>
      </c>
      <c r="SRV45" s="319" t="s">
        <v>3320</v>
      </c>
      <c r="SRW45" s="318" t="s">
        <v>3319</v>
      </c>
      <c r="SRX45" s="319" t="s">
        <v>3320</v>
      </c>
      <c r="SRY45" s="318" t="s">
        <v>3319</v>
      </c>
      <c r="SRZ45" s="319" t="s">
        <v>3320</v>
      </c>
      <c r="SSA45" s="318" t="s">
        <v>3319</v>
      </c>
      <c r="SSB45" s="319" t="s">
        <v>3320</v>
      </c>
      <c r="SSC45" s="318" t="s">
        <v>3319</v>
      </c>
      <c r="SSD45" s="319" t="s">
        <v>3320</v>
      </c>
      <c r="SSE45" s="318" t="s">
        <v>3319</v>
      </c>
      <c r="SSF45" s="319" t="s">
        <v>3320</v>
      </c>
      <c r="SSG45" s="318" t="s">
        <v>3319</v>
      </c>
      <c r="SSH45" s="319" t="s">
        <v>3320</v>
      </c>
      <c r="SSI45" s="318" t="s">
        <v>3319</v>
      </c>
      <c r="SSJ45" s="319" t="s">
        <v>3320</v>
      </c>
      <c r="SSK45" s="318" t="s">
        <v>3319</v>
      </c>
      <c r="SSL45" s="319" t="s">
        <v>3320</v>
      </c>
      <c r="SSM45" s="318" t="s">
        <v>3319</v>
      </c>
      <c r="SSN45" s="319" t="s">
        <v>3320</v>
      </c>
      <c r="SSO45" s="318" t="s">
        <v>3319</v>
      </c>
      <c r="SSP45" s="319" t="s">
        <v>3320</v>
      </c>
      <c r="SSQ45" s="318" t="s">
        <v>3319</v>
      </c>
      <c r="SSR45" s="319" t="s">
        <v>3320</v>
      </c>
      <c r="SSS45" s="318" t="s">
        <v>3319</v>
      </c>
      <c r="SST45" s="319" t="s">
        <v>3320</v>
      </c>
      <c r="SSU45" s="318" t="s">
        <v>3319</v>
      </c>
      <c r="SSV45" s="319" t="s">
        <v>3320</v>
      </c>
      <c r="SSW45" s="318" t="s">
        <v>3319</v>
      </c>
      <c r="SSX45" s="319" t="s">
        <v>3320</v>
      </c>
      <c r="SSY45" s="318" t="s">
        <v>3319</v>
      </c>
      <c r="SSZ45" s="319" t="s">
        <v>3320</v>
      </c>
      <c r="STA45" s="318" t="s">
        <v>3319</v>
      </c>
      <c r="STB45" s="319" t="s">
        <v>3320</v>
      </c>
      <c r="STC45" s="318" t="s">
        <v>3319</v>
      </c>
      <c r="STD45" s="319" t="s">
        <v>3320</v>
      </c>
      <c r="STE45" s="318" t="s">
        <v>3319</v>
      </c>
      <c r="STF45" s="319" t="s">
        <v>3320</v>
      </c>
      <c r="STG45" s="318" t="s">
        <v>3319</v>
      </c>
      <c r="STH45" s="319" t="s">
        <v>3320</v>
      </c>
      <c r="STI45" s="318" t="s">
        <v>3319</v>
      </c>
      <c r="STJ45" s="319" t="s">
        <v>3320</v>
      </c>
      <c r="STK45" s="318" t="s">
        <v>3319</v>
      </c>
      <c r="STL45" s="319" t="s">
        <v>3320</v>
      </c>
      <c r="STM45" s="318" t="s">
        <v>3319</v>
      </c>
      <c r="STN45" s="319" t="s">
        <v>3320</v>
      </c>
      <c r="STO45" s="318" t="s">
        <v>3319</v>
      </c>
      <c r="STP45" s="319" t="s">
        <v>3320</v>
      </c>
      <c r="STQ45" s="318" t="s">
        <v>3319</v>
      </c>
      <c r="STR45" s="319" t="s">
        <v>3320</v>
      </c>
      <c r="STS45" s="318" t="s">
        <v>3319</v>
      </c>
      <c r="STT45" s="319" t="s">
        <v>3320</v>
      </c>
      <c r="STU45" s="318" t="s">
        <v>3319</v>
      </c>
      <c r="STV45" s="319" t="s">
        <v>3320</v>
      </c>
      <c r="STW45" s="318" t="s">
        <v>3319</v>
      </c>
      <c r="STX45" s="319" t="s">
        <v>3320</v>
      </c>
      <c r="STY45" s="318" t="s">
        <v>3319</v>
      </c>
      <c r="STZ45" s="319" t="s">
        <v>3320</v>
      </c>
      <c r="SUA45" s="318" t="s">
        <v>3319</v>
      </c>
      <c r="SUB45" s="319" t="s">
        <v>3320</v>
      </c>
      <c r="SUC45" s="318" t="s">
        <v>3319</v>
      </c>
      <c r="SUD45" s="319" t="s">
        <v>3320</v>
      </c>
      <c r="SUE45" s="318" t="s">
        <v>3319</v>
      </c>
      <c r="SUF45" s="319" t="s">
        <v>3320</v>
      </c>
      <c r="SUG45" s="318" t="s">
        <v>3319</v>
      </c>
      <c r="SUH45" s="319" t="s">
        <v>3320</v>
      </c>
      <c r="SUI45" s="318" t="s">
        <v>3319</v>
      </c>
      <c r="SUJ45" s="319" t="s">
        <v>3320</v>
      </c>
      <c r="SUK45" s="318" t="s">
        <v>3319</v>
      </c>
      <c r="SUL45" s="319" t="s">
        <v>3320</v>
      </c>
      <c r="SUM45" s="318" t="s">
        <v>3319</v>
      </c>
      <c r="SUN45" s="319" t="s">
        <v>3320</v>
      </c>
      <c r="SUO45" s="318" t="s">
        <v>3319</v>
      </c>
      <c r="SUP45" s="319" t="s">
        <v>3320</v>
      </c>
      <c r="SUQ45" s="318" t="s">
        <v>3319</v>
      </c>
      <c r="SUR45" s="319" t="s">
        <v>3320</v>
      </c>
      <c r="SUS45" s="318" t="s">
        <v>3319</v>
      </c>
      <c r="SUT45" s="319" t="s">
        <v>3320</v>
      </c>
      <c r="SUU45" s="318" t="s">
        <v>3319</v>
      </c>
      <c r="SUV45" s="319" t="s">
        <v>3320</v>
      </c>
      <c r="SUW45" s="318" t="s">
        <v>3319</v>
      </c>
      <c r="SUX45" s="319" t="s">
        <v>3320</v>
      </c>
      <c r="SUY45" s="318" t="s">
        <v>3319</v>
      </c>
      <c r="SUZ45" s="319" t="s">
        <v>3320</v>
      </c>
      <c r="SVA45" s="318" t="s">
        <v>3319</v>
      </c>
      <c r="SVB45" s="319" t="s">
        <v>3320</v>
      </c>
      <c r="SVC45" s="318" t="s">
        <v>3319</v>
      </c>
      <c r="SVD45" s="319" t="s">
        <v>3320</v>
      </c>
      <c r="SVE45" s="318" t="s">
        <v>3319</v>
      </c>
      <c r="SVF45" s="319" t="s">
        <v>3320</v>
      </c>
      <c r="SVG45" s="318" t="s">
        <v>3319</v>
      </c>
      <c r="SVH45" s="319" t="s">
        <v>3320</v>
      </c>
      <c r="SVI45" s="318" t="s">
        <v>3319</v>
      </c>
      <c r="SVJ45" s="319" t="s">
        <v>3320</v>
      </c>
      <c r="SVK45" s="318" t="s">
        <v>3319</v>
      </c>
      <c r="SVL45" s="319" t="s">
        <v>3320</v>
      </c>
      <c r="SVM45" s="318" t="s">
        <v>3319</v>
      </c>
      <c r="SVN45" s="319" t="s">
        <v>3320</v>
      </c>
      <c r="SVO45" s="318" t="s">
        <v>3319</v>
      </c>
      <c r="SVP45" s="319" t="s">
        <v>3320</v>
      </c>
      <c r="SVQ45" s="318" t="s">
        <v>3319</v>
      </c>
      <c r="SVR45" s="319" t="s">
        <v>3320</v>
      </c>
      <c r="SVS45" s="318" t="s">
        <v>3319</v>
      </c>
      <c r="SVT45" s="319" t="s">
        <v>3320</v>
      </c>
      <c r="SVU45" s="318" t="s">
        <v>3319</v>
      </c>
      <c r="SVV45" s="319" t="s">
        <v>3320</v>
      </c>
      <c r="SVW45" s="318" t="s">
        <v>3319</v>
      </c>
      <c r="SVX45" s="319" t="s">
        <v>3320</v>
      </c>
      <c r="SVY45" s="318" t="s">
        <v>3319</v>
      </c>
      <c r="SVZ45" s="319" t="s">
        <v>3320</v>
      </c>
      <c r="SWA45" s="318" t="s">
        <v>3319</v>
      </c>
      <c r="SWB45" s="319" t="s">
        <v>3320</v>
      </c>
      <c r="SWC45" s="318" t="s">
        <v>3319</v>
      </c>
      <c r="SWD45" s="319" t="s">
        <v>3320</v>
      </c>
      <c r="SWE45" s="318" t="s">
        <v>3319</v>
      </c>
      <c r="SWF45" s="319" t="s">
        <v>3320</v>
      </c>
      <c r="SWG45" s="318" t="s">
        <v>3319</v>
      </c>
      <c r="SWH45" s="319" t="s">
        <v>3320</v>
      </c>
      <c r="SWI45" s="318" t="s">
        <v>3319</v>
      </c>
      <c r="SWJ45" s="319" t="s">
        <v>3320</v>
      </c>
      <c r="SWK45" s="318" t="s">
        <v>3319</v>
      </c>
      <c r="SWL45" s="319" t="s">
        <v>3320</v>
      </c>
      <c r="SWM45" s="318" t="s">
        <v>3319</v>
      </c>
      <c r="SWN45" s="319" t="s">
        <v>3320</v>
      </c>
      <c r="SWO45" s="318" t="s">
        <v>3319</v>
      </c>
      <c r="SWP45" s="319" t="s">
        <v>3320</v>
      </c>
      <c r="SWQ45" s="318" t="s">
        <v>3319</v>
      </c>
      <c r="SWR45" s="319" t="s">
        <v>3320</v>
      </c>
      <c r="SWS45" s="318" t="s">
        <v>3319</v>
      </c>
      <c r="SWT45" s="319" t="s">
        <v>3320</v>
      </c>
      <c r="SWU45" s="318" t="s">
        <v>3319</v>
      </c>
      <c r="SWV45" s="319" t="s">
        <v>3320</v>
      </c>
      <c r="SWW45" s="318" t="s">
        <v>3319</v>
      </c>
      <c r="SWX45" s="319" t="s">
        <v>3320</v>
      </c>
      <c r="SWY45" s="318" t="s">
        <v>3319</v>
      </c>
      <c r="SWZ45" s="319" t="s">
        <v>3320</v>
      </c>
      <c r="SXA45" s="318" t="s">
        <v>3319</v>
      </c>
      <c r="SXB45" s="319" t="s">
        <v>3320</v>
      </c>
      <c r="SXC45" s="318" t="s">
        <v>3319</v>
      </c>
      <c r="SXD45" s="319" t="s">
        <v>3320</v>
      </c>
      <c r="SXE45" s="318" t="s">
        <v>3319</v>
      </c>
      <c r="SXF45" s="319" t="s">
        <v>3320</v>
      </c>
      <c r="SXG45" s="318" t="s">
        <v>3319</v>
      </c>
      <c r="SXH45" s="319" t="s">
        <v>3320</v>
      </c>
      <c r="SXI45" s="318" t="s">
        <v>3319</v>
      </c>
      <c r="SXJ45" s="319" t="s">
        <v>3320</v>
      </c>
      <c r="SXK45" s="318" t="s">
        <v>3319</v>
      </c>
      <c r="SXL45" s="319" t="s">
        <v>3320</v>
      </c>
      <c r="SXM45" s="318" t="s">
        <v>3319</v>
      </c>
      <c r="SXN45" s="319" t="s">
        <v>3320</v>
      </c>
      <c r="SXO45" s="318" t="s">
        <v>3319</v>
      </c>
      <c r="SXP45" s="319" t="s">
        <v>3320</v>
      </c>
      <c r="SXQ45" s="318" t="s">
        <v>3319</v>
      </c>
      <c r="SXR45" s="319" t="s">
        <v>3320</v>
      </c>
      <c r="SXS45" s="318" t="s">
        <v>3319</v>
      </c>
      <c r="SXT45" s="319" t="s">
        <v>3320</v>
      </c>
      <c r="SXU45" s="318" t="s">
        <v>3319</v>
      </c>
      <c r="SXV45" s="319" t="s">
        <v>3320</v>
      </c>
      <c r="SXW45" s="318" t="s">
        <v>3319</v>
      </c>
      <c r="SXX45" s="319" t="s">
        <v>3320</v>
      </c>
      <c r="SXY45" s="318" t="s">
        <v>3319</v>
      </c>
      <c r="SXZ45" s="319" t="s">
        <v>3320</v>
      </c>
      <c r="SYA45" s="318" t="s">
        <v>3319</v>
      </c>
      <c r="SYB45" s="319" t="s">
        <v>3320</v>
      </c>
      <c r="SYC45" s="318" t="s">
        <v>3319</v>
      </c>
      <c r="SYD45" s="319" t="s">
        <v>3320</v>
      </c>
      <c r="SYE45" s="318" t="s">
        <v>3319</v>
      </c>
      <c r="SYF45" s="319" t="s">
        <v>3320</v>
      </c>
      <c r="SYG45" s="318" t="s">
        <v>3319</v>
      </c>
      <c r="SYH45" s="319" t="s">
        <v>3320</v>
      </c>
      <c r="SYI45" s="318" t="s">
        <v>3319</v>
      </c>
      <c r="SYJ45" s="319" t="s">
        <v>3320</v>
      </c>
      <c r="SYK45" s="318" t="s">
        <v>3319</v>
      </c>
      <c r="SYL45" s="319" t="s">
        <v>3320</v>
      </c>
      <c r="SYM45" s="318" t="s">
        <v>3319</v>
      </c>
      <c r="SYN45" s="319" t="s">
        <v>3320</v>
      </c>
      <c r="SYO45" s="318" t="s">
        <v>3319</v>
      </c>
      <c r="SYP45" s="319" t="s">
        <v>3320</v>
      </c>
      <c r="SYQ45" s="318" t="s">
        <v>3319</v>
      </c>
      <c r="SYR45" s="319" t="s">
        <v>3320</v>
      </c>
      <c r="SYS45" s="318" t="s">
        <v>3319</v>
      </c>
      <c r="SYT45" s="319" t="s">
        <v>3320</v>
      </c>
      <c r="SYU45" s="318" t="s">
        <v>3319</v>
      </c>
      <c r="SYV45" s="319" t="s">
        <v>3320</v>
      </c>
      <c r="SYW45" s="318" t="s">
        <v>3319</v>
      </c>
      <c r="SYX45" s="319" t="s">
        <v>3320</v>
      </c>
      <c r="SYY45" s="318" t="s">
        <v>3319</v>
      </c>
      <c r="SYZ45" s="319" t="s">
        <v>3320</v>
      </c>
      <c r="SZA45" s="318" t="s">
        <v>3319</v>
      </c>
      <c r="SZB45" s="319" t="s">
        <v>3320</v>
      </c>
      <c r="SZC45" s="318" t="s">
        <v>3319</v>
      </c>
      <c r="SZD45" s="319" t="s">
        <v>3320</v>
      </c>
      <c r="SZE45" s="318" t="s">
        <v>3319</v>
      </c>
      <c r="SZF45" s="319" t="s">
        <v>3320</v>
      </c>
      <c r="SZG45" s="318" t="s">
        <v>3319</v>
      </c>
      <c r="SZH45" s="319" t="s">
        <v>3320</v>
      </c>
      <c r="SZI45" s="318" t="s">
        <v>3319</v>
      </c>
      <c r="SZJ45" s="319" t="s">
        <v>3320</v>
      </c>
      <c r="SZK45" s="318" t="s">
        <v>3319</v>
      </c>
      <c r="SZL45" s="319" t="s">
        <v>3320</v>
      </c>
      <c r="SZM45" s="318" t="s">
        <v>3319</v>
      </c>
      <c r="SZN45" s="319" t="s">
        <v>3320</v>
      </c>
      <c r="SZO45" s="318" t="s">
        <v>3319</v>
      </c>
      <c r="SZP45" s="319" t="s">
        <v>3320</v>
      </c>
      <c r="SZQ45" s="318" t="s">
        <v>3319</v>
      </c>
      <c r="SZR45" s="319" t="s">
        <v>3320</v>
      </c>
      <c r="SZS45" s="318" t="s">
        <v>3319</v>
      </c>
      <c r="SZT45" s="319" t="s">
        <v>3320</v>
      </c>
      <c r="SZU45" s="318" t="s">
        <v>3319</v>
      </c>
      <c r="SZV45" s="319" t="s">
        <v>3320</v>
      </c>
      <c r="SZW45" s="318" t="s">
        <v>3319</v>
      </c>
      <c r="SZX45" s="319" t="s">
        <v>3320</v>
      </c>
      <c r="SZY45" s="318" t="s">
        <v>3319</v>
      </c>
      <c r="SZZ45" s="319" t="s">
        <v>3320</v>
      </c>
      <c r="TAA45" s="318" t="s">
        <v>3319</v>
      </c>
      <c r="TAB45" s="319" t="s">
        <v>3320</v>
      </c>
      <c r="TAC45" s="318" t="s">
        <v>3319</v>
      </c>
      <c r="TAD45" s="319" t="s">
        <v>3320</v>
      </c>
      <c r="TAE45" s="318" t="s">
        <v>3319</v>
      </c>
      <c r="TAF45" s="319" t="s">
        <v>3320</v>
      </c>
      <c r="TAG45" s="318" t="s">
        <v>3319</v>
      </c>
      <c r="TAH45" s="319" t="s">
        <v>3320</v>
      </c>
      <c r="TAI45" s="318" t="s">
        <v>3319</v>
      </c>
      <c r="TAJ45" s="319" t="s">
        <v>3320</v>
      </c>
      <c r="TAK45" s="318" t="s">
        <v>3319</v>
      </c>
      <c r="TAL45" s="319" t="s">
        <v>3320</v>
      </c>
      <c r="TAM45" s="318" t="s">
        <v>3319</v>
      </c>
      <c r="TAN45" s="319" t="s">
        <v>3320</v>
      </c>
      <c r="TAO45" s="318" t="s">
        <v>3319</v>
      </c>
      <c r="TAP45" s="319" t="s">
        <v>3320</v>
      </c>
      <c r="TAQ45" s="318" t="s">
        <v>3319</v>
      </c>
      <c r="TAR45" s="319" t="s">
        <v>3320</v>
      </c>
      <c r="TAS45" s="318" t="s">
        <v>3319</v>
      </c>
      <c r="TAT45" s="319" t="s">
        <v>3320</v>
      </c>
      <c r="TAU45" s="318" t="s">
        <v>3319</v>
      </c>
      <c r="TAV45" s="319" t="s">
        <v>3320</v>
      </c>
      <c r="TAW45" s="318" t="s">
        <v>3319</v>
      </c>
      <c r="TAX45" s="319" t="s">
        <v>3320</v>
      </c>
      <c r="TAY45" s="318" t="s">
        <v>3319</v>
      </c>
      <c r="TAZ45" s="319" t="s">
        <v>3320</v>
      </c>
      <c r="TBA45" s="318" t="s">
        <v>3319</v>
      </c>
      <c r="TBB45" s="319" t="s">
        <v>3320</v>
      </c>
      <c r="TBC45" s="318" t="s">
        <v>3319</v>
      </c>
      <c r="TBD45" s="319" t="s">
        <v>3320</v>
      </c>
      <c r="TBE45" s="318" t="s">
        <v>3319</v>
      </c>
      <c r="TBF45" s="319" t="s">
        <v>3320</v>
      </c>
      <c r="TBG45" s="318" t="s">
        <v>3319</v>
      </c>
      <c r="TBH45" s="319" t="s">
        <v>3320</v>
      </c>
      <c r="TBI45" s="318" t="s">
        <v>3319</v>
      </c>
      <c r="TBJ45" s="319" t="s">
        <v>3320</v>
      </c>
      <c r="TBK45" s="318" t="s">
        <v>3319</v>
      </c>
      <c r="TBL45" s="319" t="s">
        <v>3320</v>
      </c>
      <c r="TBM45" s="318" t="s">
        <v>3319</v>
      </c>
      <c r="TBN45" s="319" t="s">
        <v>3320</v>
      </c>
      <c r="TBO45" s="318" t="s">
        <v>3319</v>
      </c>
      <c r="TBP45" s="319" t="s">
        <v>3320</v>
      </c>
      <c r="TBQ45" s="318" t="s">
        <v>3319</v>
      </c>
      <c r="TBR45" s="319" t="s">
        <v>3320</v>
      </c>
      <c r="TBS45" s="318" t="s">
        <v>3319</v>
      </c>
      <c r="TBT45" s="319" t="s">
        <v>3320</v>
      </c>
      <c r="TBU45" s="318" t="s">
        <v>3319</v>
      </c>
      <c r="TBV45" s="319" t="s">
        <v>3320</v>
      </c>
      <c r="TBW45" s="318" t="s">
        <v>3319</v>
      </c>
      <c r="TBX45" s="319" t="s">
        <v>3320</v>
      </c>
      <c r="TBY45" s="318" t="s">
        <v>3319</v>
      </c>
      <c r="TBZ45" s="319" t="s">
        <v>3320</v>
      </c>
      <c r="TCA45" s="318" t="s">
        <v>3319</v>
      </c>
      <c r="TCB45" s="319" t="s">
        <v>3320</v>
      </c>
      <c r="TCC45" s="318" t="s">
        <v>3319</v>
      </c>
      <c r="TCD45" s="319" t="s">
        <v>3320</v>
      </c>
      <c r="TCE45" s="318" t="s">
        <v>3319</v>
      </c>
      <c r="TCF45" s="319" t="s">
        <v>3320</v>
      </c>
      <c r="TCG45" s="318" t="s">
        <v>3319</v>
      </c>
      <c r="TCH45" s="319" t="s">
        <v>3320</v>
      </c>
      <c r="TCI45" s="318" t="s">
        <v>3319</v>
      </c>
      <c r="TCJ45" s="319" t="s">
        <v>3320</v>
      </c>
      <c r="TCK45" s="318" t="s">
        <v>3319</v>
      </c>
      <c r="TCL45" s="319" t="s">
        <v>3320</v>
      </c>
      <c r="TCM45" s="318" t="s">
        <v>3319</v>
      </c>
      <c r="TCN45" s="319" t="s">
        <v>3320</v>
      </c>
      <c r="TCO45" s="318" t="s">
        <v>3319</v>
      </c>
      <c r="TCP45" s="319" t="s">
        <v>3320</v>
      </c>
      <c r="TCQ45" s="318" t="s">
        <v>3319</v>
      </c>
      <c r="TCR45" s="319" t="s">
        <v>3320</v>
      </c>
      <c r="TCS45" s="318" t="s">
        <v>3319</v>
      </c>
      <c r="TCT45" s="319" t="s">
        <v>3320</v>
      </c>
      <c r="TCU45" s="318" t="s">
        <v>3319</v>
      </c>
      <c r="TCV45" s="319" t="s">
        <v>3320</v>
      </c>
      <c r="TCW45" s="318" t="s">
        <v>3319</v>
      </c>
      <c r="TCX45" s="319" t="s">
        <v>3320</v>
      </c>
      <c r="TCY45" s="318" t="s">
        <v>3319</v>
      </c>
      <c r="TCZ45" s="319" t="s">
        <v>3320</v>
      </c>
      <c r="TDA45" s="318" t="s">
        <v>3319</v>
      </c>
      <c r="TDB45" s="319" t="s">
        <v>3320</v>
      </c>
      <c r="TDC45" s="318" t="s">
        <v>3319</v>
      </c>
      <c r="TDD45" s="319" t="s">
        <v>3320</v>
      </c>
      <c r="TDE45" s="318" t="s">
        <v>3319</v>
      </c>
      <c r="TDF45" s="319" t="s">
        <v>3320</v>
      </c>
      <c r="TDG45" s="318" t="s">
        <v>3319</v>
      </c>
      <c r="TDH45" s="319" t="s">
        <v>3320</v>
      </c>
      <c r="TDI45" s="318" t="s">
        <v>3319</v>
      </c>
      <c r="TDJ45" s="319" t="s">
        <v>3320</v>
      </c>
      <c r="TDK45" s="318" t="s">
        <v>3319</v>
      </c>
      <c r="TDL45" s="319" t="s">
        <v>3320</v>
      </c>
      <c r="TDM45" s="318" t="s">
        <v>3319</v>
      </c>
      <c r="TDN45" s="319" t="s">
        <v>3320</v>
      </c>
      <c r="TDO45" s="318" t="s">
        <v>3319</v>
      </c>
      <c r="TDP45" s="319" t="s">
        <v>3320</v>
      </c>
      <c r="TDQ45" s="318" t="s">
        <v>3319</v>
      </c>
      <c r="TDR45" s="319" t="s">
        <v>3320</v>
      </c>
      <c r="TDS45" s="318" t="s">
        <v>3319</v>
      </c>
      <c r="TDT45" s="319" t="s">
        <v>3320</v>
      </c>
      <c r="TDU45" s="318" t="s">
        <v>3319</v>
      </c>
      <c r="TDV45" s="319" t="s">
        <v>3320</v>
      </c>
      <c r="TDW45" s="318" t="s">
        <v>3319</v>
      </c>
      <c r="TDX45" s="319" t="s">
        <v>3320</v>
      </c>
      <c r="TDY45" s="318" t="s">
        <v>3319</v>
      </c>
      <c r="TDZ45" s="319" t="s">
        <v>3320</v>
      </c>
      <c r="TEA45" s="318" t="s">
        <v>3319</v>
      </c>
      <c r="TEB45" s="319" t="s">
        <v>3320</v>
      </c>
      <c r="TEC45" s="318" t="s">
        <v>3319</v>
      </c>
      <c r="TED45" s="319" t="s">
        <v>3320</v>
      </c>
      <c r="TEE45" s="318" t="s">
        <v>3319</v>
      </c>
      <c r="TEF45" s="319" t="s">
        <v>3320</v>
      </c>
      <c r="TEG45" s="318" t="s">
        <v>3319</v>
      </c>
      <c r="TEH45" s="319" t="s">
        <v>3320</v>
      </c>
      <c r="TEI45" s="318" t="s">
        <v>3319</v>
      </c>
      <c r="TEJ45" s="319" t="s">
        <v>3320</v>
      </c>
      <c r="TEK45" s="318" t="s">
        <v>3319</v>
      </c>
      <c r="TEL45" s="319" t="s">
        <v>3320</v>
      </c>
      <c r="TEM45" s="318" t="s">
        <v>3319</v>
      </c>
      <c r="TEN45" s="319" t="s">
        <v>3320</v>
      </c>
      <c r="TEO45" s="318" t="s">
        <v>3319</v>
      </c>
      <c r="TEP45" s="319" t="s">
        <v>3320</v>
      </c>
      <c r="TEQ45" s="318" t="s">
        <v>3319</v>
      </c>
      <c r="TER45" s="319" t="s">
        <v>3320</v>
      </c>
      <c r="TES45" s="318" t="s">
        <v>3319</v>
      </c>
      <c r="TET45" s="319" t="s">
        <v>3320</v>
      </c>
      <c r="TEU45" s="318" t="s">
        <v>3319</v>
      </c>
      <c r="TEV45" s="319" t="s">
        <v>3320</v>
      </c>
      <c r="TEW45" s="318" t="s">
        <v>3319</v>
      </c>
      <c r="TEX45" s="319" t="s">
        <v>3320</v>
      </c>
      <c r="TEY45" s="318" t="s">
        <v>3319</v>
      </c>
      <c r="TEZ45" s="319" t="s">
        <v>3320</v>
      </c>
      <c r="TFA45" s="318" t="s">
        <v>3319</v>
      </c>
      <c r="TFB45" s="319" t="s">
        <v>3320</v>
      </c>
      <c r="TFC45" s="318" t="s">
        <v>3319</v>
      </c>
      <c r="TFD45" s="319" t="s">
        <v>3320</v>
      </c>
      <c r="TFE45" s="318" t="s">
        <v>3319</v>
      </c>
      <c r="TFF45" s="319" t="s">
        <v>3320</v>
      </c>
      <c r="TFG45" s="318" t="s">
        <v>3319</v>
      </c>
      <c r="TFH45" s="319" t="s">
        <v>3320</v>
      </c>
      <c r="TFI45" s="318" t="s">
        <v>3319</v>
      </c>
      <c r="TFJ45" s="319" t="s">
        <v>3320</v>
      </c>
      <c r="TFK45" s="318" t="s">
        <v>3319</v>
      </c>
      <c r="TFL45" s="319" t="s">
        <v>3320</v>
      </c>
      <c r="TFM45" s="318" t="s">
        <v>3319</v>
      </c>
      <c r="TFN45" s="319" t="s">
        <v>3320</v>
      </c>
      <c r="TFO45" s="318" t="s">
        <v>3319</v>
      </c>
      <c r="TFP45" s="319" t="s">
        <v>3320</v>
      </c>
      <c r="TFQ45" s="318" t="s">
        <v>3319</v>
      </c>
      <c r="TFR45" s="319" t="s">
        <v>3320</v>
      </c>
      <c r="TFS45" s="318" t="s">
        <v>3319</v>
      </c>
      <c r="TFT45" s="319" t="s">
        <v>3320</v>
      </c>
      <c r="TFU45" s="318" t="s">
        <v>3319</v>
      </c>
      <c r="TFV45" s="319" t="s">
        <v>3320</v>
      </c>
      <c r="TFW45" s="318" t="s">
        <v>3319</v>
      </c>
      <c r="TFX45" s="319" t="s">
        <v>3320</v>
      </c>
      <c r="TFY45" s="318" t="s">
        <v>3319</v>
      </c>
      <c r="TFZ45" s="319" t="s">
        <v>3320</v>
      </c>
      <c r="TGA45" s="318" t="s">
        <v>3319</v>
      </c>
      <c r="TGB45" s="319" t="s">
        <v>3320</v>
      </c>
      <c r="TGC45" s="318" t="s">
        <v>3319</v>
      </c>
      <c r="TGD45" s="319" t="s">
        <v>3320</v>
      </c>
      <c r="TGE45" s="318" t="s">
        <v>3319</v>
      </c>
      <c r="TGF45" s="319" t="s">
        <v>3320</v>
      </c>
      <c r="TGG45" s="318" t="s">
        <v>3319</v>
      </c>
      <c r="TGH45" s="319" t="s">
        <v>3320</v>
      </c>
      <c r="TGI45" s="318" t="s">
        <v>3319</v>
      </c>
      <c r="TGJ45" s="319" t="s">
        <v>3320</v>
      </c>
      <c r="TGK45" s="318" t="s">
        <v>3319</v>
      </c>
      <c r="TGL45" s="319" t="s">
        <v>3320</v>
      </c>
      <c r="TGM45" s="318" t="s">
        <v>3319</v>
      </c>
      <c r="TGN45" s="319" t="s">
        <v>3320</v>
      </c>
      <c r="TGO45" s="318" t="s">
        <v>3319</v>
      </c>
      <c r="TGP45" s="319" t="s">
        <v>3320</v>
      </c>
      <c r="TGQ45" s="318" t="s">
        <v>3319</v>
      </c>
      <c r="TGR45" s="319" t="s">
        <v>3320</v>
      </c>
      <c r="TGS45" s="318" t="s">
        <v>3319</v>
      </c>
      <c r="TGT45" s="319" t="s">
        <v>3320</v>
      </c>
      <c r="TGU45" s="318" t="s">
        <v>3319</v>
      </c>
      <c r="TGV45" s="319" t="s">
        <v>3320</v>
      </c>
      <c r="TGW45" s="318" t="s">
        <v>3319</v>
      </c>
      <c r="TGX45" s="319" t="s">
        <v>3320</v>
      </c>
      <c r="TGY45" s="318" t="s">
        <v>3319</v>
      </c>
      <c r="TGZ45" s="319" t="s">
        <v>3320</v>
      </c>
      <c r="THA45" s="318" t="s">
        <v>3319</v>
      </c>
      <c r="THB45" s="319" t="s">
        <v>3320</v>
      </c>
      <c r="THC45" s="318" t="s">
        <v>3319</v>
      </c>
      <c r="THD45" s="319" t="s">
        <v>3320</v>
      </c>
      <c r="THE45" s="318" t="s">
        <v>3319</v>
      </c>
      <c r="THF45" s="319" t="s">
        <v>3320</v>
      </c>
      <c r="THG45" s="318" t="s">
        <v>3319</v>
      </c>
      <c r="THH45" s="319" t="s">
        <v>3320</v>
      </c>
      <c r="THI45" s="318" t="s">
        <v>3319</v>
      </c>
      <c r="THJ45" s="319" t="s">
        <v>3320</v>
      </c>
      <c r="THK45" s="318" t="s">
        <v>3319</v>
      </c>
      <c r="THL45" s="319" t="s">
        <v>3320</v>
      </c>
      <c r="THM45" s="318" t="s">
        <v>3319</v>
      </c>
      <c r="THN45" s="319" t="s">
        <v>3320</v>
      </c>
      <c r="THO45" s="318" t="s">
        <v>3319</v>
      </c>
      <c r="THP45" s="319" t="s">
        <v>3320</v>
      </c>
      <c r="THQ45" s="318" t="s">
        <v>3319</v>
      </c>
      <c r="THR45" s="319" t="s">
        <v>3320</v>
      </c>
      <c r="THS45" s="318" t="s">
        <v>3319</v>
      </c>
      <c r="THT45" s="319" t="s">
        <v>3320</v>
      </c>
      <c r="THU45" s="318" t="s">
        <v>3319</v>
      </c>
      <c r="THV45" s="319" t="s">
        <v>3320</v>
      </c>
      <c r="THW45" s="318" t="s">
        <v>3319</v>
      </c>
      <c r="THX45" s="319" t="s">
        <v>3320</v>
      </c>
      <c r="THY45" s="318" t="s">
        <v>3319</v>
      </c>
      <c r="THZ45" s="319" t="s">
        <v>3320</v>
      </c>
      <c r="TIA45" s="318" t="s">
        <v>3319</v>
      </c>
      <c r="TIB45" s="319" t="s">
        <v>3320</v>
      </c>
      <c r="TIC45" s="318" t="s">
        <v>3319</v>
      </c>
      <c r="TID45" s="319" t="s">
        <v>3320</v>
      </c>
      <c r="TIE45" s="318" t="s">
        <v>3319</v>
      </c>
      <c r="TIF45" s="319" t="s">
        <v>3320</v>
      </c>
      <c r="TIG45" s="318" t="s">
        <v>3319</v>
      </c>
      <c r="TIH45" s="319" t="s">
        <v>3320</v>
      </c>
      <c r="TII45" s="318" t="s">
        <v>3319</v>
      </c>
      <c r="TIJ45" s="319" t="s">
        <v>3320</v>
      </c>
      <c r="TIK45" s="318" t="s">
        <v>3319</v>
      </c>
      <c r="TIL45" s="319" t="s">
        <v>3320</v>
      </c>
      <c r="TIM45" s="318" t="s">
        <v>3319</v>
      </c>
      <c r="TIN45" s="319" t="s">
        <v>3320</v>
      </c>
      <c r="TIO45" s="318" t="s">
        <v>3319</v>
      </c>
      <c r="TIP45" s="319" t="s">
        <v>3320</v>
      </c>
      <c r="TIQ45" s="318" t="s">
        <v>3319</v>
      </c>
      <c r="TIR45" s="319" t="s">
        <v>3320</v>
      </c>
      <c r="TIS45" s="318" t="s">
        <v>3319</v>
      </c>
      <c r="TIT45" s="319" t="s">
        <v>3320</v>
      </c>
      <c r="TIU45" s="318" t="s">
        <v>3319</v>
      </c>
      <c r="TIV45" s="319" t="s">
        <v>3320</v>
      </c>
      <c r="TIW45" s="318" t="s">
        <v>3319</v>
      </c>
      <c r="TIX45" s="319" t="s">
        <v>3320</v>
      </c>
      <c r="TIY45" s="318" t="s">
        <v>3319</v>
      </c>
      <c r="TIZ45" s="319" t="s">
        <v>3320</v>
      </c>
      <c r="TJA45" s="318" t="s">
        <v>3319</v>
      </c>
      <c r="TJB45" s="319" t="s">
        <v>3320</v>
      </c>
      <c r="TJC45" s="318" t="s">
        <v>3319</v>
      </c>
      <c r="TJD45" s="319" t="s">
        <v>3320</v>
      </c>
      <c r="TJE45" s="318" t="s">
        <v>3319</v>
      </c>
      <c r="TJF45" s="319" t="s">
        <v>3320</v>
      </c>
      <c r="TJG45" s="318" t="s">
        <v>3319</v>
      </c>
      <c r="TJH45" s="319" t="s">
        <v>3320</v>
      </c>
      <c r="TJI45" s="318" t="s">
        <v>3319</v>
      </c>
      <c r="TJJ45" s="319" t="s">
        <v>3320</v>
      </c>
      <c r="TJK45" s="318" t="s">
        <v>3319</v>
      </c>
      <c r="TJL45" s="319" t="s">
        <v>3320</v>
      </c>
      <c r="TJM45" s="318" t="s">
        <v>3319</v>
      </c>
      <c r="TJN45" s="319" t="s">
        <v>3320</v>
      </c>
      <c r="TJO45" s="318" t="s">
        <v>3319</v>
      </c>
      <c r="TJP45" s="319" t="s">
        <v>3320</v>
      </c>
      <c r="TJQ45" s="318" t="s">
        <v>3319</v>
      </c>
      <c r="TJR45" s="319" t="s">
        <v>3320</v>
      </c>
      <c r="TJS45" s="318" t="s">
        <v>3319</v>
      </c>
      <c r="TJT45" s="319" t="s">
        <v>3320</v>
      </c>
      <c r="TJU45" s="318" t="s">
        <v>3319</v>
      </c>
      <c r="TJV45" s="319" t="s">
        <v>3320</v>
      </c>
      <c r="TJW45" s="318" t="s">
        <v>3319</v>
      </c>
      <c r="TJX45" s="319" t="s">
        <v>3320</v>
      </c>
      <c r="TJY45" s="318" t="s">
        <v>3319</v>
      </c>
      <c r="TJZ45" s="319" t="s">
        <v>3320</v>
      </c>
      <c r="TKA45" s="318" t="s">
        <v>3319</v>
      </c>
      <c r="TKB45" s="319" t="s">
        <v>3320</v>
      </c>
      <c r="TKC45" s="318" t="s">
        <v>3319</v>
      </c>
      <c r="TKD45" s="319" t="s">
        <v>3320</v>
      </c>
      <c r="TKE45" s="318" t="s">
        <v>3319</v>
      </c>
      <c r="TKF45" s="319" t="s">
        <v>3320</v>
      </c>
      <c r="TKG45" s="318" t="s">
        <v>3319</v>
      </c>
      <c r="TKH45" s="319" t="s">
        <v>3320</v>
      </c>
      <c r="TKI45" s="318" t="s">
        <v>3319</v>
      </c>
      <c r="TKJ45" s="319" t="s">
        <v>3320</v>
      </c>
      <c r="TKK45" s="318" t="s">
        <v>3319</v>
      </c>
      <c r="TKL45" s="319" t="s">
        <v>3320</v>
      </c>
      <c r="TKM45" s="318" t="s">
        <v>3319</v>
      </c>
      <c r="TKN45" s="319" t="s">
        <v>3320</v>
      </c>
      <c r="TKO45" s="318" t="s">
        <v>3319</v>
      </c>
      <c r="TKP45" s="319" t="s">
        <v>3320</v>
      </c>
      <c r="TKQ45" s="318" t="s">
        <v>3319</v>
      </c>
      <c r="TKR45" s="319" t="s">
        <v>3320</v>
      </c>
      <c r="TKS45" s="318" t="s">
        <v>3319</v>
      </c>
      <c r="TKT45" s="319" t="s">
        <v>3320</v>
      </c>
      <c r="TKU45" s="318" t="s">
        <v>3319</v>
      </c>
      <c r="TKV45" s="319" t="s">
        <v>3320</v>
      </c>
      <c r="TKW45" s="318" t="s">
        <v>3319</v>
      </c>
      <c r="TKX45" s="319" t="s">
        <v>3320</v>
      </c>
      <c r="TKY45" s="318" t="s">
        <v>3319</v>
      </c>
      <c r="TKZ45" s="319" t="s">
        <v>3320</v>
      </c>
      <c r="TLA45" s="318" t="s">
        <v>3319</v>
      </c>
      <c r="TLB45" s="319" t="s">
        <v>3320</v>
      </c>
      <c r="TLC45" s="318" t="s">
        <v>3319</v>
      </c>
      <c r="TLD45" s="319" t="s">
        <v>3320</v>
      </c>
      <c r="TLE45" s="318" t="s">
        <v>3319</v>
      </c>
      <c r="TLF45" s="319" t="s">
        <v>3320</v>
      </c>
      <c r="TLG45" s="318" t="s">
        <v>3319</v>
      </c>
      <c r="TLH45" s="319" t="s">
        <v>3320</v>
      </c>
      <c r="TLI45" s="318" t="s">
        <v>3319</v>
      </c>
      <c r="TLJ45" s="319" t="s">
        <v>3320</v>
      </c>
      <c r="TLK45" s="318" t="s">
        <v>3319</v>
      </c>
      <c r="TLL45" s="319" t="s">
        <v>3320</v>
      </c>
      <c r="TLM45" s="318" t="s">
        <v>3319</v>
      </c>
      <c r="TLN45" s="319" t="s">
        <v>3320</v>
      </c>
      <c r="TLO45" s="318" t="s">
        <v>3319</v>
      </c>
      <c r="TLP45" s="319" t="s">
        <v>3320</v>
      </c>
      <c r="TLQ45" s="318" t="s">
        <v>3319</v>
      </c>
      <c r="TLR45" s="319" t="s">
        <v>3320</v>
      </c>
      <c r="TLS45" s="318" t="s">
        <v>3319</v>
      </c>
      <c r="TLT45" s="319" t="s">
        <v>3320</v>
      </c>
      <c r="TLU45" s="318" t="s">
        <v>3319</v>
      </c>
      <c r="TLV45" s="319" t="s">
        <v>3320</v>
      </c>
      <c r="TLW45" s="318" t="s">
        <v>3319</v>
      </c>
      <c r="TLX45" s="319" t="s">
        <v>3320</v>
      </c>
      <c r="TLY45" s="318" t="s">
        <v>3319</v>
      </c>
      <c r="TLZ45" s="319" t="s">
        <v>3320</v>
      </c>
      <c r="TMA45" s="318" t="s">
        <v>3319</v>
      </c>
      <c r="TMB45" s="319" t="s">
        <v>3320</v>
      </c>
      <c r="TMC45" s="318" t="s">
        <v>3319</v>
      </c>
      <c r="TMD45" s="319" t="s">
        <v>3320</v>
      </c>
      <c r="TME45" s="318" t="s">
        <v>3319</v>
      </c>
      <c r="TMF45" s="319" t="s">
        <v>3320</v>
      </c>
      <c r="TMG45" s="318" t="s">
        <v>3319</v>
      </c>
      <c r="TMH45" s="319" t="s">
        <v>3320</v>
      </c>
      <c r="TMI45" s="318" t="s">
        <v>3319</v>
      </c>
      <c r="TMJ45" s="319" t="s">
        <v>3320</v>
      </c>
      <c r="TMK45" s="318" t="s">
        <v>3319</v>
      </c>
      <c r="TML45" s="319" t="s">
        <v>3320</v>
      </c>
      <c r="TMM45" s="318" t="s">
        <v>3319</v>
      </c>
      <c r="TMN45" s="319" t="s">
        <v>3320</v>
      </c>
      <c r="TMO45" s="318" t="s">
        <v>3319</v>
      </c>
      <c r="TMP45" s="319" t="s">
        <v>3320</v>
      </c>
      <c r="TMQ45" s="318" t="s">
        <v>3319</v>
      </c>
      <c r="TMR45" s="319" t="s">
        <v>3320</v>
      </c>
      <c r="TMS45" s="318" t="s">
        <v>3319</v>
      </c>
      <c r="TMT45" s="319" t="s">
        <v>3320</v>
      </c>
      <c r="TMU45" s="318" t="s">
        <v>3319</v>
      </c>
      <c r="TMV45" s="319" t="s">
        <v>3320</v>
      </c>
      <c r="TMW45" s="318" t="s">
        <v>3319</v>
      </c>
      <c r="TMX45" s="319" t="s">
        <v>3320</v>
      </c>
      <c r="TMY45" s="318" t="s">
        <v>3319</v>
      </c>
      <c r="TMZ45" s="319" t="s">
        <v>3320</v>
      </c>
      <c r="TNA45" s="318" t="s">
        <v>3319</v>
      </c>
      <c r="TNB45" s="319" t="s">
        <v>3320</v>
      </c>
      <c r="TNC45" s="318" t="s">
        <v>3319</v>
      </c>
      <c r="TND45" s="319" t="s">
        <v>3320</v>
      </c>
      <c r="TNE45" s="318" t="s">
        <v>3319</v>
      </c>
      <c r="TNF45" s="319" t="s">
        <v>3320</v>
      </c>
      <c r="TNG45" s="318" t="s">
        <v>3319</v>
      </c>
      <c r="TNH45" s="319" t="s">
        <v>3320</v>
      </c>
      <c r="TNI45" s="318" t="s">
        <v>3319</v>
      </c>
      <c r="TNJ45" s="319" t="s">
        <v>3320</v>
      </c>
      <c r="TNK45" s="318" t="s">
        <v>3319</v>
      </c>
      <c r="TNL45" s="319" t="s">
        <v>3320</v>
      </c>
      <c r="TNM45" s="318" t="s">
        <v>3319</v>
      </c>
      <c r="TNN45" s="319" t="s">
        <v>3320</v>
      </c>
      <c r="TNO45" s="318" t="s">
        <v>3319</v>
      </c>
      <c r="TNP45" s="319" t="s">
        <v>3320</v>
      </c>
      <c r="TNQ45" s="318" t="s">
        <v>3319</v>
      </c>
      <c r="TNR45" s="319" t="s">
        <v>3320</v>
      </c>
      <c r="TNS45" s="318" t="s">
        <v>3319</v>
      </c>
      <c r="TNT45" s="319" t="s">
        <v>3320</v>
      </c>
      <c r="TNU45" s="318" t="s">
        <v>3319</v>
      </c>
      <c r="TNV45" s="319" t="s">
        <v>3320</v>
      </c>
      <c r="TNW45" s="318" t="s">
        <v>3319</v>
      </c>
      <c r="TNX45" s="319" t="s">
        <v>3320</v>
      </c>
      <c r="TNY45" s="318" t="s">
        <v>3319</v>
      </c>
      <c r="TNZ45" s="319" t="s">
        <v>3320</v>
      </c>
      <c r="TOA45" s="318" t="s">
        <v>3319</v>
      </c>
      <c r="TOB45" s="319" t="s">
        <v>3320</v>
      </c>
      <c r="TOC45" s="318" t="s">
        <v>3319</v>
      </c>
      <c r="TOD45" s="319" t="s">
        <v>3320</v>
      </c>
      <c r="TOE45" s="318" t="s">
        <v>3319</v>
      </c>
      <c r="TOF45" s="319" t="s">
        <v>3320</v>
      </c>
      <c r="TOG45" s="318" t="s">
        <v>3319</v>
      </c>
      <c r="TOH45" s="319" t="s">
        <v>3320</v>
      </c>
      <c r="TOI45" s="318" t="s">
        <v>3319</v>
      </c>
      <c r="TOJ45" s="319" t="s">
        <v>3320</v>
      </c>
      <c r="TOK45" s="318" t="s">
        <v>3319</v>
      </c>
      <c r="TOL45" s="319" t="s">
        <v>3320</v>
      </c>
      <c r="TOM45" s="318" t="s">
        <v>3319</v>
      </c>
      <c r="TON45" s="319" t="s">
        <v>3320</v>
      </c>
      <c r="TOO45" s="318" t="s">
        <v>3319</v>
      </c>
      <c r="TOP45" s="319" t="s">
        <v>3320</v>
      </c>
      <c r="TOQ45" s="318" t="s">
        <v>3319</v>
      </c>
      <c r="TOR45" s="319" t="s">
        <v>3320</v>
      </c>
      <c r="TOS45" s="318" t="s">
        <v>3319</v>
      </c>
      <c r="TOT45" s="319" t="s">
        <v>3320</v>
      </c>
      <c r="TOU45" s="318" t="s">
        <v>3319</v>
      </c>
      <c r="TOV45" s="319" t="s">
        <v>3320</v>
      </c>
      <c r="TOW45" s="318" t="s">
        <v>3319</v>
      </c>
      <c r="TOX45" s="319" t="s">
        <v>3320</v>
      </c>
      <c r="TOY45" s="318" t="s">
        <v>3319</v>
      </c>
      <c r="TOZ45" s="319" t="s">
        <v>3320</v>
      </c>
      <c r="TPA45" s="318" t="s">
        <v>3319</v>
      </c>
      <c r="TPB45" s="319" t="s">
        <v>3320</v>
      </c>
      <c r="TPC45" s="318" t="s">
        <v>3319</v>
      </c>
      <c r="TPD45" s="319" t="s">
        <v>3320</v>
      </c>
      <c r="TPE45" s="318" t="s">
        <v>3319</v>
      </c>
      <c r="TPF45" s="319" t="s">
        <v>3320</v>
      </c>
      <c r="TPG45" s="318" t="s">
        <v>3319</v>
      </c>
      <c r="TPH45" s="319" t="s">
        <v>3320</v>
      </c>
      <c r="TPI45" s="318" t="s">
        <v>3319</v>
      </c>
      <c r="TPJ45" s="319" t="s">
        <v>3320</v>
      </c>
      <c r="TPK45" s="318" t="s">
        <v>3319</v>
      </c>
      <c r="TPL45" s="319" t="s">
        <v>3320</v>
      </c>
      <c r="TPM45" s="318" t="s">
        <v>3319</v>
      </c>
      <c r="TPN45" s="319" t="s">
        <v>3320</v>
      </c>
      <c r="TPO45" s="318" t="s">
        <v>3319</v>
      </c>
      <c r="TPP45" s="319" t="s">
        <v>3320</v>
      </c>
      <c r="TPQ45" s="318" t="s">
        <v>3319</v>
      </c>
      <c r="TPR45" s="319" t="s">
        <v>3320</v>
      </c>
      <c r="TPS45" s="318" t="s">
        <v>3319</v>
      </c>
      <c r="TPT45" s="319" t="s">
        <v>3320</v>
      </c>
      <c r="TPU45" s="318" t="s">
        <v>3319</v>
      </c>
      <c r="TPV45" s="319" t="s">
        <v>3320</v>
      </c>
      <c r="TPW45" s="318" t="s">
        <v>3319</v>
      </c>
      <c r="TPX45" s="319" t="s">
        <v>3320</v>
      </c>
      <c r="TPY45" s="318" t="s">
        <v>3319</v>
      </c>
      <c r="TPZ45" s="319" t="s">
        <v>3320</v>
      </c>
      <c r="TQA45" s="318" t="s">
        <v>3319</v>
      </c>
      <c r="TQB45" s="319" t="s">
        <v>3320</v>
      </c>
      <c r="TQC45" s="318" t="s">
        <v>3319</v>
      </c>
      <c r="TQD45" s="319" t="s">
        <v>3320</v>
      </c>
      <c r="TQE45" s="318" t="s">
        <v>3319</v>
      </c>
      <c r="TQF45" s="319" t="s">
        <v>3320</v>
      </c>
      <c r="TQG45" s="318" t="s">
        <v>3319</v>
      </c>
      <c r="TQH45" s="319" t="s">
        <v>3320</v>
      </c>
      <c r="TQI45" s="318" t="s">
        <v>3319</v>
      </c>
      <c r="TQJ45" s="319" t="s">
        <v>3320</v>
      </c>
      <c r="TQK45" s="318" t="s">
        <v>3319</v>
      </c>
      <c r="TQL45" s="319" t="s">
        <v>3320</v>
      </c>
      <c r="TQM45" s="318" t="s">
        <v>3319</v>
      </c>
      <c r="TQN45" s="319" t="s">
        <v>3320</v>
      </c>
      <c r="TQO45" s="318" t="s">
        <v>3319</v>
      </c>
      <c r="TQP45" s="319" t="s">
        <v>3320</v>
      </c>
      <c r="TQQ45" s="318" t="s">
        <v>3319</v>
      </c>
      <c r="TQR45" s="319" t="s">
        <v>3320</v>
      </c>
      <c r="TQS45" s="318" t="s">
        <v>3319</v>
      </c>
      <c r="TQT45" s="319" t="s">
        <v>3320</v>
      </c>
      <c r="TQU45" s="318" t="s">
        <v>3319</v>
      </c>
      <c r="TQV45" s="319" t="s">
        <v>3320</v>
      </c>
      <c r="TQW45" s="318" t="s">
        <v>3319</v>
      </c>
      <c r="TQX45" s="319" t="s">
        <v>3320</v>
      </c>
      <c r="TQY45" s="318" t="s">
        <v>3319</v>
      </c>
      <c r="TQZ45" s="319" t="s">
        <v>3320</v>
      </c>
      <c r="TRA45" s="318" t="s">
        <v>3319</v>
      </c>
      <c r="TRB45" s="319" t="s">
        <v>3320</v>
      </c>
      <c r="TRC45" s="318" t="s">
        <v>3319</v>
      </c>
      <c r="TRD45" s="319" t="s">
        <v>3320</v>
      </c>
      <c r="TRE45" s="318" t="s">
        <v>3319</v>
      </c>
      <c r="TRF45" s="319" t="s">
        <v>3320</v>
      </c>
      <c r="TRG45" s="318" t="s">
        <v>3319</v>
      </c>
      <c r="TRH45" s="319" t="s">
        <v>3320</v>
      </c>
      <c r="TRI45" s="318" t="s">
        <v>3319</v>
      </c>
      <c r="TRJ45" s="319" t="s">
        <v>3320</v>
      </c>
      <c r="TRK45" s="318" t="s">
        <v>3319</v>
      </c>
      <c r="TRL45" s="319" t="s">
        <v>3320</v>
      </c>
      <c r="TRM45" s="318" t="s">
        <v>3319</v>
      </c>
      <c r="TRN45" s="319" t="s">
        <v>3320</v>
      </c>
      <c r="TRO45" s="318" t="s">
        <v>3319</v>
      </c>
      <c r="TRP45" s="319" t="s">
        <v>3320</v>
      </c>
      <c r="TRQ45" s="318" t="s">
        <v>3319</v>
      </c>
      <c r="TRR45" s="319" t="s">
        <v>3320</v>
      </c>
      <c r="TRS45" s="318" t="s">
        <v>3319</v>
      </c>
      <c r="TRT45" s="319" t="s">
        <v>3320</v>
      </c>
      <c r="TRU45" s="318" t="s">
        <v>3319</v>
      </c>
      <c r="TRV45" s="319" t="s">
        <v>3320</v>
      </c>
      <c r="TRW45" s="318" t="s">
        <v>3319</v>
      </c>
      <c r="TRX45" s="319" t="s">
        <v>3320</v>
      </c>
      <c r="TRY45" s="318" t="s">
        <v>3319</v>
      </c>
      <c r="TRZ45" s="319" t="s">
        <v>3320</v>
      </c>
      <c r="TSA45" s="318" t="s">
        <v>3319</v>
      </c>
      <c r="TSB45" s="319" t="s">
        <v>3320</v>
      </c>
      <c r="TSC45" s="318" t="s">
        <v>3319</v>
      </c>
      <c r="TSD45" s="319" t="s">
        <v>3320</v>
      </c>
      <c r="TSE45" s="318" t="s">
        <v>3319</v>
      </c>
      <c r="TSF45" s="319" t="s">
        <v>3320</v>
      </c>
      <c r="TSG45" s="318" t="s">
        <v>3319</v>
      </c>
      <c r="TSH45" s="319" t="s">
        <v>3320</v>
      </c>
      <c r="TSI45" s="318" t="s">
        <v>3319</v>
      </c>
      <c r="TSJ45" s="319" t="s">
        <v>3320</v>
      </c>
      <c r="TSK45" s="318" t="s">
        <v>3319</v>
      </c>
      <c r="TSL45" s="319" t="s">
        <v>3320</v>
      </c>
      <c r="TSM45" s="318" t="s">
        <v>3319</v>
      </c>
      <c r="TSN45" s="319" t="s">
        <v>3320</v>
      </c>
      <c r="TSO45" s="318" t="s">
        <v>3319</v>
      </c>
      <c r="TSP45" s="319" t="s">
        <v>3320</v>
      </c>
      <c r="TSQ45" s="318" t="s">
        <v>3319</v>
      </c>
      <c r="TSR45" s="319" t="s">
        <v>3320</v>
      </c>
      <c r="TSS45" s="318" t="s">
        <v>3319</v>
      </c>
      <c r="TST45" s="319" t="s">
        <v>3320</v>
      </c>
      <c r="TSU45" s="318" t="s">
        <v>3319</v>
      </c>
      <c r="TSV45" s="319" t="s">
        <v>3320</v>
      </c>
      <c r="TSW45" s="318" t="s">
        <v>3319</v>
      </c>
      <c r="TSX45" s="319" t="s">
        <v>3320</v>
      </c>
      <c r="TSY45" s="318" t="s">
        <v>3319</v>
      </c>
      <c r="TSZ45" s="319" t="s">
        <v>3320</v>
      </c>
      <c r="TTA45" s="318" t="s">
        <v>3319</v>
      </c>
      <c r="TTB45" s="319" t="s">
        <v>3320</v>
      </c>
      <c r="TTC45" s="318" t="s">
        <v>3319</v>
      </c>
      <c r="TTD45" s="319" t="s">
        <v>3320</v>
      </c>
      <c r="TTE45" s="318" t="s">
        <v>3319</v>
      </c>
      <c r="TTF45" s="319" t="s">
        <v>3320</v>
      </c>
      <c r="TTG45" s="318" t="s">
        <v>3319</v>
      </c>
      <c r="TTH45" s="319" t="s">
        <v>3320</v>
      </c>
      <c r="TTI45" s="318" t="s">
        <v>3319</v>
      </c>
      <c r="TTJ45" s="319" t="s">
        <v>3320</v>
      </c>
      <c r="TTK45" s="318" t="s">
        <v>3319</v>
      </c>
      <c r="TTL45" s="319" t="s">
        <v>3320</v>
      </c>
      <c r="TTM45" s="318" t="s">
        <v>3319</v>
      </c>
      <c r="TTN45" s="319" t="s">
        <v>3320</v>
      </c>
      <c r="TTO45" s="318" t="s">
        <v>3319</v>
      </c>
      <c r="TTP45" s="319" t="s">
        <v>3320</v>
      </c>
      <c r="TTQ45" s="318" t="s">
        <v>3319</v>
      </c>
      <c r="TTR45" s="319" t="s">
        <v>3320</v>
      </c>
      <c r="TTS45" s="318" t="s">
        <v>3319</v>
      </c>
      <c r="TTT45" s="319" t="s">
        <v>3320</v>
      </c>
      <c r="TTU45" s="318" t="s">
        <v>3319</v>
      </c>
      <c r="TTV45" s="319" t="s">
        <v>3320</v>
      </c>
      <c r="TTW45" s="318" t="s">
        <v>3319</v>
      </c>
      <c r="TTX45" s="319" t="s">
        <v>3320</v>
      </c>
      <c r="TTY45" s="318" t="s">
        <v>3319</v>
      </c>
      <c r="TTZ45" s="319" t="s">
        <v>3320</v>
      </c>
      <c r="TUA45" s="318" t="s">
        <v>3319</v>
      </c>
      <c r="TUB45" s="319" t="s">
        <v>3320</v>
      </c>
      <c r="TUC45" s="318" t="s">
        <v>3319</v>
      </c>
      <c r="TUD45" s="319" t="s">
        <v>3320</v>
      </c>
      <c r="TUE45" s="318" t="s">
        <v>3319</v>
      </c>
      <c r="TUF45" s="319" t="s">
        <v>3320</v>
      </c>
      <c r="TUG45" s="318" t="s">
        <v>3319</v>
      </c>
      <c r="TUH45" s="319" t="s">
        <v>3320</v>
      </c>
      <c r="TUI45" s="318" t="s">
        <v>3319</v>
      </c>
      <c r="TUJ45" s="319" t="s">
        <v>3320</v>
      </c>
      <c r="TUK45" s="318" t="s">
        <v>3319</v>
      </c>
      <c r="TUL45" s="319" t="s">
        <v>3320</v>
      </c>
      <c r="TUM45" s="318" t="s">
        <v>3319</v>
      </c>
      <c r="TUN45" s="319" t="s">
        <v>3320</v>
      </c>
      <c r="TUO45" s="318" t="s">
        <v>3319</v>
      </c>
      <c r="TUP45" s="319" t="s">
        <v>3320</v>
      </c>
      <c r="TUQ45" s="318" t="s">
        <v>3319</v>
      </c>
      <c r="TUR45" s="319" t="s">
        <v>3320</v>
      </c>
      <c r="TUS45" s="318" t="s">
        <v>3319</v>
      </c>
      <c r="TUT45" s="319" t="s">
        <v>3320</v>
      </c>
      <c r="TUU45" s="318" t="s">
        <v>3319</v>
      </c>
      <c r="TUV45" s="319" t="s">
        <v>3320</v>
      </c>
      <c r="TUW45" s="318" t="s">
        <v>3319</v>
      </c>
      <c r="TUX45" s="319" t="s">
        <v>3320</v>
      </c>
      <c r="TUY45" s="318" t="s">
        <v>3319</v>
      </c>
      <c r="TUZ45" s="319" t="s">
        <v>3320</v>
      </c>
      <c r="TVA45" s="318" t="s">
        <v>3319</v>
      </c>
      <c r="TVB45" s="319" t="s">
        <v>3320</v>
      </c>
      <c r="TVC45" s="318" t="s">
        <v>3319</v>
      </c>
      <c r="TVD45" s="319" t="s">
        <v>3320</v>
      </c>
      <c r="TVE45" s="318" t="s">
        <v>3319</v>
      </c>
      <c r="TVF45" s="319" t="s">
        <v>3320</v>
      </c>
      <c r="TVG45" s="318" t="s">
        <v>3319</v>
      </c>
      <c r="TVH45" s="319" t="s">
        <v>3320</v>
      </c>
      <c r="TVI45" s="318" t="s">
        <v>3319</v>
      </c>
      <c r="TVJ45" s="319" t="s">
        <v>3320</v>
      </c>
      <c r="TVK45" s="318" t="s">
        <v>3319</v>
      </c>
      <c r="TVL45" s="319" t="s">
        <v>3320</v>
      </c>
      <c r="TVM45" s="318" t="s">
        <v>3319</v>
      </c>
      <c r="TVN45" s="319" t="s">
        <v>3320</v>
      </c>
      <c r="TVO45" s="318" t="s">
        <v>3319</v>
      </c>
      <c r="TVP45" s="319" t="s">
        <v>3320</v>
      </c>
      <c r="TVQ45" s="318" t="s">
        <v>3319</v>
      </c>
      <c r="TVR45" s="319" t="s">
        <v>3320</v>
      </c>
      <c r="TVS45" s="318" t="s">
        <v>3319</v>
      </c>
      <c r="TVT45" s="319" t="s">
        <v>3320</v>
      </c>
      <c r="TVU45" s="318" t="s">
        <v>3319</v>
      </c>
      <c r="TVV45" s="319" t="s">
        <v>3320</v>
      </c>
      <c r="TVW45" s="318" t="s">
        <v>3319</v>
      </c>
      <c r="TVX45" s="319" t="s">
        <v>3320</v>
      </c>
      <c r="TVY45" s="318" t="s">
        <v>3319</v>
      </c>
      <c r="TVZ45" s="319" t="s">
        <v>3320</v>
      </c>
      <c r="TWA45" s="318" t="s">
        <v>3319</v>
      </c>
      <c r="TWB45" s="319" t="s">
        <v>3320</v>
      </c>
      <c r="TWC45" s="318" t="s">
        <v>3319</v>
      </c>
      <c r="TWD45" s="319" t="s">
        <v>3320</v>
      </c>
      <c r="TWE45" s="318" t="s">
        <v>3319</v>
      </c>
      <c r="TWF45" s="319" t="s">
        <v>3320</v>
      </c>
      <c r="TWG45" s="318" t="s">
        <v>3319</v>
      </c>
      <c r="TWH45" s="319" t="s">
        <v>3320</v>
      </c>
      <c r="TWI45" s="318" t="s">
        <v>3319</v>
      </c>
      <c r="TWJ45" s="319" t="s">
        <v>3320</v>
      </c>
      <c r="TWK45" s="318" t="s">
        <v>3319</v>
      </c>
      <c r="TWL45" s="319" t="s">
        <v>3320</v>
      </c>
      <c r="TWM45" s="318" t="s">
        <v>3319</v>
      </c>
      <c r="TWN45" s="319" t="s">
        <v>3320</v>
      </c>
      <c r="TWO45" s="318" t="s">
        <v>3319</v>
      </c>
      <c r="TWP45" s="319" t="s">
        <v>3320</v>
      </c>
      <c r="TWQ45" s="318" t="s">
        <v>3319</v>
      </c>
      <c r="TWR45" s="319" t="s">
        <v>3320</v>
      </c>
      <c r="TWS45" s="318" t="s">
        <v>3319</v>
      </c>
      <c r="TWT45" s="319" t="s">
        <v>3320</v>
      </c>
      <c r="TWU45" s="318" t="s">
        <v>3319</v>
      </c>
      <c r="TWV45" s="319" t="s">
        <v>3320</v>
      </c>
      <c r="TWW45" s="318" t="s">
        <v>3319</v>
      </c>
      <c r="TWX45" s="319" t="s">
        <v>3320</v>
      </c>
      <c r="TWY45" s="318" t="s">
        <v>3319</v>
      </c>
      <c r="TWZ45" s="319" t="s">
        <v>3320</v>
      </c>
      <c r="TXA45" s="318" t="s">
        <v>3319</v>
      </c>
      <c r="TXB45" s="319" t="s">
        <v>3320</v>
      </c>
      <c r="TXC45" s="318" t="s">
        <v>3319</v>
      </c>
      <c r="TXD45" s="319" t="s">
        <v>3320</v>
      </c>
      <c r="TXE45" s="318" t="s">
        <v>3319</v>
      </c>
      <c r="TXF45" s="319" t="s">
        <v>3320</v>
      </c>
      <c r="TXG45" s="318" t="s">
        <v>3319</v>
      </c>
      <c r="TXH45" s="319" t="s">
        <v>3320</v>
      </c>
      <c r="TXI45" s="318" t="s">
        <v>3319</v>
      </c>
      <c r="TXJ45" s="319" t="s">
        <v>3320</v>
      </c>
      <c r="TXK45" s="318" t="s">
        <v>3319</v>
      </c>
      <c r="TXL45" s="319" t="s">
        <v>3320</v>
      </c>
      <c r="TXM45" s="318" t="s">
        <v>3319</v>
      </c>
      <c r="TXN45" s="319" t="s">
        <v>3320</v>
      </c>
      <c r="TXO45" s="318" t="s">
        <v>3319</v>
      </c>
      <c r="TXP45" s="319" t="s">
        <v>3320</v>
      </c>
      <c r="TXQ45" s="318" t="s">
        <v>3319</v>
      </c>
      <c r="TXR45" s="319" t="s">
        <v>3320</v>
      </c>
      <c r="TXS45" s="318" t="s">
        <v>3319</v>
      </c>
      <c r="TXT45" s="319" t="s">
        <v>3320</v>
      </c>
      <c r="TXU45" s="318" t="s">
        <v>3319</v>
      </c>
      <c r="TXV45" s="319" t="s">
        <v>3320</v>
      </c>
      <c r="TXW45" s="318" t="s">
        <v>3319</v>
      </c>
      <c r="TXX45" s="319" t="s">
        <v>3320</v>
      </c>
      <c r="TXY45" s="318" t="s">
        <v>3319</v>
      </c>
      <c r="TXZ45" s="319" t="s">
        <v>3320</v>
      </c>
      <c r="TYA45" s="318" t="s">
        <v>3319</v>
      </c>
      <c r="TYB45" s="319" t="s">
        <v>3320</v>
      </c>
      <c r="TYC45" s="318" t="s">
        <v>3319</v>
      </c>
      <c r="TYD45" s="319" t="s">
        <v>3320</v>
      </c>
      <c r="TYE45" s="318" t="s">
        <v>3319</v>
      </c>
      <c r="TYF45" s="319" t="s">
        <v>3320</v>
      </c>
      <c r="TYG45" s="318" t="s">
        <v>3319</v>
      </c>
      <c r="TYH45" s="319" t="s">
        <v>3320</v>
      </c>
      <c r="TYI45" s="318" t="s">
        <v>3319</v>
      </c>
      <c r="TYJ45" s="319" t="s">
        <v>3320</v>
      </c>
      <c r="TYK45" s="318" t="s">
        <v>3319</v>
      </c>
      <c r="TYL45" s="319" t="s">
        <v>3320</v>
      </c>
      <c r="TYM45" s="318" t="s">
        <v>3319</v>
      </c>
      <c r="TYN45" s="319" t="s">
        <v>3320</v>
      </c>
      <c r="TYO45" s="318" t="s">
        <v>3319</v>
      </c>
      <c r="TYP45" s="319" t="s">
        <v>3320</v>
      </c>
      <c r="TYQ45" s="318" t="s">
        <v>3319</v>
      </c>
      <c r="TYR45" s="319" t="s">
        <v>3320</v>
      </c>
      <c r="TYS45" s="318" t="s">
        <v>3319</v>
      </c>
      <c r="TYT45" s="319" t="s">
        <v>3320</v>
      </c>
      <c r="TYU45" s="318" t="s">
        <v>3319</v>
      </c>
      <c r="TYV45" s="319" t="s">
        <v>3320</v>
      </c>
      <c r="TYW45" s="318" t="s">
        <v>3319</v>
      </c>
      <c r="TYX45" s="319" t="s">
        <v>3320</v>
      </c>
      <c r="TYY45" s="318" t="s">
        <v>3319</v>
      </c>
      <c r="TYZ45" s="319" t="s">
        <v>3320</v>
      </c>
      <c r="TZA45" s="318" t="s">
        <v>3319</v>
      </c>
      <c r="TZB45" s="319" t="s">
        <v>3320</v>
      </c>
      <c r="TZC45" s="318" t="s">
        <v>3319</v>
      </c>
      <c r="TZD45" s="319" t="s">
        <v>3320</v>
      </c>
      <c r="TZE45" s="318" t="s">
        <v>3319</v>
      </c>
      <c r="TZF45" s="319" t="s">
        <v>3320</v>
      </c>
      <c r="TZG45" s="318" t="s">
        <v>3319</v>
      </c>
      <c r="TZH45" s="319" t="s">
        <v>3320</v>
      </c>
      <c r="TZI45" s="318" t="s">
        <v>3319</v>
      </c>
      <c r="TZJ45" s="319" t="s">
        <v>3320</v>
      </c>
      <c r="TZK45" s="318" t="s">
        <v>3319</v>
      </c>
      <c r="TZL45" s="319" t="s">
        <v>3320</v>
      </c>
      <c r="TZM45" s="318" t="s">
        <v>3319</v>
      </c>
      <c r="TZN45" s="319" t="s">
        <v>3320</v>
      </c>
      <c r="TZO45" s="318" t="s">
        <v>3319</v>
      </c>
      <c r="TZP45" s="319" t="s">
        <v>3320</v>
      </c>
      <c r="TZQ45" s="318" t="s">
        <v>3319</v>
      </c>
      <c r="TZR45" s="319" t="s">
        <v>3320</v>
      </c>
      <c r="TZS45" s="318" t="s">
        <v>3319</v>
      </c>
      <c r="TZT45" s="319" t="s">
        <v>3320</v>
      </c>
      <c r="TZU45" s="318" t="s">
        <v>3319</v>
      </c>
      <c r="TZV45" s="319" t="s">
        <v>3320</v>
      </c>
      <c r="TZW45" s="318" t="s">
        <v>3319</v>
      </c>
      <c r="TZX45" s="319" t="s">
        <v>3320</v>
      </c>
      <c r="TZY45" s="318" t="s">
        <v>3319</v>
      </c>
      <c r="TZZ45" s="319" t="s">
        <v>3320</v>
      </c>
      <c r="UAA45" s="318" t="s">
        <v>3319</v>
      </c>
      <c r="UAB45" s="319" t="s">
        <v>3320</v>
      </c>
      <c r="UAC45" s="318" t="s">
        <v>3319</v>
      </c>
      <c r="UAD45" s="319" t="s">
        <v>3320</v>
      </c>
      <c r="UAE45" s="318" t="s">
        <v>3319</v>
      </c>
      <c r="UAF45" s="319" t="s">
        <v>3320</v>
      </c>
      <c r="UAG45" s="318" t="s">
        <v>3319</v>
      </c>
      <c r="UAH45" s="319" t="s">
        <v>3320</v>
      </c>
      <c r="UAI45" s="318" t="s">
        <v>3319</v>
      </c>
      <c r="UAJ45" s="319" t="s">
        <v>3320</v>
      </c>
      <c r="UAK45" s="318" t="s">
        <v>3319</v>
      </c>
      <c r="UAL45" s="319" t="s">
        <v>3320</v>
      </c>
      <c r="UAM45" s="318" t="s">
        <v>3319</v>
      </c>
      <c r="UAN45" s="319" t="s">
        <v>3320</v>
      </c>
      <c r="UAO45" s="318" t="s">
        <v>3319</v>
      </c>
      <c r="UAP45" s="319" t="s">
        <v>3320</v>
      </c>
      <c r="UAQ45" s="318" t="s">
        <v>3319</v>
      </c>
      <c r="UAR45" s="319" t="s">
        <v>3320</v>
      </c>
      <c r="UAS45" s="318" t="s">
        <v>3319</v>
      </c>
      <c r="UAT45" s="319" t="s">
        <v>3320</v>
      </c>
      <c r="UAU45" s="318" t="s">
        <v>3319</v>
      </c>
      <c r="UAV45" s="319" t="s">
        <v>3320</v>
      </c>
      <c r="UAW45" s="318" t="s">
        <v>3319</v>
      </c>
      <c r="UAX45" s="319" t="s">
        <v>3320</v>
      </c>
      <c r="UAY45" s="318" t="s">
        <v>3319</v>
      </c>
      <c r="UAZ45" s="319" t="s">
        <v>3320</v>
      </c>
      <c r="UBA45" s="318" t="s">
        <v>3319</v>
      </c>
      <c r="UBB45" s="319" t="s">
        <v>3320</v>
      </c>
      <c r="UBC45" s="318" t="s">
        <v>3319</v>
      </c>
      <c r="UBD45" s="319" t="s">
        <v>3320</v>
      </c>
      <c r="UBE45" s="318" t="s">
        <v>3319</v>
      </c>
      <c r="UBF45" s="319" t="s">
        <v>3320</v>
      </c>
      <c r="UBG45" s="318" t="s">
        <v>3319</v>
      </c>
      <c r="UBH45" s="319" t="s">
        <v>3320</v>
      </c>
      <c r="UBI45" s="318" t="s">
        <v>3319</v>
      </c>
      <c r="UBJ45" s="319" t="s">
        <v>3320</v>
      </c>
      <c r="UBK45" s="318" t="s">
        <v>3319</v>
      </c>
      <c r="UBL45" s="319" t="s">
        <v>3320</v>
      </c>
      <c r="UBM45" s="318" t="s">
        <v>3319</v>
      </c>
      <c r="UBN45" s="319" t="s">
        <v>3320</v>
      </c>
      <c r="UBO45" s="318" t="s">
        <v>3319</v>
      </c>
      <c r="UBP45" s="319" t="s">
        <v>3320</v>
      </c>
      <c r="UBQ45" s="318" t="s">
        <v>3319</v>
      </c>
      <c r="UBR45" s="319" t="s">
        <v>3320</v>
      </c>
      <c r="UBS45" s="318" t="s">
        <v>3319</v>
      </c>
      <c r="UBT45" s="319" t="s">
        <v>3320</v>
      </c>
      <c r="UBU45" s="318" t="s">
        <v>3319</v>
      </c>
      <c r="UBV45" s="319" t="s">
        <v>3320</v>
      </c>
      <c r="UBW45" s="318" t="s">
        <v>3319</v>
      </c>
      <c r="UBX45" s="319" t="s">
        <v>3320</v>
      </c>
      <c r="UBY45" s="318" t="s">
        <v>3319</v>
      </c>
      <c r="UBZ45" s="319" t="s">
        <v>3320</v>
      </c>
      <c r="UCA45" s="318" t="s">
        <v>3319</v>
      </c>
      <c r="UCB45" s="319" t="s">
        <v>3320</v>
      </c>
      <c r="UCC45" s="318" t="s">
        <v>3319</v>
      </c>
      <c r="UCD45" s="319" t="s">
        <v>3320</v>
      </c>
      <c r="UCE45" s="318" t="s">
        <v>3319</v>
      </c>
      <c r="UCF45" s="319" t="s">
        <v>3320</v>
      </c>
      <c r="UCG45" s="318" t="s">
        <v>3319</v>
      </c>
      <c r="UCH45" s="319" t="s">
        <v>3320</v>
      </c>
      <c r="UCI45" s="318" t="s">
        <v>3319</v>
      </c>
      <c r="UCJ45" s="319" t="s">
        <v>3320</v>
      </c>
      <c r="UCK45" s="318" t="s">
        <v>3319</v>
      </c>
      <c r="UCL45" s="319" t="s">
        <v>3320</v>
      </c>
      <c r="UCM45" s="318" t="s">
        <v>3319</v>
      </c>
      <c r="UCN45" s="319" t="s">
        <v>3320</v>
      </c>
      <c r="UCO45" s="318" t="s">
        <v>3319</v>
      </c>
      <c r="UCP45" s="319" t="s">
        <v>3320</v>
      </c>
      <c r="UCQ45" s="318" t="s">
        <v>3319</v>
      </c>
      <c r="UCR45" s="319" t="s">
        <v>3320</v>
      </c>
      <c r="UCS45" s="318" t="s">
        <v>3319</v>
      </c>
      <c r="UCT45" s="319" t="s">
        <v>3320</v>
      </c>
      <c r="UCU45" s="318" t="s">
        <v>3319</v>
      </c>
      <c r="UCV45" s="319" t="s">
        <v>3320</v>
      </c>
      <c r="UCW45" s="318" t="s">
        <v>3319</v>
      </c>
      <c r="UCX45" s="319" t="s">
        <v>3320</v>
      </c>
      <c r="UCY45" s="318" t="s">
        <v>3319</v>
      </c>
      <c r="UCZ45" s="319" t="s">
        <v>3320</v>
      </c>
      <c r="UDA45" s="318" t="s">
        <v>3319</v>
      </c>
      <c r="UDB45" s="319" t="s">
        <v>3320</v>
      </c>
      <c r="UDC45" s="318" t="s">
        <v>3319</v>
      </c>
      <c r="UDD45" s="319" t="s">
        <v>3320</v>
      </c>
      <c r="UDE45" s="318" t="s">
        <v>3319</v>
      </c>
      <c r="UDF45" s="319" t="s">
        <v>3320</v>
      </c>
      <c r="UDG45" s="318" t="s">
        <v>3319</v>
      </c>
      <c r="UDH45" s="319" t="s">
        <v>3320</v>
      </c>
      <c r="UDI45" s="318" t="s">
        <v>3319</v>
      </c>
      <c r="UDJ45" s="319" t="s">
        <v>3320</v>
      </c>
      <c r="UDK45" s="318" t="s">
        <v>3319</v>
      </c>
      <c r="UDL45" s="319" t="s">
        <v>3320</v>
      </c>
      <c r="UDM45" s="318" t="s">
        <v>3319</v>
      </c>
      <c r="UDN45" s="319" t="s">
        <v>3320</v>
      </c>
      <c r="UDO45" s="318" t="s">
        <v>3319</v>
      </c>
      <c r="UDP45" s="319" t="s">
        <v>3320</v>
      </c>
      <c r="UDQ45" s="318" t="s">
        <v>3319</v>
      </c>
      <c r="UDR45" s="319" t="s">
        <v>3320</v>
      </c>
      <c r="UDS45" s="318" t="s">
        <v>3319</v>
      </c>
      <c r="UDT45" s="319" t="s">
        <v>3320</v>
      </c>
      <c r="UDU45" s="318" t="s">
        <v>3319</v>
      </c>
      <c r="UDV45" s="319" t="s">
        <v>3320</v>
      </c>
      <c r="UDW45" s="318" t="s">
        <v>3319</v>
      </c>
      <c r="UDX45" s="319" t="s">
        <v>3320</v>
      </c>
      <c r="UDY45" s="318" t="s">
        <v>3319</v>
      </c>
      <c r="UDZ45" s="319" t="s">
        <v>3320</v>
      </c>
      <c r="UEA45" s="318" t="s">
        <v>3319</v>
      </c>
      <c r="UEB45" s="319" t="s">
        <v>3320</v>
      </c>
      <c r="UEC45" s="318" t="s">
        <v>3319</v>
      </c>
      <c r="UED45" s="319" t="s">
        <v>3320</v>
      </c>
      <c r="UEE45" s="318" t="s">
        <v>3319</v>
      </c>
      <c r="UEF45" s="319" t="s">
        <v>3320</v>
      </c>
      <c r="UEG45" s="318" t="s">
        <v>3319</v>
      </c>
      <c r="UEH45" s="319" t="s">
        <v>3320</v>
      </c>
      <c r="UEI45" s="318" t="s">
        <v>3319</v>
      </c>
      <c r="UEJ45" s="319" t="s">
        <v>3320</v>
      </c>
      <c r="UEK45" s="318" t="s">
        <v>3319</v>
      </c>
      <c r="UEL45" s="319" t="s">
        <v>3320</v>
      </c>
      <c r="UEM45" s="318" t="s">
        <v>3319</v>
      </c>
      <c r="UEN45" s="319" t="s">
        <v>3320</v>
      </c>
      <c r="UEO45" s="318" t="s">
        <v>3319</v>
      </c>
      <c r="UEP45" s="319" t="s">
        <v>3320</v>
      </c>
      <c r="UEQ45" s="318" t="s">
        <v>3319</v>
      </c>
      <c r="UER45" s="319" t="s">
        <v>3320</v>
      </c>
      <c r="UES45" s="318" t="s">
        <v>3319</v>
      </c>
      <c r="UET45" s="319" t="s">
        <v>3320</v>
      </c>
      <c r="UEU45" s="318" t="s">
        <v>3319</v>
      </c>
      <c r="UEV45" s="319" t="s">
        <v>3320</v>
      </c>
      <c r="UEW45" s="318" t="s">
        <v>3319</v>
      </c>
      <c r="UEX45" s="319" t="s">
        <v>3320</v>
      </c>
      <c r="UEY45" s="318" t="s">
        <v>3319</v>
      </c>
      <c r="UEZ45" s="319" t="s">
        <v>3320</v>
      </c>
      <c r="UFA45" s="318" t="s">
        <v>3319</v>
      </c>
      <c r="UFB45" s="319" t="s">
        <v>3320</v>
      </c>
      <c r="UFC45" s="318" t="s">
        <v>3319</v>
      </c>
      <c r="UFD45" s="319" t="s">
        <v>3320</v>
      </c>
      <c r="UFE45" s="318" t="s">
        <v>3319</v>
      </c>
      <c r="UFF45" s="319" t="s">
        <v>3320</v>
      </c>
      <c r="UFG45" s="318" t="s">
        <v>3319</v>
      </c>
      <c r="UFH45" s="319" t="s">
        <v>3320</v>
      </c>
      <c r="UFI45" s="318" t="s">
        <v>3319</v>
      </c>
      <c r="UFJ45" s="319" t="s">
        <v>3320</v>
      </c>
      <c r="UFK45" s="318" t="s">
        <v>3319</v>
      </c>
      <c r="UFL45" s="319" t="s">
        <v>3320</v>
      </c>
      <c r="UFM45" s="318" t="s">
        <v>3319</v>
      </c>
      <c r="UFN45" s="319" t="s">
        <v>3320</v>
      </c>
      <c r="UFO45" s="318" t="s">
        <v>3319</v>
      </c>
      <c r="UFP45" s="319" t="s">
        <v>3320</v>
      </c>
      <c r="UFQ45" s="318" t="s">
        <v>3319</v>
      </c>
      <c r="UFR45" s="319" t="s">
        <v>3320</v>
      </c>
      <c r="UFS45" s="318" t="s">
        <v>3319</v>
      </c>
      <c r="UFT45" s="319" t="s">
        <v>3320</v>
      </c>
      <c r="UFU45" s="318" t="s">
        <v>3319</v>
      </c>
      <c r="UFV45" s="319" t="s">
        <v>3320</v>
      </c>
      <c r="UFW45" s="318" t="s">
        <v>3319</v>
      </c>
      <c r="UFX45" s="319" t="s">
        <v>3320</v>
      </c>
      <c r="UFY45" s="318" t="s">
        <v>3319</v>
      </c>
      <c r="UFZ45" s="319" t="s">
        <v>3320</v>
      </c>
      <c r="UGA45" s="318" t="s">
        <v>3319</v>
      </c>
      <c r="UGB45" s="319" t="s">
        <v>3320</v>
      </c>
      <c r="UGC45" s="318" t="s">
        <v>3319</v>
      </c>
      <c r="UGD45" s="319" t="s">
        <v>3320</v>
      </c>
      <c r="UGE45" s="318" t="s">
        <v>3319</v>
      </c>
      <c r="UGF45" s="319" t="s">
        <v>3320</v>
      </c>
      <c r="UGG45" s="318" t="s">
        <v>3319</v>
      </c>
      <c r="UGH45" s="319" t="s">
        <v>3320</v>
      </c>
      <c r="UGI45" s="318" t="s">
        <v>3319</v>
      </c>
      <c r="UGJ45" s="319" t="s">
        <v>3320</v>
      </c>
      <c r="UGK45" s="318" t="s">
        <v>3319</v>
      </c>
      <c r="UGL45" s="319" t="s">
        <v>3320</v>
      </c>
      <c r="UGM45" s="318" t="s">
        <v>3319</v>
      </c>
      <c r="UGN45" s="319" t="s">
        <v>3320</v>
      </c>
      <c r="UGO45" s="318" t="s">
        <v>3319</v>
      </c>
      <c r="UGP45" s="319" t="s">
        <v>3320</v>
      </c>
      <c r="UGQ45" s="318" t="s">
        <v>3319</v>
      </c>
      <c r="UGR45" s="319" t="s">
        <v>3320</v>
      </c>
      <c r="UGS45" s="318" t="s">
        <v>3319</v>
      </c>
      <c r="UGT45" s="319" t="s">
        <v>3320</v>
      </c>
      <c r="UGU45" s="318" t="s">
        <v>3319</v>
      </c>
      <c r="UGV45" s="319" t="s">
        <v>3320</v>
      </c>
      <c r="UGW45" s="318" t="s">
        <v>3319</v>
      </c>
      <c r="UGX45" s="319" t="s">
        <v>3320</v>
      </c>
      <c r="UGY45" s="318" t="s">
        <v>3319</v>
      </c>
      <c r="UGZ45" s="319" t="s">
        <v>3320</v>
      </c>
      <c r="UHA45" s="318" t="s">
        <v>3319</v>
      </c>
      <c r="UHB45" s="319" t="s">
        <v>3320</v>
      </c>
      <c r="UHC45" s="318" t="s">
        <v>3319</v>
      </c>
      <c r="UHD45" s="319" t="s">
        <v>3320</v>
      </c>
      <c r="UHE45" s="318" t="s">
        <v>3319</v>
      </c>
      <c r="UHF45" s="319" t="s">
        <v>3320</v>
      </c>
      <c r="UHG45" s="318" t="s">
        <v>3319</v>
      </c>
      <c r="UHH45" s="319" t="s">
        <v>3320</v>
      </c>
      <c r="UHI45" s="318" t="s">
        <v>3319</v>
      </c>
      <c r="UHJ45" s="319" t="s">
        <v>3320</v>
      </c>
      <c r="UHK45" s="318" t="s">
        <v>3319</v>
      </c>
      <c r="UHL45" s="319" t="s">
        <v>3320</v>
      </c>
      <c r="UHM45" s="318" t="s">
        <v>3319</v>
      </c>
      <c r="UHN45" s="319" t="s">
        <v>3320</v>
      </c>
      <c r="UHO45" s="318" t="s">
        <v>3319</v>
      </c>
      <c r="UHP45" s="319" t="s">
        <v>3320</v>
      </c>
      <c r="UHQ45" s="318" t="s">
        <v>3319</v>
      </c>
      <c r="UHR45" s="319" t="s">
        <v>3320</v>
      </c>
      <c r="UHS45" s="318" t="s">
        <v>3319</v>
      </c>
      <c r="UHT45" s="319" t="s">
        <v>3320</v>
      </c>
      <c r="UHU45" s="318" t="s">
        <v>3319</v>
      </c>
      <c r="UHV45" s="319" t="s">
        <v>3320</v>
      </c>
      <c r="UHW45" s="318" t="s">
        <v>3319</v>
      </c>
      <c r="UHX45" s="319" t="s">
        <v>3320</v>
      </c>
      <c r="UHY45" s="318" t="s">
        <v>3319</v>
      </c>
      <c r="UHZ45" s="319" t="s">
        <v>3320</v>
      </c>
      <c r="UIA45" s="318" t="s">
        <v>3319</v>
      </c>
      <c r="UIB45" s="319" t="s">
        <v>3320</v>
      </c>
      <c r="UIC45" s="318" t="s">
        <v>3319</v>
      </c>
      <c r="UID45" s="319" t="s">
        <v>3320</v>
      </c>
      <c r="UIE45" s="318" t="s">
        <v>3319</v>
      </c>
      <c r="UIF45" s="319" t="s">
        <v>3320</v>
      </c>
      <c r="UIG45" s="318" t="s">
        <v>3319</v>
      </c>
      <c r="UIH45" s="319" t="s">
        <v>3320</v>
      </c>
      <c r="UII45" s="318" t="s">
        <v>3319</v>
      </c>
      <c r="UIJ45" s="319" t="s">
        <v>3320</v>
      </c>
      <c r="UIK45" s="318" t="s">
        <v>3319</v>
      </c>
      <c r="UIL45" s="319" t="s">
        <v>3320</v>
      </c>
      <c r="UIM45" s="318" t="s">
        <v>3319</v>
      </c>
      <c r="UIN45" s="319" t="s">
        <v>3320</v>
      </c>
      <c r="UIO45" s="318" t="s">
        <v>3319</v>
      </c>
      <c r="UIP45" s="319" t="s">
        <v>3320</v>
      </c>
      <c r="UIQ45" s="318" t="s">
        <v>3319</v>
      </c>
      <c r="UIR45" s="319" t="s">
        <v>3320</v>
      </c>
      <c r="UIS45" s="318" t="s">
        <v>3319</v>
      </c>
      <c r="UIT45" s="319" t="s">
        <v>3320</v>
      </c>
      <c r="UIU45" s="318" t="s">
        <v>3319</v>
      </c>
      <c r="UIV45" s="319" t="s">
        <v>3320</v>
      </c>
      <c r="UIW45" s="318" t="s">
        <v>3319</v>
      </c>
      <c r="UIX45" s="319" t="s">
        <v>3320</v>
      </c>
      <c r="UIY45" s="318" t="s">
        <v>3319</v>
      </c>
      <c r="UIZ45" s="319" t="s">
        <v>3320</v>
      </c>
      <c r="UJA45" s="318" t="s">
        <v>3319</v>
      </c>
      <c r="UJB45" s="319" t="s">
        <v>3320</v>
      </c>
      <c r="UJC45" s="318" t="s">
        <v>3319</v>
      </c>
      <c r="UJD45" s="319" t="s">
        <v>3320</v>
      </c>
      <c r="UJE45" s="318" t="s">
        <v>3319</v>
      </c>
      <c r="UJF45" s="319" t="s">
        <v>3320</v>
      </c>
      <c r="UJG45" s="318" t="s">
        <v>3319</v>
      </c>
      <c r="UJH45" s="319" t="s">
        <v>3320</v>
      </c>
      <c r="UJI45" s="318" t="s">
        <v>3319</v>
      </c>
      <c r="UJJ45" s="319" t="s">
        <v>3320</v>
      </c>
      <c r="UJK45" s="318" t="s">
        <v>3319</v>
      </c>
      <c r="UJL45" s="319" t="s">
        <v>3320</v>
      </c>
      <c r="UJM45" s="318" t="s">
        <v>3319</v>
      </c>
      <c r="UJN45" s="319" t="s">
        <v>3320</v>
      </c>
      <c r="UJO45" s="318" t="s">
        <v>3319</v>
      </c>
      <c r="UJP45" s="319" t="s">
        <v>3320</v>
      </c>
      <c r="UJQ45" s="318" t="s">
        <v>3319</v>
      </c>
      <c r="UJR45" s="319" t="s">
        <v>3320</v>
      </c>
      <c r="UJS45" s="318" t="s">
        <v>3319</v>
      </c>
      <c r="UJT45" s="319" t="s">
        <v>3320</v>
      </c>
      <c r="UJU45" s="318" t="s">
        <v>3319</v>
      </c>
      <c r="UJV45" s="319" t="s">
        <v>3320</v>
      </c>
      <c r="UJW45" s="318" t="s">
        <v>3319</v>
      </c>
      <c r="UJX45" s="319" t="s">
        <v>3320</v>
      </c>
      <c r="UJY45" s="318" t="s">
        <v>3319</v>
      </c>
      <c r="UJZ45" s="319" t="s">
        <v>3320</v>
      </c>
      <c r="UKA45" s="318" t="s">
        <v>3319</v>
      </c>
      <c r="UKB45" s="319" t="s">
        <v>3320</v>
      </c>
      <c r="UKC45" s="318" t="s">
        <v>3319</v>
      </c>
      <c r="UKD45" s="319" t="s">
        <v>3320</v>
      </c>
      <c r="UKE45" s="318" t="s">
        <v>3319</v>
      </c>
      <c r="UKF45" s="319" t="s">
        <v>3320</v>
      </c>
      <c r="UKG45" s="318" t="s">
        <v>3319</v>
      </c>
      <c r="UKH45" s="319" t="s">
        <v>3320</v>
      </c>
      <c r="UKI45" s="318" t="s">
        <v>3319</v>
      </c>
      <c r="UKJ45" s="319" t="s">
        <v>3320</v>
      </c>
      <c r="UKK45" s="318" t="s">
        <v>3319</v>
      </c>
      <c r="UKL45" s="319" t="s">
        <v>3320</v>
      </c>
      <c r="UKM45" s="318" t="s">
        <v>3319</v>
      </c>
      <c r="UKN45" s="319" t="s">
        <v>3320</v>
      </c>
      <c r="UKO45" s="318" t="s">
        <v>3319</v>
      </c>
      <c r="UKP45" s="319" t="s">
        <v>3320</v>
      </c>
      <c r="UKQ45" s="318" t="s">
        <v>3319</v>
      </c>
      <c r="UKR45" s="319" t="s">
        <v>3320</v>
      </c>
      <c r="UKS45" s="318" t="s">
        <v>3319</v>
      </c>
      <c r="UKT45" s="319" t="s">
        <v>3320</v>
      </c>
      <c r="UKU45" s="318" t="s">
        <v>3319</v>
      </c>
      <c r="UKV45" s="319" t="s">
        <v>3320</v>
      </c>
      <c r="UKW45" s="318" t="s">
        <v>3319</v>
      </c>
      <c r="UKX45" s="319" t="s">
        <v>3320</v>
      </c>
      <c r="UKY45" s="318" t="s">
        <v>3319</v>
      </c>
      <c r="UKZ45" s="319" t="s">
        <v>3320</v>
      </c>
      <c r="ULA45" s="318" t="s">
        <v>3319</v>
      </c>
      <c r="ULB45" s="319" t="s">
        <v>3320</v>
      </c>
      <c r="ULC45" s="318" t="s">
        <v>3319</v>
      </c>
      <c r="ULD45" s="319" t="s">
        <v>3320</v>
      </c>
      <c r="ULE45" s="318" t="s">
        <v>3319</v>
      </c>
      <c r="ULF45" s="319" t="s">
        <v>3320</v>
      </c>
      <c r="ULG45" s="318" t="s">
        <v>3319</v>
      </c>
      <c r="ULH45" s="319" t="s">
        <v>3320</v>
      </c>
      <c r="ULI45" s="318" t="s">
        <v>3319</v>
      </c>
      <c r="ULJ45" s="319" t="s">
        <v>3320</v>
      </c>
      <c r="ULK45" s="318" t="s">
        <v>3319</v>
      </c>
      <c r="ULL45" s="319" t="s">
        <v>3320</v>
      </c>
      <c r="ULM45" s="318" t="s">
        <v>3319</v>
      </c>
      <c r="ULN45" s="319" t="s">
        <v>3320</v>
      </c>
      <c r="ULO45" s="318" t="s">
        <v>3319</v>
      </c>
      <c r="ULP45" s="319" t="s">
        <v>3320</v>
      </c>
      <c r="ULQ45" s="318" t="s">
        <v>3319</v>
      </c>
      <c r="ULR45" s="319" t="s">
        <v>3320</v>
      </c>
      <c r="ULS45" s="318" t="s">
        <v>3319</v>
      </c>
      <c r="ULT45" s="319" t="s">
        <v>3320</v>
      </c>
      <c r="ULU45" s="318" t="s">
        <v>3319</v>
      </c>
      <c r="ULV45" s="319" t="s">
        <v>3320</v>
      </c>
      <c r="ULW45" s="318" t="s">
        <v>3319</v>
      </c>
      <c r="ULX45" s="319" t="s">
        <v>3320</v>
      </c>
      <c r="ULY45" s="318" t="s">
        <v>3319</v>
      </c>
      <c r="ULZ45" s="319" t="s">
        <v>3320</v>
      </c>
      <c r="UMA45" s="318" t="s">
        <v>3319</v>
      </c>
      <c r="UMB45" s="319" t="s">
        <v>3320</v>
      </c>
      <c r="UMC45" s="318" t="s">
        <v>3319</v>
      </c>
      <c r="UMD45" s="319" t="s">
        <v>3320</v>
      </c>
      <c r="UME45" s="318" t="s">
        <v>3319</v>
      </c>
      <c r="UMF45" s="319" t="s">
        <v>3320</v>
      </c>
      <c r="UMG45" s="318" t="s">
        <v>3319</v>
      </c>
      <c r="UMH45" s="319" t="s">
        <v>3320</v>
      </c>
      <c r="UMI45" s="318" t="s">
        <v>3319</v>
      </c>
      <c r="UMJ45" s="319" t="s">
        <v>3320</v>
      </c>
      <c r="UMK45" s="318" t="s">
        <v>3319</v>
      </c>
      <c r="UML45" s="319" t="s">
        <v>3320</v>
      </c>
      <c r="UMM45" s="318" t="s">
        <v>3319</v>
      </c>
      <c r="UMN45" s="319" t="s">
        <v>3320</v>
      </c>
      <c r="UMO45" s="318" t="s">
        <v>3319</v>
      </c>
      <c r="UMP45" s="319" t="s">
        <v>3320</v>
      </c>
      <c r="UMQ45" s="318" t="s">
        <v>3319</v>
      </c>
      <c r="UMR45" s="319" t="s">
        <v>3320</v>
      </c>
      <c r="UMS45" s="318" t="s">
        <v>3319</v>
      </c>
      <c r="UMT45" s="319" t="s">
        <v>3320</v>
      </c>
      <c r="UMU45" s="318" t="s">
        <v>3319</v>
      </c>
      <c r="UMV45" s="319" t="s">
        <v>3320</v>
      </c>
      <c r="UMW45" s="318" t="s">
        <v>3319</v>
      </c>
      <c r="UMX45" s="319" t="s">
        <v>3320</v>
      </c>
      <c r="UMY45" s="318" t="s">
        <v>3319</v>
      </c>
      <c r="UMZ45" s="319" t="s">
        <v>3320</v>
      </c>
      <c r="UNA45" s="318" t="s">
        <v>3319</v>
      </c>
      <c r="UNB45" s="319" t="s">
        <v>3320</v>
      </c>
      <c r="UNC45" s="318" t="s">
        <v>3319</v>
      </c>
      <c r="UND45" s="319" t="s">
        <v>3320</v>
      </c>
      <c r="UNE45" s="318" t="s">
        <v>3319</v>
      </c>
      <c r="UNF45" s="319" t="s">
        <v>3320</v>
      </c>
      <c r="UNG45" s="318" t="s">
        <v>3319</v>
      </c>
      <c r="UNH45" s="319" t="s">
        <v>3320</v>
      </c>
      <c r="UNI45" s="318" t="s">
        <v>3319</v>
      </c>
      <c r="UNJ45" s="319" t="s">
        <v>3320</v>
      </c>
      <c r="UNK45" s="318" t="s">
        <v>3319</v>
      </c>
      <c r="UNL45" s="319" t="s">
        <v>3320</v>
      </c>
      <c r="UNM45" s="318" t="s">
        <v>3319</v>
      </c>
      <c r="UNN45" s="319" t="s">
        <v>3320</v>
      </c>
      <c r="UNO45" s="318" t="s">
        <v>3319</v>
      </c>
      <c r="UNP45" s="319" t="s">
        <v>3320</v>
      </c>
      <c r="UNQ45" s="318" t="s">
        <v>3319</v>
      </c>
      <c r="UNR45" s="319" t="s">
        <v>3320</v>
      </c>
      <c r="UNS45" s="318" t="s">
        <v>3319</v>
      </c>
      <c r="UNT45" s="319" t="s">
        <v>3320</v>
      </c>
      <c r="UNU45" s="318" t="s">
        <v>3319</v>
      </c>
      <c r="UNV45" s="319" t="s">
        <v>3320</v>
      </c>
      <c r="UNW45" s="318" t="s">
        <v>3319</v>
      </c>
      <c r="UNX45" s="319" t="s">
        <v>3320</v>
      </c>
      <c r="UNY45" s="318" t="s">
        <v>3319</v>
      </c>
      <c r="UNZ45" s="319" t="s">
        <v>3320</v>
      </c>
      <c r="UOA45" s="318" t="s">
        <v>3319</v>
      </c>
      <c r="UOB45" s="319" t="s">
        <v>3320</v>
      </c>
      <c r="UOC45" s="318" t="s">
        <v>3319</v>
      </c>
      <c r="UOD45" s="319" t="s">
        <v>3320</v>
      </c>
      <c r="UOE45" s="318" t="s">
        <v>3319</v>
      </c>
      <c r="UOF45" s="319" t="s">
        <v>3320</v>
      </c>
      <c r="UOG45" s="318" t="s">
        <v>3319</v>
      </c>
      <c r="UOH45" s="319" t="s">
        <v>3320</v>
      </c>
      <c r="UOI45" s="318" t="s">
        <v>3319</v>
      </c>
      <c r="UOJ45" s="319" t="s">
        <v>3320</v>
      </c>
      <c r="UOK45" s="318" t="s">
        <v>3319</v>
      </c>
      <c r="UOL45" s="319" t="s">
        <v>3320</v>
      </c>
      <c r="UOM45" s="318" t="s">
        <v>3319</v>
      </c>
      <c r="UON45" s="319" t="s">
        <v>3320</v>
      </c>
      <c r="UOO45" s="318" t="s">
        <v>3319</v>
      </c>
      <c r="UOP45" s="319" t="s">
        <v>3320</v>
      </c>
      <c r="UOQ45" s="318" t="s">
        <v>3319</v>
      </c>
      <c r="UOR45" s="319" t="s">
        <v>3320</v>
      </c>
      <c r="UOS45" s="318" t="s">
        <v>3319</v>
      </c>
      <c r="UOT45" s="319" t="s">
        <v>3320</v>
      </c>
      <c r="UOU45" s="318" t="s">
        <v>3319</v>
      </c>
      <c r="UOV45" s="319" t="s">
        <v>3320</v>
      </c>
      <c r="UOW45" s="318" t="s">
        <v>3319</v>
      </c>
      <c r="UOX45" s="319" t="s">
        <v>3320</v>
      </c>
      <c r="UOY45" s="318" t="s">
        <v>3319</v>
      </c>
      <c r="UOZ45" s="319" t="s">
        <v>3320</v>
      </c>
      <c r="UPA45" s="318" t="s">
        <v>3319</v>
      </c>
      <c r="UPB45" s="319" t="s">
        <v>3320</v>
      </c>
      <c r="UPC45" s="318" t="s">
        <v>3319</v>
      </c>
      <c r="UPD45" s="319" t="s">
        <v>3320</v>
      </c>
      <c r="UPE45" s="318" t="s">
        <v>3319</v>
      </c>
      <c r="UPF45" s="319" t="s">
        <v>3320</v>
      </c>
      <c r="UPG45" s="318" t="s">
        <v>3319</v>
      </c>
      <c r="UPH45" s="319" t="s">
        <v>3320</v>
      </c>
      <c r="UPI45" s="318" t="s">
        <v>3319</v>
      </c>
      <c r="UPJ45" s="319" t="s">
        <v>3320</v>
      </c>
      <c r="UPK45" s="318" t="s">
        <v>3319</v>
      </c>
      <c r="UPL45" s="319" t="s">
        <v>3320</v>
      </c>
      <c r="UPM45" s="318" t="s">
        <v>3319</v>
      </c>
      <c r="UPN45" s="319" t="s">
        <v>3320</v>
      </c>
      <c r="UPO45" s="318" t="s">
        <v>3319</v>
      </c>
      <c r="UPP45" s="319" t="s">
        <v>3320</v>
      </c>
      <c r="UPQ45" s="318" t="s">
        <v>3319</v>
      </c>
      <c r="UPR45" s="319" t="s">
        <v>3320</v>
      </c>
      <c r="UPS45" s="318" t="s">
        <v>3319</v>
      </c>
      <c r="UPT45" s="319" t="s">
        <v>3320</v>
      </c>
      <c r="UPU45" s="318" t="s">
        <v>3319</v>
      </c>
      <c r="UPV45" s="319" t="s">
        <v>3320</v>
      </c>
      <c r="UPW45" s="318" t="s">
        <v>3319</v>
      </c>
      <c r="UPX45" s="319" t="s">
        <v>3320</v>
      </c>
      <c r="UPY45" s="318" t="s">
        <v>3319</v>
      </c>
      <c r="UPZ45" s="319" t="s">
        <v>3320</v>
      </c>
      <c r="UQA45" s="318" t="s">
        <v>3319</v>
      </c>
      <c r="UQB45" s="319" t="s">
        <v>3320</v>
      </c>
      <c r="UQC45" s="318" t="s">
        <v>3319</v>
      </c>
      <c r="UQD45" s="319" t="s">
        <v>3320</v>
      </c>
      <c r="UQE45" s="318" t="s">
        <v>3319</v>
      </c>
      <c r="UQF45" s="319" t="s">
        <v>3320</v>
      </c>
      <c r="UQG45" s="318" t="s">
        <v>3319</v>
      </c>
      <c r="UQH45" s="319" t="s">
        <v>3320</v>
      </c>
      <c r="UQI45" s="318" t="s">
        <v>3319</v>
      </c>
      <c r="UQJ45" s="319" t="s">
        <v>3320</v>
      </c>
      <c r="UQK45" s="318" t="s">
        <v>3319</v>
      </c>
      <c r="UQL45" s="319" t="s">
        <v>3320</v>
      </c>
      <c r="UQM45" s="318" t="s">
        <v>3319</v>
      </c>
      <c r="UQN45" s="319" t="s">
        <v>3320</v>
      </c>
      <c r="UQO45" s="318" t="s">
        <v>3319</v>
      </c>
      <c r="UQP45" s="319" t="s">
        <v>3320</v>
      </c>
      <c r="UQQ45" s="318" t="s">
        <v>3319</v>
      </c>
      <c r="UQR45" s="319" t="s">
        <v>3320</v>
      </c>
      <c r="UQS45" s="318" t="s">
        <v>3319</v>
      </c>
      <c r="UQT45" s="319" t="s">
        <v>3320</v>
      </c>
      <c r="UQU45" s="318" t="s">
        <v>3319</v>
      </c>
      <c r="UQV45" s="319" t="s">
        <v>3320</v>
      </c>
      <c r="UQW45" s="318" t="s">
        <v>3319</v>
      </c>
      <c r="UQX45" s="319" t="s">
        <v>3320</v>
      </c>
      <c r="UQY45" s="318" t="s">
        <v>3319</v>
      </c>
      <c r="UQZ45" s="319" t="s">
        <v>3320</v>
      </c>
      <c r="URA45" s="318" t="s">
        <v>3319</v>
      </c>
      <c r="URB45" s="319" t="s">
        <v>3320</v>
      </c>
      <c r="URC45" s="318" t="s">
        <v>3319</v>
      </c>
      <c r="URD45" s="319" t="s">
        <v>3320</v>
      </c>
      <c r="URE45" s="318" t="s">
        <v>3319</v>
      </c>
      <c r="URF45" s="319" t="s">
        <v>3320</v>
      </c>
      <c r="URG45" s="318" t="s">
        <v>3319</v>
      </c>
      <c r="URH45" s="319" t="s">
        <v>3320</v>
      </c>
      <c r="URI45" s="318" t="s">
        <v>3319</v>
      </c>
      <c r="URJ45" s="319" t="s">
        <v>3320</v>
      </c>
      <c r="URK45" s="318" t="s">
        <v>3319</v>
      </c>
      <c r="URL45" s="319" t="s">
        <v>3320</v>
      </c>
      <c r="URM45" s="318" t="s">
        <v>3319</v>
      </c>
      <c r="URN45" s="319" t="s">
        <v>3320</v>
      </c>
      <c r="URO45" s="318" t="s">
        <v>3319</v>
      </c>
      <c r="URP45" s="319" t="s">
        <v>3320</v>
      </c>
      <c r="URQ45" s="318" t="s">
        <v>3319</v>
      </c>
      <c r="URR45" s="319" t="s">
        <v>3320</v>
      </c>
      <c r="URS45" s="318" t="s">
        <v>3319</v>
      </c>
      <c r="URT45" s="319" t="s">
        <v>3320</v>
      </c>
      <c r="URU45" s="318" t="s">
        <v>3319</v>
      </c>
      <c r="URV45" s="319" t="s">
        <v>3320</v>
      </c>
      <c r="URW45" s="318" t="s">
        <v>3319</v>
      </c>
      <c r="URX45" s="319" t="s">
        <v>3320</v>
      </c>
      <c r="URY45" s="318" t="s">
        <v>3319</v>
      </c>
      <c r="URZ45" s="319" t="s">
        <v>3320</v>
      </c>
      <c r="USA45" s="318" t="s">
        <v>3319</v>
      </c>
      <c r="USB45" s="319" t="s">
        <v>3320</v>
      </c>
      <c r="USC45" s="318" t="s">
        <v>3319</v>
      </c>
      <c r="USD45" s="319" t="s">
        <v>3320</v>
      </c>
      <c r="USE45" s="318" t="s">
        <v>3319</v>
      </c>
      <c r="USF45" s="319" t="s">
        <v>3320</v>
      </c>
      <c r="USG45" s="318" t="s">
        <v>3319</v>
      </c>
      <c r="USH45" s="319" t="s">
        <v>3320</v>
      </c>
      <c r="USI45" s="318" t="s">
        <v>3319</v>
      </c>
      <c r="USJ45" s="319" t="s">
        <v>3320</v>
      </c>
      <c r="USK45" s="318" t="s">
        <v>3319</v>
      </c>
      <c r="USL45" s="319" t="s">
        <v>3320</v>
      </c>
      <c r="USM45" s="318" t="s">
        <v>3319</v>
      </c>
      <c r="USN45" s="319" t="s">
        <v>3320</v>
      </c>
      <c r="USO45" s="318" t="s">
        <v>3319</v>
      </c>
      <c r="USP45" s="319" t="s">
        <v>3320</v>
      </c>
      <c r="USQ45" s="318" t="s">
        <v>3319</v>
      </c>
      <c r="USR45" s="319" t="s">
        <v>3320</v>
      </c>
      <c r="USS45" s="318" t="s">
        <v>3319</v>
      </c>
      <c r="UST45" s="319" t="s">
        <v>3320</v>
      </c>
      <c r="USU45" s="318" t="s">
        <v>3319</v>
      </c>
      <c r="USV45" s="319" t="s">
        <v>3320</v>
      </c>
      <c r="USW45" s="318" t="s">
        <v>3319</v>
      </c>
      <c r="USX45" s="319" t="s">
        <v>3320</v>
      </c>
      <c r="USY45" s="318" t="s">
        <v>3319</v>
      </c>
      <c r="USZ45" s="319" t="s">
        <v>3320</v>
      </c>
      <c r="UTA45" s="318" t="s">
        <v>3319</v>
      </c>
      <c r="UTB45" s="319" t="s">
        <v>3320</v>
      </c>
      <c r="UTC45" s="318" t="s">
        <v>3319</v>
      </c>
      <c r="UTD45" s="319" t="s">
        <v>3320</v>
      </c>
      <c r="UTE45" s="318" t="s">
        <v>3319</v>
      </c>
      <c r="UTF45" s="319" t="s">
        <v>3320</v>
      </c>
      <c r="UTG45" s="318" t="s">
        <v>3319</v>
      </c>
      <c r="UTH45" s="319" t="s">
        <v>3320</v>
      </c>
      <c r="UTI45" s="318" t="s">
        <v>3319</v>
      </c>
      <c r="UTJ45" s="319" t="s">
        <v>3320</v>
      </c>
      <c r="UTK45" s="318" t="s">
        <v>3319</v>
      </c>
      <c r="UTL45" s="319" t="s">
        <v>3320</v>
      </c>
      <c r="UTM45" s="318" t="s">
        <v>3319</v>
      </c>
      <c r="UTN45" s="319" t="s">
        <v>3320</v>
      </c>
      <c r="UTO45" s="318" t="s">
        <v>3319</v>
      </c>
      <c r="UTP45" s="319" t="s">
        <v>3320</v>
      </c>
      <c r="UTQ45" s="318" t="s">
        <v>3319</v>
      </c>
      <c r="UTR45" s="319" t="s">
        <v>3320</v>
      </c>
      <c r="UTS45" s="318" t="s">
        <v>3319</v>
      </c>
      <c r="UTT45" s="319" t="s">
        <v>3320</v>
      </c>
      <c r="UTU45" s="318" t="s">
        <v>3319</v>
      </c>
      <c r="UTV45" s="319" t="s">
        <v>3320</v>
      </c>
      <c r="UTW45" s="318" t="s">
        <v>3319</v>
      </c>
      <c r="UTX45" s="319" t="s">
        <v>3320</v>
      </c>
      <c r="UTY45" s="318" t="s">
        <v>3319</v>
      </c>
      <c r="UTZ45" s="319" t="s">
        <v>3320</v>
      </c>
      <c r="UUA45" s="318" t="s">
        <v>3319</v>
      </c>
      <c r="UUB45" s="319" t="s">
        <v>3320</v>
      </c>
      <c r="UUC45" s="318" t="s">
        <v>3319</v>
      </c>
      <c r="UUD45" s="319" t="s">
        <v>3320</v>
      </c>
      <c r="UUE45" s="318" t="s">
        <v>3319</v>
      </c>
      <c r="UUF45" s="319" t="s">
        <v>3320</v>
      </c>
      <c r="UUG45" s="318" t="s">
        <v>3319</v>
      </c>
      <c r="UUH45" s="319" t="s">
        <v>3320</v>
      </c>
      <c r="UUI45" s="318" t="s">
        <v>3319</v>
      </c>
      <c r="UUJ45" s="319" t="s">
        <v>3320</v>
      </c>
      <c r="UUK45" s="318" t="s">
        <v>3319</v>
      </c>
      <c r="UUL45" s="319" t="s">
        <v>3320</v>
      </c>
      <c r="UUM45" s="318" t="s">
        <v>3319</v>
      </c>
      <c r="UUN45" s="319" t="s">
        <v>3320</v>
      </c>
      <c r="UUO45" s="318" t="s">
        <v>3319</v>
      </c>
      <c r="UUP45" s="319" t="s">
        <v>3320</v>
      </c>
      <c r="UUQ45" s="318" t="s">
        <v>3319</v>
      </c>
      <c r="UUR45" s="319" t="s">
        <v>3320</v>
      </c>
      <c r="UUS45" s="318" t="s">
        <v>3319</v>
      </c>
      <c r="UUT45" s="319" t="s">
        <v>3320</v>
      </c>
      <c r="UUU45" s="318" t="s">
        <v>3319</v>
      </c>
      <c r="UUV45" s="319" t="s">
        <v>3320</v>
      </c>
      <c r="UUW45" s="318" t="s">
        <v>3319</v>
      </c>
      <c r="UUX45" s="319" t="s">
        <v>3320</v>
      </c>
      <c r="UUY45" s="318" t="s">
        <v>3319</v>
      </c>
      <c r="UUZ45" s="319" t="s">
        <v>3320</v>
      </c>
      <c r="UVA45" s="318" t="s">
        <v>3319</v>
      </c>
      <c r="UVB45" s="319" t="s">
        <v>3320</v>
      </c>
      <c r="UVC45" s="318" t="s">
        <v>3319</v>
      </c>
      <c r="UVD45" s="319" t="s">
        <v>3320</v>
      </c>
      <c r="UVE45" s="318" t="s">
        <v>3319</v>
      </c>
      <c r="UVF45" s="319" t="s">
        <v>3320</v>
      </c>
      <c r="UVG45" s="318" t="s">
        <v>3319</v>
      </c>
      <c r="UVH45" s="319" t="s">
        <v>3320</v>
      </c>
      <c r="UVI45" s="318" t="s">
        <v>3319</v>
      </c>
      <c r="UVJ45" s="319" t="s">
        <v>3320</v>
      </c>
      <c r="UVK45" s="318" t="s">
        <v>3319</v>
      </c>
      <c r="UVL45" s="319" t="s">
        <v>3320</v>
      </c>
      <c r="UVM45" s="318" t="s">
        <v>3319</v>
      </c>
      <c r="UVN45" s="319" t="s">
        <v>3320</v>
      </c>
      <c r="UVO45" s="318" t="s">
        <v>3319</v>
      </c>
      <c r="UVP45" s="319" t="s">
        <v>3320</v>
      </c>
      <c r="UVQ45" s="318" t="s">
        <v>3319</v>
      </c>
      <c r="UVR45" s="319" t="s">
        <v>3320</v>
      </c>
      <c r="UVS45" s="318" t="s">
        <v>3319</v>
      </c>
      <c r="UVT45" s="319" t="s">
        <v>3320</v>
      </c>
      <c r="UVU45" s="318" t="s">
        <v>3319</v>
      </c>
      <c r="UVV45" s="319" t="s">
        <v>3320</v>
      </c>
      <c r="UVW45" s="318" t="s">
        <v>3319</v>
      </c>
      <c r="UVX45" s="319" t="s">
        <v>3320</v>
      </c>
      <c r="UVY45" s="318" t="s">
        <v>3319</v>
      </c>
      <c r="UVZ45" s="319" t="s">
        <v>3320</v>
      </c>
      <c r="UWA45" s="318" t="s">
        <v>3319</v>
      </c>
      <c r="UWB45" s="319" t="s">
        <v>3320</v>
      </c>
      <c r="UWC45" s="318" t="s">
        <v>3319</v>
      </c>
      <c r="UWD45" s="319" t="s">
        <v>3320</v>
      </c>
      <c r="UWE45" s="318" t="s">
        <v>3319</v>
      </c>
      <c r="UWF45" s="319" t="s">
        <v>3320</v>
      </c>
      <c r="UWG45" s="318" t="s">
        <v>3319</v>
      </c>
      <c r="UWH45" s="319" t="s">
        <v>3320</v>
      </c>
      <c r="UWI45" s="318" t="s">
        <v>3319</v>
      </c>
      <c r="UWJ45" s="319" t="s">
        <v>3320</v>
      </c>
      <c r="UWK45" s="318" t="s">
        <v>3319</v>
      </c>
      <c r="UWL45" s="319" t="s">
        <v>3320</v>
      </c>
      <c r="UWM45" s="318" t="s">
        <v>3319</v>
      </c>
      <c r="UWN45" s="319" t="s">
        <v>3320</v>
      </c>
      <c r="UWO45" s="318" t="s">
        <v>3319</v>
      </c>
      <c r="UWP45" s="319" t="s">
        <v>3320</v>
      </c>
      <c r="UWQ45" s="318" t="s">
        <v>3319</v>
      </c>
      <c r="UWR45" s="319" t="s">
        <v>3320</v>
      </c>
      <c r="UWS45" s="318" t="s">
        <v>3319</v>
      </c>
      <c r="UWT45" s="319" t="s">
        <v>3320</v>
      </c>
      <c r="UWU45" s="318" t="s">
        <v>3319</v>
      </c>
      <c r="UWV45" s="319" t="s">
        <v>3320</v>
      </c>
      <c r="UWW45" s="318" t="s">
        <v>3319</v>
      </c>
      <c r="UWX45" s="319" t="s">
        <v>3320</v>
      </c>
      <c r="UWY45" s="318" t="s">
        <v>3319</v>
      </c>
      <c r="UWZ45" s="319" t="s">
        <v>3320</v>
      </c>
      <c r="UXA45" s="318" t="s">
        <v>3319</v>
      </c>
      <c r="UXB45" s="319" t="s">
        <v>3320</v>
      </c>
      <c r="UXC45" s="318" t="s">
        <v>3319</v>
      </c>
      <c r="UXD45" s="319" t="s">
        <v>3320</v>
      </c>
      <c r="UXE45" s="318" t="s">
        <v>3319</v>
      </c>
      <c r="UXF45" s="319" t="s">
        <v>3320</v>
      </c>
      <c r="UXG45" s="318" t="s">
        <v>3319</v>
      </c>
      <c r="UXH45" s="319" t="s">
        <v>3320</v>
      </c>
      <c r="UXI45" s="318" t="s">
        <v>3319</v>
      </c>
      <c r="UXJ45" s="319" t="s">
        <v>3320</v>
      </c>
      <c r="UXK45" s="318" t="s">
        <v>3319</v>
      </c>
      <c r="UXL45" s="319" t="s">
        <v>3320</v>
      </c>
      <c r="UXM45" s="318" t="s">
        <v>3319</v>
      </c>
      <c r="UXN45" s="319" t="s">
        <v>3320</v>
      </c>
      <c r="UXO45" s="318" t="s">
        <v>3319</v>
      </c>
      <c r="UXP45" s="319" t="s">
        <v>3320</v>
      </c>
      <c r="UXQ45" s="318" t="s">
        <v>3319</v>
      </c>
      <c r="UXR45" s="319" t="s">
        <v>3320</v>
      </c>
      <c r="UXS45" s="318" t="s">
        <v>3319</v>
      </c>
      <c r="UXT45" s="319" t="s">
        <v>3320</v>
      </c>
      <c r="UXU45" s="318" t="s">
        <v>3319</v>
      </c>
      <c r="UXV45" s="319" t="s">
        <v>3320</v>
      </c>
      <c r="UXW45" s="318" t="s">
        <v>3319</v>
      </c>
      <c r="UXX45" s="319" t="s">
        <v>3320</v>
      </c>
      <c r="UXY45" s="318" t="s">
        <v>3319</v>
      </c>
      <c r="UXZ45" s="319" t="s">
        <v>3320</v>
      </c>
      <c r="UYA45" s="318" t="s">
        <v>3319</v>
      </c>
      <c r="UYB45" s="319" t="s">
        <v>3320</v>
      </c>
      <c r="UYC45" s="318" t="s">
        <v>3319</v>
      </c>
      <c r="UYD45" s="319" t="s">
        <v>3320</v>
      </c>
      <c r="UYE45" s="318" t="s">
        <v>3319</v>
      </c>
      <c r="UYF45" s="319" t="s">
        <v>3320</v>
      </c>
      <c r="UYG45" s="318" t="s">
        <v>3319</v>
      </c>
      <c r="UYH45" s="319" t="s">
        <v>3320</v>
      </c>
      <c r="UYI45" s="318" t="s">
        <v>3319</v>
      </c>
      <c r="UYJ45" s="319" t="s">
        <v>3320</v>
      </c>
      <c r="UYK45" s="318" t="s">
        <v>3319</v>
      </c>
      <c r="UYL45" s="319" t="s">
        <v>3320</v>
      </c>
      <c r="UYM45" s="318" t="s">
        <v>3319</v>
      </c>
      <c r="UYN45" s="319" t="s">
        <v>3320</v>
      </c>
      <c r="UYO45" s="318" t="s">
        <v>3319</v>
      </c>
      <c r="UYP45" s="319" t="s">
        <v>3320</v>
      </c>
      <c r="UYQ45" s="318" t="s">
        <v>3319</v>
      </c>
      <c r="UYR45" s="319" t="s">
        <v>3320</v>
      </c>
      <c r="UYS45" s="318" t="s">
        <v>3319</v>
      </c>
      <c r="UYT45" s="319" t="s">
        <v>3320</v>
      </c>
      <c r="UYU45" s="318" t="s">
        <v>3319</v>
      </c>
      <c r="UYV45" s="319" t="s">
        <v>3320</v>
      </c>
      <c r="UYW45" s="318" t="s">
        <v>3319</v>
      </c>
      <c r="UYX45" s="319" t="s">
        <v>3320</v>
      </c>
      <c r="UYY45" s="318" t="s">
        <v>3319</v>
      </c>
      <c r="UYZ45" s="319" t="s">
        <v>3320</v>
      </c>
      <c r="UZA45" s="318" t="s">
        <v>3319</v>
      </c>
      <c r="UZB45" s="319" t="s">
        <v>3320</v>
      </c>
      <c r="UZC45" s="318" t="s">
        <v>3319</v>
      </c>
      <c r="UZD45" s="319" t="s">
        <v>3320</v>
      </c>
      <c r="UZE45" s="318" t="s">
        <v>3319</v>
      </c>
      <c r="UZF45" s="319" t="s">
        <v>3320</v>
      </c>
      <c r="UZG45" s="318" t="s">
        <v>3319</v>
      </c>
      <c r="UZH45" s="319" t="s">
        <v>3320</v>
      </c>
      <c r="UZI45" s="318" t="s">
        <v>3319</v>
      </c>
      <c r="UZJ45" s="319" t="s">
        <v>3320</v>
      </c>
      <c r="UZK45" s="318" t="s">
        <v>3319</v>
      </c>
      <c r="UZL45" s="319" t="s">
        <v>3320</v>
      </c>
      <c r="UZM45" s="318" t="s">
        <v>3319</v>
      </c>
      <c r="UZN45" s="319" t="s">
        <v>3320</v>
      </c>
      <c r="UZO45" s="318" t="s">
        <v>3319</v>
      </c>
      <c r="UZP45" s="319" t="s">
        <v>3320</v>
      </c>
      <c r="UZQ45" s="318" t="s">
        <v>3319</v>
      </c>
      <c r="UZR45" s="319" t="s">
        <v>3320</v>
      </c>
      <c r="UZS45" s="318" t="s">
        <v>3319</v>
      </c>
      <c r="UZT45" s="319" t="s">
        <v>3320</v>
      </c>
      <c r="UZU45" s="318" t="s">
        <v>3319</v>
      </c>
      <c r="UZV45" s="319" t="s">
        <v>3320</v>
      </c>
      <c r="UZW45" s="318" t="s">
        <v>3319</v>
      </c>
      <c r="UZX45" s="319" t="s">
        <v>3320</v>
      </c>
      <c r="UZY45" s="318" t="s">
        <v>3319</v>
      </c>
      <c r="UZZ45" s="319" t="s">
        <v>3320</v>
      </c>
      <c r="VAA45" s="318" t="s">
        <v>3319</v>
      </c>
      <c r="VAB45" s="319" t="s">
        <v>3320</v>
      </c>
      <c r="VAC45" s="318" t="s">
        <v>3319</v>
      </c>
      <c r="VAD45" s="319" t="s">
        <v>3320</v>
      </c>
      <c r="VAE45" s="318" t="s">
        <v>3319</v>
      </c>
      <c r="VAF45" s="319" t="s">
        <v>3320</v>
      </c>
      <c r="VAG45" s="318" t="s">
        <v>3319</v>
      </c>
      <c r="VAH45" s="319" t="s">
        <v>3320</v>
      </c>
      <c r="VAI45" s="318" t="s">
        <v>3319</v>
      </c>
      <c r="VAJ45" s="319" t="s">
        <v>3320</v>
      </c>
      <c r="VAK45" s="318" t="s">
        <v>3319</v>
      </c>
      <c r="VAL45" s="319" t="s">
        <v>3320</v>
      </c>
      <c r="VAM45" s="318" t="s">
        <v>3319</v>
      </c>
      <c r="VAN45" s="319" t="s">
        <v>3320</v>
      </c>
      <c r="VAO45" s="318" t="s">
        <v>3319</v>
      </c>
      <c r="VAP45" s="319" t="s">
        <v>3320</v>
      </c>
      <c r="VAQ45" s="318" t="s">
        <v>3319</v>
      </c>
      <c r="VAR45" s="319" t="s">
        <v>3320</v>
      </c>
      <c r="VAS45" s="318" t="s">
        <v>3319</v>
      </c>
      <c r="VAT45" s="319" t="s">
        <v>3320</v>
      </c>
      <c r="VAU45" s="318" t="s">
        <v>3319</v>
      </c>
      <c r="VAV45" s="319" t="s">
        <v>3320</v>
      </c>
      <c r="VAW45" s="318" t="s">
        <v>3319</v>
      </c>
      <c r="VAX45" s="319" t="s">
        <v>3320</v>
      </c>
      <c r="VAY45" s="318" t="s">
        <v>3319</v>
      </c>
      <c r="VAZ45" s="319" t="s">
        <v>3320</v>
      </c>
      <c r="VBA45" s="318" t="s">
        <v>3319</v>
      </c>
      <c r="VBB45" s="319" t="s">
        <v>3320</v>
      </c>
      <c r="VBC45" s="318" t="s">
        <v>3319</v>
      </c>
      <c r="VBD45" s="319" t="s">
        <v>3320</v>
      </c>
      <c r="VBE45" s="318" t="s">
        <v>3319</v>
      </c>
      <c r="VBF45" s="319" t="s">
        <v>3320</v>
      </c>
      <c r="VBG45" s="318" t="s">
        <v>3319</v>
      </c>
      <c r="VBH45" s="319" t="s">
        <v>3320</v>
      </c>
      <c r="VBI45" s="318" t="s">
        <v>3319</v>
      </c>
      <c r="VBJ45" s="319" t="s">
        <v>3320</v>
      </c>
      <c r="VBK45" s="318" t="s">
        <v>3319</v>
      </c>
      <c r="VBL45" s="319" t="s">
        <v>3320</v>
      </c>
      <c r="VBM45" s="318" t="s">
        <v>3319</v>
      </c>
      <c r="VBN45" s="319" t="s">
        <v>3320</v>
      </c>
      <c r="VBO45" s="318" t="s">
        <v>3319</v>
      </c>
      <c r="VBP45" s="319" t="s">
        <v>3320</v>
      </c>
      <c r="VBQ45" s="318" t="s">
        <v>3319</v>
      </c>
      <c r="VBR45" s="319" t="s">
        <v>3320</v>
      </c>
      <c r="VBS45" s="318" t="s">
        <v>3319</v>
      </c>
      <c r="VBT45" s="319" t="s">
        <v>3320</v>
      </c>
      <c r="VBU45" s="318" t="s">
        <v>3319</v>
      </c>
      <c r="VBV45" s="319" t="s">
        <v>3320</v>
      </c>
      <c r="VBW45" s="318" t="s">
        <v>3319</v>
      </c>
      <c r="VBX45" s="319" t="s">
        <v>3320</v>
      </c>
      <c r="VBY45" s="318" t="s">
        <v>3319</v>
      </c>
      <c r="VBZ45" s="319" t="s">
        <v>3320</v>
      </c>
      <c r="VCA45" s="318" t="s">
        <v>3319</v>
      </c>
      <c r="VCB45" s="319" t="s">
        <v>3320</v>
      </c>
      <c r="VCC45" s="318" t="s">
        <v>3319</v>
      </c>
      <c r="VCD45" s="319" t="s">
        <v>3320</v>
      </c>
      <c r="VCE45" s="318" t="s">
        <v>3319</v>
      </c>
      <c r="VCF45" s="319" t="s">
        <v>3320</v>
      </c>
      <c r="VCG45" s="318" t="s">
        <v>3319</v>
      </c>
      <c r="VCH45" s="319" t="s">
        <v>3320</v>
      </c>
      <c r="VCI45" s="318" t="s">
        <v>3319</v>
      </c>
      <c r="VCJ45" s="319" t="s">
        <v>3320</v>
      </c>
      <c r="VCK45" s="318" t="s">
        <v>3319</v>
      </c>
      <c r="VCL45" s="319" t="s">
        <v>3320</v>
      </c>
      <c r="VCM45" s="318" t="s">
        <v>3319</v>
      </c>
      <c r="VCN45" s="319" t="s">
        <v>3320</v>
      </c>
      <c r="VCO45" s="318" t="s">
        <v>3319</v>
      </c>
      <c r="VCP45" s="319" t="s">
        <v>3320</v>
      </c>
      <c r="VCQ45" s="318" t="s">
        <v>3319</v>
      </c>
      <c r="VCR45" s="319" t="s">
        <v>3320</v>
      </c>
      <c r="VCS45" s="318" t="s">
        <v>3319</v>
      </c>
      <c r="VCT45" s="319" t="s">
        <v>3320</v>
      </c>
      <c r="VCU45" s="318" t="s">
        <v>3319</v>
      </c>
      <c r="VCV45" s="319" t="s">
        <v>3320</v>
      </c>
      <c r="VCW45" s="318" t="s">
        <v>3319</v>
      </c>
      <c r="VCX45" s="319" t="s">
        <v>3320</v>
      </c>
      <c r="VCY45" s="318" t="s">
        <v>3319</v>
      </c>
      <c r="VCZ45" s="319" t="s">
        <v>3320</v>
      </c>
      <c r="VDA45" s="318" t="s">
        <v>3319</v>
      </c>
      <c r="VDB45" s="319" t="s">
        <v>3320</v>
      </c>
      <c r="VDC45" s="318" t="s">
        <v>3319</v>
      </c>
      <c r="VDD45" s="319" t="s">
        <v>3320</v>
      </c>
      <c r="VDE45" s="318" t="s">
        <v>3319</v>
      </c>
      <c r="VDF45" s="319" t="s">
        <v>3320</v>
      </c>
      <c r="VDG45" s="318" t="s">
        <v>3319</v>
      </c>
      <c r="VDH45" s="319" t="s">
        <v>3320</v>
      </c>
      <c r="VDI45" s="318" t="s">
        <v>3319</v>
      </c>
      <c r="VDJ45" s="319" t="s">
        <v>3320</v>
      </c>
      <c r="VDK45" s="318" t="s">
        <v>3319</v>
      </c>
      <c r="VDL45" s="319" t="s">
        <v>3320</v>
      </c>
      <c r="VDM45" s="318" t="s">
        <v>3319</v>
      </c>
      <c r="VDN45" s="319" t="s">
        <v>3320</v>
      </c>
      <c r="VDO45" s="318" t="s">
        <v>3319</v>
      </c>
      <c r="VDP45" s="319" t="s">
        <v>3320</v>
      </c>
      <c r="VDQ45" s="318" t="s">
        <v>3319</v>
      </c>
      <c r="VDR45" s="319" t="s">
        <v>3320</v>
      </c>
      <c r="VDS45" s="318" t="s">
        <v>3319</v>
      </c>
      <c r="VDT45" s="319" t="s">
        <v>3320</v>
      </c>
      <c r="VDU45" s="318" t="s">
        <v>3319</v>
      </c>
      <c r="VDV45" s="319" t="s">
        <v>3320</v>
      </c>
      <c r="VDW45" s="318" t="s">
        <v>3319</v>
      </c>
      <c r="VDX45" s="319" t="s">
        <v>3320</v>
      </c>
      <c r="VDY45" s="318" t="s">
        <v>3319</v>
      </c>
      <c r="VDZ45" s="319" t="s">
        <v>3320</v>
      </c>
      <c r="VEA45" s="318" t="s">
        <v>3319</v>
      </c>
      <c r="VEB45" s="319" t="s">
        <v>3320</v>
      </c>
      <c r="VEC45" s="318" t="s">
        <v>3319</v>
      </c>
      <c r="VED45" s="319" t="s">
        <v>3320</v>
      </c>
      <c r="VEE45" s="318" t="s">
        <v>3319</v>
      </c>
      <c r="VEF45" s="319" t="s">
        <v>3320</v>
      </c>
      <c r="VEG45" s="318" t="s">
        <v>3319</v>
      </c>
      <c r="VEH45" s="319" t="s">
        <v>3320</v>
      </c>
      <c r="VEI45" s="318" t="s">
        <v>3319</v>
      </c>
      <c r="VEJ45" s="319" t="s">
        <v>3320</v>
      </c>
      <c r="VEK45" s="318" t="s">
        <v>3319</v>
      </c>
      <c r="VEL45" s="319" t="s">
        <v>3320</v>
      </c>
      <c r="VEM45" s="318" t="s">
        <v>3319</v>
      </c>
      <c r="VEN45" s="319" t="s">
        <v>3320</v>
      </c>
      <c r="VEO45" s="318" t="s">
        <v>3319</v>
      </c>
      <c r="VEP45" s="319" t="s">
        <v>3320</v>
      </c>
      <c r="VEQ45" s="318" t="s">
        <v>3319</v>
      </c>
      <c r="VER45" s="319" t="s">
        <v>3320</v>
      </c>
      <c r="VES45" s="318" t="s">
        <v>3319</v>
      </c>
      <c r="VET45" s="319" t="s">
        <v>3320</v>
      </c>
      <c r="VEU45" s="318" t="s">
        <v>3319</v>
      </c>
      <c r="VEV45" s="319" t="s">
        <v>3320</v>
      </c>
      <c r="VEW45" s="318" t="s">
        <v>3319</v>
      </c>
      <c r="VEX45" s="319" t="s">
        <v>3320</v>
      </c>
      <c r="VEY45" s="318" t="s">
        <v>3319</v>
      </c>
      <c r="VEZ45" s="319" t="s">
        <v>3320</v>
      </c>
      <c r="VFA45" s="318" t="s">
        <v>3319</v>
      </c>
      <c r="VFB45" s="319" t="s">
        <v>3320</v>
      </c>
      <c r="VFC45" s="318" t="s">
        <v>3319</v>
      </c>
      <c r="VFD45" s="319" t="s">
        <v>3320</v>
      </c>
      <c r="VFE45" s="318" t="s">
        <v>3319</v>
      </c>
      <c r="VFF45" s="319" t="s">
        <v>3320</v>
      </c>
      <c r="VFG45" s="318" t="s">
        <v>3319</v>
      </c>
      <c r="VFH45" s="319" t="s">
        <v>3320</v>
      </c>
      <c r="VFI45" s="318" t="s">
        <v>3319</v>
      </c>
      <c r="VFJ45" s="319" t="s">
        <v>3320</v>
      </c>
      <c r="VFK45" s="318" t="s">
        <v>3319</v>
      </c>
      <c r="VFL45" s="319" t="s">
        <v>3320</v>
      </c>
      <c r="VFM45" s="318" t="s">
        <v>3319</v>
      </c>
      <c r="VFN45" s="319" t="s">
        <v>3320</v>
      </c>
      <c r="VFO45" s="318" t="s">
        <v>3319</v>
      </c>
      <c r="VFP45" s="319" t="s">
        <v>3320</v>
      </c>
      <c r="VFQ45" s="318" t="s">
        <v>3319</v>
      </c>
      <c r="VFR45" s="319" t="s">
        <v>3320</v>
      </c>
      <c r="VFS45" s="318" t="s">
        <v>3319</v>
      </c>
      <c r="VFT45" s="319" t="s">
        <v>3320</v>
      </c>
      <c r="VFU45" s="318" t="s">
        <v>3319</v>
      </c>
      <c r="VFV45" s="319" t="s">
        <v>3320</v>
      </c>
      <c r="VFW45" s="318" t="s">
        <v>3319</v>
      </c>
      <c r="VFX45" s="319" t="s">
        <v>3320</v>
      </c>
      <c r="VFY45" s="318" t="s">
        <v>3319</v>
      </c>
      <c r="VFZ45" s="319" t="s">
        <v>3320</v>
      </c>
      <c r="VGA45" s="318" t="s">
        <v>3319</v>
      </c>
      <c r="VGB45" s="319" t="s">
        <v>3320</v>
      </c>
      <c r="VGC45" s="318" t="s">
        <v>3319</v>
      </c>
      <c r="VGD45" s="319" t="s">
        <v>3320</v>
      </c>
      <c r="VGE45" s="318" t="s">
        <v>3319</v>
      </c>
      <c r="VGF45" s="319" t="s">
        <v>3320</v>
      </c>
      <c r="VGG45" s="318" t="s">
        <v>3319</v>
      </c>
      <c r="VGH45" s="319" t="s">
        <v>3320</v>
      </c>
      <c r="VGI45" s="318" t="s">
        <v>3319</v>
      </c>
      <c r="VGJ45" s="319" t="s">
        <v>3320</v>
      </c>
      <c r="VGK45" s="318" t="s">
        <v>3319</v>
      </c>
      <c r="VGL45" s="319" t="s">
        <v>3320</v>
      </c>
      <c r="VGM45" s="318" t="s">
        <v>3319</v>
      </c>
      <c r="VGN45" s="319" t="s">
        <v>3320</v>
      </c>
      <c r="VGO45" s="318" t="s">
        <v>3319</v>
      </c>
      <c r="VGP45" s="319" t="s">
        <v>3320</v>
      </c>
      <c r="VGQ45" s="318" t="s">
        <v>3319</v>
      </c>
      <c r="VGR45" s="319" t="s">
        <v>3320</v>
      </c>
      <c r="VGS45" s="318" t="s">
        <v>3319</v>
      </c>
      <c r="VGT45" s="319" t="s">
        <v>3320</v>
      </c>
      <c r="VGU45" s="318" t="s">
        <v>3319</v>
      </c>
      <c r="VGV45" s="319" t="s">
        <v>3320</v>
      </c>
      <c r="VGW45" s="318" t="s">
        <v>3319</v>
      </c>
      <c r="VGX45" s="319" t="s">
        <v>3320</v>
      </c>
      <c r="VGY45" s="318" t="s">
        <v>3319</v>
      </c>
      <c r="VGZ45" s="319" t="s">
        <v>3320</v>
      </c>
      <c r="VHA45" s="318" t="s">
        <v>3319</v>
      </c>
      <c r="VHB45" s="319" t="s">
        <v>3320</v>
      </c>
      <c r="VHC45" s="318" t="s">
        <v>3319</v>
      </c>
      <c r="VHD45" s="319" t="s">
        <v>3320</v>
      </c>
      <c r="VHE45" s="318" t="s">
        <v>3319</v>
      </c>
      <c r="VHF45" s="319" t="s">
        <v>3320</v>
      </c>
      <c r="VHG45" s="318" t="s">
        <v>3319</v>
      </c>
      <c r="VHH45" s="319" t="s">
        <v>3320</v>
      </c>
      <c r="VHI45" s="318" t="s">
        <v>3319</v>
      </c>
      <c r="VHJ45" s="319" t="s">
        <v>3320</v>
      </c>
      <c r="VHK45" s="318" t="s">
        <v>3319</v>
      </c>
      <c r="VHL45" s="319" t="s">
        <v>3320</v>
      </c>
      <c r="VHM45" s="318" t="s">
        <v>3319</v>
      </c>
      <c r="VHN45" s="319" t="s">
        <v>3320</v>
      </c>
      <c r="VHO45" s="318" t="s">
        <v>3319</v>
      </c>
      <c r="VHP45" s="319" t="s">
        <v>3320</v>
      </c>
      <c r="VHQ45" s="318" t="s">
        <v>3319</v>
      </c>
      <c r="VHR45" s="319" t="s">
        <v>3320</v>
      </c>
      <c r="VHS45" s="318" t="s">
        <v>3319</v>
      </c>
      <c r="VHT45" s="319" t="s">
        <v>3320</v>
      </c>
      <c r="VHU45" s="318" t="s">
        <v>3319</v>
      </c>
      <c r="VHV45" s="319" t="s">
        <v>3320</v>
      </c>
      <c r="VHW45" s="318" t="s">
        <v>3319</v>
      </c>
      <c r="VHX45" s="319" t="s">
        <v>3320</v>
      </c>
      <c r="VHY45" s="318" t="s">
        <v>3319</v>
      </c>
      <c r="VHZ45" s="319" t="s">
        <v>3320</v>
      </c>
      <c r="VIA45" s="318" t="s">
        <v>3319</v>
      </c>
      <c r="VIB45" s="319" t="s">
        <v>3320</v>
      </c>
      <c r="VIC45" s="318" t="s">
        <v>3319</v>
      </c>
      <c r="VID45" s="319" t="s">
        <v>3320</v>
      </c>
      <c r="VIE45" s="318" t="s">
        <v>3319</v>
      </c>
      <c r="VIF45" s="319" t="s">
        <v>3320</v>
      </c>
      <c r="VIG45" s="318" t="s">
        <v>3319</v>
      </c>
      <c r="VIH45" s="319" t="s">
        <v>3320</v>
      </c>
      <c r="VII45" s="318" t="s">
        <v>3319</v>
      </c>
      <c r="VIJ45" s="319" t="s">
        <v>3320</v>
      </c>
      <c r="VIK45" s="318" t="s">
        <v>3319</v>
      </c>
      <c r="VIL45" s="319" t="s">
        <v>3320</v>
      </c>
      <c r="VIM45" s="318" t="s">
        <v>3319</v>
      </c>
      <c r="VIN45" s="319" t="s">
        <v>3320</v>
      </c>
      <c r="VIO45" s="318" t="s">
        <v>3319</v>
      </c>
      <c r="VIP45" s="319" t="s">
        <v>3320</v>
      </c>
      <c r="VIQ45" s="318" t="s">
        <v>3319</v>
      </c>
      <c r="VIR45" s="319" t="s">
        <v>3320</v>
      </c>
      <c r="VIS45" s="318" t="s">
        <v>3319</v>
      </c>
      <c r="VIT45" s="319" t="s">
        <v>3320</v>
      </c>
      <c r="VIU45" s="318" t="s">
        <v>3319</v>
      </c>
      <c r="VIV45" s="319" t="s">
        <v>3320</v>
      </c>
      <c r="VIW45" s="318" t="s">
        <v>3319</v>
      </c>
      <c r="VIX45" s="319" t="s">
        <v>3320</v>
      </c>
      <c r="VIY45" s="318" t="s">
        <v>3319</v>
      </c>
      <c r="VIZ45" s="319" t="s">
        <v>3320</v>
      </c>
      <c r="VJA45" s="318" t="s">
        <v>3319</v>
      </c>
      <c r="VJB45" s="319" t="s">
        <v>3320</v>
      </c>
      <c r="VJC45" s="318" t="s">
        <v>3319</v>
      </c>
      <c r="VJD45" s="319" t="s">
        <v>3320</v>
      </c>
      <c r="VJE45" s="318" t="s">
        <v>3319</v>
      </c>
      <c r="VJF45" s="319" t="s">
        <v>3320</v>
      </c>
      <c r="VJG45" s="318" t="s">
        <v>3319</v>
      </c>
      <c r="VJH45" s="319" t="s">
        <v>3320</v>
      </c>
      <c r="VJI45" s="318" t="s">
        <v>3319</v>
      </c>
      <c r="VJJ45" s="319" t="s">
        <v>3320</v>
      </c>
      <c r="VJK45" s="318" t="s">
        <v>3319</v>
      </c>
      <c r="VJL45" s="319" t="s">
        <v>3320</v>
      </c>
      <c r="VJM45" s="318" t="s">
        <v>3319</v>
      </c>
      <c r="VJN45" s="319" t="s">
        <v>3320</v>
      </c>
      <c r="VJO45" s="318" t="s">
        <v>3319</v>
      </c>
      <c r="VJP45" s="319" t="s">
        <v>3320</v>
      </c>
      <c r="VJQ45" s="318" t="s">
        <v>3319</v>
      </c>
      <c r="VJR45" s="319" t="s">
        <v>3320</v>
      </c>
      <c r="VJS45" s="318" t="s">
        <v>3319</v>
      </c>
      <c r="VJT45" s="319" t="s">
        <v>3320</v>
      </c>
      <c r="VJU45" s="318" t="s">
        <v>3319</v>
      </c>
      <c r="VJV45" s="319" t="s">
        <v>3320</v>
      </c>
      <c r="VJW45" s="318" t="s">
        <v>3319</v>
      </c>
      <c r="VJX45" s="319" t="s">
        <v>3320</v>
      </c>
      <c r="VJY45" s="318" t="s">
        <v>3319</v>
      </c>
      <c r="VJZ45" s="319" t="s">
        <v>3320</v>
      </c>
      <c r="VKA45" s="318" t="s">
        <v>3319</v>
      </c>
      <c r="VKB45" s="319" t="s">
        <v>3320</v>
      </c>
      <c r="VKC45" s="318" t="s">
        <v>3319</v>
      </c>
      <c r="VKD45" s="319" t="s">
        <v>3320</v>
      </c>
      <c r="VKE45" s="318" t="s">
        <v>3319</v>
      </c>
      <c r="VKF45" s="319" t="s">
        <v>3320</v>
      </c>
      <c r="VKG45" s="318" t="s">
        <v>3319</v>
      </c>
      <c r="VKH45" s="319" t="s">
        <v>3320</v>
      </c>
      <c r="VKI45" s="318" t="s">
        <v>3319</v>
      </c>
      <c r="VKJ45" s="319" t="s">
        <v>3320</v>
      </c>
      <c r="VKK45" s="318" t="s">
        <v>3319</v>
      </c>
      <c r="VKL45" s="319" t="s">
        <v>3320</v>
      </c>
      <c r="VKM45" s="318" t="s">
        <v>3319</v>
      </c>
      <c r="VKN45" s="319" t="s">
        <v>3320</v>
      </c>
      <c r="VKO45" s="318" t="s">
        <v>3319</v>
      </c>
      <c r="VKP45" s="319" t="s">
        <v>3320</v>
      </c>
      <c r="VKQ45" s="318" t="s">
        <v>3319</v>
      </c>
      <c r="VKR45" s="319" t="s">
        <v>3320</v>
      </c>
      <c r="VKS45" s="318" t="s">
        <v>3319</v>
      </c>
      <c r="VKT45" s="319" t="s">
        <v>3320</v>
      </c>
      <c r="VKU45" s="318" t="s">
        <v>3319</v>
      </c>
      <c r="VKV45" s="319" t="s">
        <v>3320</v>
      </c>
      <c r="VKW45" s="318" t="s">
        <v>3319</v>
      </c>
      <c r="VKX45" s="319" t="s">
        <v>3320</v>
      </c>
      <c r="VKY45" s="318" t="s">
        <v>3319</v>
      </c>
      <c r="VKZ45" s="319" t="s">
        <v>3320</v>
      </c>
      <c r="VLA45" s="318" t="s">
        <v>3319</v>
      </c>
      <c r="VLB45" s="319" t="s">
        <v>3320</v>
      </c>
      <c r="VLC45" s="318" t="s">
        <v>3319</v>
      </c>
      <c r="VLD45" s="319" t="s">
        <v>3320</v>
      </c>
      <c r="VLE45" s="318" t="s">
        <v>3319</v>
      </c>
      <c r="VLF45" s="319" t="s">
        <v>3320</v>
      </c>
      <c r="VLG45" s="318" t="s">
        <v>3319</v>
      </c>
      <c r="VLH45" s="319" t="s">
        <v>3320</v>
      </c>
      <c r="VLI45" s="318" t="s">
        <v>3319</v>
      </c>
      <c r="VLJ45" s="319" t="s">
        <v>3320</v>
      </c>
      <c r="VLK45" s="318" t="s">
        <v>3319</v>
      </c>
      <c r="VLL45" s="319" t="s">
        <v>3320</v>
      </c>
      <c r="VLM45" s="318" t="s">
        <v>3319</v>
      </c>
      <c r="VLN45" s="319" t="s">
        <v>3320</v>
      </c>
      <c r="VLO45" s="318" t="s">
        <v>3319</v>
      </c>
      <c r="VLP45" s="319" t="s">
        <v>3320</v>
      </c>
      <c r="VLQ45" s="318" t="s">
        <v>3319</v>
      </c>
      <c r="VLR45" s="319" t="s">
        <v>3320</v>
      </c>
      <c r="VLS45" s="318" t="s">
        <v>3319</v>
      </c>
      <c r="VLT45" s="319" t="s">
        <v>3320</v>
      </c>
      <c r="VLU45" s="318" t="s">
        <v>3319</v>
      </c>
      <c r="VLV45" s="319" t="s">
        <v>3320</v>
      </c>
      <c r="VLW45" s="318" t="s">
        <v>3319</v>
      </c>
      <c r="VLX45" s="319" t="s">
        <v>3320</v>
      </c>
      <c r="VLY45" s="318" t="s">
        <v>3319</v>
      </c>
      <c r="VLZ45" s="319" t="s">
        <v>3320</v>
      </c>
      <c r="VMA45" s="318" t="s">
        <v>3319</v>
      </c>
      <c r="VMB45" s="319" t="s">
        <v>3320</v>
      </c>
      <c r="VMC45" s="318" t="s">
        <v>3319</v>
      </c>
      <c r="VMD45" s="319" t="s">
        <v>3320</v>
      </c>
      <c r="VME45" s="318" t="s">
        <v>3319</v>
      </c>
      <c r="VMF45" s="319" t="s">
        <v>3320</v>
      </c>
      <c r="VMG45" s="318" t="s">
        <v>3319</v>
      </c>
      <c r="VMH45" s="319" t="s">
        <v>3320</v>
      </c>
      <c r="VMI45" s="318" t="s">
        <v>3319</v>
      </c>
      <c r="VMJ45" s="319" t="s">
        <v>3320</v>
      </c>
      <c r="VMK45" s="318" t="s">
        <v>3319</v>
      </c>
      <c r="VML45" s="319" t="s">
        <v>3320</v>
      </c>
      <c r="VMM45" s="318" t="s">
        <v>3319</v>
      </c>
      <c r="VMN45" s="319" t="s">
        <v>3320</v>
      </c>
      <c r="VMO45" s="318" t="s">
        <v>3319</v>
      </c>
      <c r="VMP45" s="319" t="s">
        <v>3320</v>
      </c>
      <c r="VMQ45" s="318" t="s">
        <v>3319</v>
      </c>
      <c r="VMR45" s="319" t="s">
        <v>3320</v>
      </c>
      <c r="VMS45" s="318" t="s">
        <v>3319</v>
      </c>
      <c r="VMT45" s="319" t="s">
        <v>3320</v>
      </c>
      <c r="VMU45" s="318" t="s">
        <v>3319</v>
      </c>
      <c r="VMV45" s="319" t="s">
        <v>3320</v>
      </c>
      <c r="VMW45" s="318" t="s">
        <v>3319</v>
      </c>
      <c r="VMX45" s="319" t="s">
        <v>3320</v>
      </c>
      <c r="VMY45" s="318" t="s">
        <v>3319</v>
      </c>
      <c r="VMZ45" s="319" t="s">
        <v>3320</v>
      </c>
      <c r="VNA45" s="318" t="s">
        <v>3319</v>
      </c>
      <c r="VNB45" s="319" t="s">
        <v>3320</v>
      </c>
      <c r="VNC45" s="318" t="s">
        <v>3319</v>
      </c>
      <c r="VND45" s="319" t="s">
        <v>3320</v>
      </c>
      <c r="VNE45" s="318" t="s">
        <v>3319</v>
      </c>
      <c r="VNF45" s="319" t="s">
        <v>3320</v>
      </c>
      <c r="VNG45" s="318" t="s">
        <v>3319</v>
      </c>
      <c r="VNH45" s="319" t="s">
        <v>3320</v>
      </c>
      <c r="VNI45" s="318" t="s">
        <v>3319</v>
      </c>
      <c r="VNJ45" s="319" t="s">
        <v>3320</v>
      </c>
      <c r="VNK45" s="318" t="s">
        <v>3319</v>
      </c>
      <c r="VNL45" s="319" t="s">
        <v>3320</v>
      </c>
      <c r="VNM45" s="318" t="s">
        <v>3319</v>
      </c>
      <c r="VNN45" s="319" t="s">
        <v>3320</v>
      </c>
      <c r="VNO45" s="318" t="s">
        <v>3319</v>
      </c>
      <c r="VNP45" s="319" t="s">
        <v>3320</v>
      </c>
      <c r="VNQ45" s="318" t="s">
        <v>3319</v>
      </c>
      <c r="VNR45" s="319" t="s">
        <v>3320</v>
      </c>
      <c r="VNS45" s="318" t="s">
        <v>3319</v>
      </c>
      <c r="VNT45" s="319" t="s">
        <v>3320</v>
      </c>
      <c r="VNU45" s="318" t="s">
        <v>3319</v>
      </c>
      <c r="VNV45" s="319" t="s">
        <v>3320</v>
      </c>
      <c r="VNW45" s="318" t="s">
        <v>3319</v>
      </c>
      <c r="VNX45" s="319" t="s">
        <v>3320</v>
      </c>
      <c r="VNY45" s="318" t="s">
        <v>3319</v>
      </c>
      <c r="VNZ45" s="319" t="s">
        <v>3320</v>
      </c>
      <c r="VOA45" s="318" t="s">
        <v>3319</v>
      </c>
      <c r="VOB45" s="319" t="s">
        <v>3320</v>
      </c>
      <c r="VOC45" s="318" t="s">
        <v>3319</v>
      </c>
      <c r="VOD45" s="319" t="s">
        <v>3320</v>
      </c>
      <c r="VOE45" s="318" t="s">
        <v>3319</v>
      </c>
      <c r="VOF45" s="319" t="s">
        <v>3320</v>
      </c>
      <c r="VOG45" s="318" t="s">
        <v>3319</v>
      </c>
      <c r="VOH45" s="319" t="s">
        <v>3320</v>
      </c>
      <c r="VOI45" s="318" t="s">
        <v>3319</v>
      </c>
      <c r="VOJ45" s="319" t="s">
        <v>3320</v>
      </c>
      <c r="VOK45" s="318" t="s">
        <v>3319</v>
      </c>
      <c r="VOL45" s="319" t="s">
        <v>3320</v>
      </c>
      <c r="VOM45" s="318" t="s">
        <v>3319</v>
      </c>
      <c r="VON45" s="319" t="s">
        <v>3320</v>
      </c>
      <c r="VOO45" s="318" t="s">
        <v>3319</v>
      </c>
      <c r="VOP45" s="319" t="s">
        <v>3320</v>
      </c>
      <c r="VOQ45" s="318" t="s">
        <v>3319</v>
      </c>
      <c r="VOR45" s="319" t="s">
        <v>3320</v>
      </c>
      <c r="VOS45" s="318" t="s">
        <v>3319</v>
      </c>
      <c r="VOT45" s="319" t="s">
        <v>3320</v>
      </c>
      <c r="VOU45" s="318" t="s">
        <v>3319</v>
      </c>
      <c r="VOV45" s="319" t="s">
        <v>3320</v>
      </c>
      <c r="VOW45" s="318" t="s">
        <v>3319</v>
      </c>
      <c r="VOX45" s="319" t="s">
        <v>3320</v>
      </c>
      <c r="VOY45" s="318" t="s">
        <v>3319</v>
      </c>
      <c r="VOZ45" s="319" t="s">
        <v>3320</v>
      </c>
      <c r="VPA45" s="318" t="s">
        <v>3319</v>
      </c>
      <c r="VPB45" s="319" t="s">
        <v>3320</v>
      </c>
      <c r="VPC45" s="318" t="s">
        <v>3319</v>
      </c>
      <c r="VPD45" s="319" t="s">
        <v>3320</v>
      </c>
      <c r="VPE45" s="318" t="s">
        <v>3319</v>
      </c>
      <c r="VPF45" s="319" t="s">
        <v>3320</v>
      </c>
      <c r="VPG45" s="318" t="s">
        <v>3319</v>
      </c>
      <c r="VPH45" s="319" t="s">
        <v>3320</v>
      </c>
      <c r="VPI45" s="318" t="s">
        <v>3319</v>
      </c>
      <c r="VPJ45" s="319" t="s">
        <v>3320</v>
      </c>
      <c r="VPK45" s="318" t="s">
        <v>3319</v>
      </c>
      <c r="VPL45" s="319" t="s">
        <v>3320</v>
      </c>
      <c r="VPM45" s="318" t="s">
        <v>3319</v>
      </c>
      <c r="VPN45" s="319" t="s">
        <v>3320</v>
      </c>
      <c r="VPO45" s="318" t="s">
        <v>3319</v>
      </c>
      <c r="VPP45" s="319" t="s">
        <v>3320</v>
      </c>
      <c r="VPQ45" s="318" t="s">
        <v>3319</v>
      </c>
      <c r="VPR45" s="319" t="s">
        <v>3320</v>
      </c>
      <c r="VPS45" s="318" t="s">
        <v>3319</v>
      </c>
      <c r="VPT45" s="319" t="s">
        <v>3320</v>
      </c>
      <c r="VPU45" s="318" t="s">
        <v>3319</v>
      </c>
      <c r="VPV45" s="319" t="s">
        <v>3320</v>
      </c>
      <c r="VPW45" s="318" t="s">
        <v>3319</v>
      </c>
      <c r="VPX45" s="319" t="s">
        <v>3320</v>
      </c>
      <c r="VPY45" s="318" t="s">
        <v>3319</v>
      </c>
      <c r="VPZ45" s="319" t="s">
        <v>3320</v>
      </c>
      <c r="VQA45" s="318" t="s">
        <v>3319</v>
      </c>
      <c r="VQB45" s="319" t="s">
        <v>3320</v>
      </c>
      <c r="VQC45" s="318" t="s">
        <v>3319</v>
      </c>
      <c r="VQD45" s="319" t="s">
        <v>3320</v>
      </c>
      <c r="VQE45" s="318" t="s">
        <v>3319</v>
      </c>
      <c r="VQF45" s="319" t="s">
        <v>3320</v>
      </c>
      <c r="VQG45" s="318" t="s">
        <v>3319</v>
      </c>
      <c r="VQH45" s="319" t="s">
        <v>3320</v>
      </c>
      <c r="VQI45" s="318" t="s">
        <v>3319</v>
      </c>
      <c r="VQJ45" s="319" t="s">
        <v>3320</v>
      </c>
      <c r="VQK45" s="318" t="s">
        <v>3319</v>
      </c>
      <c r="VQL45" s="319" t="s">
        <v>3320</v>
      </c>
      <c r="VQM45" s="318" t="s">
        <v>3319</v>
      </c>
      <c r="VQN45" s="319" t="s">
        <v>3320</v>
      </c>
      <c r="VQO45" s="318" t="s">
        <v>3319</v>
      </c>
      <c r="VQP45" s="319" t="s">
        <v>3320</v>
      </c>
      <c r="VQQ45" s="318" t="s">
        <v>3319</v>
      </c>
      <c r="VQR45" s="319" t="s">
        <v>3320</v>
      </c>
      <c r="VQS45" s="318" t="s">
        <v>3319</v>
      </c>
      <c r="VQT45" s="319" t="s">
        <v>3320</v>
      </c>
      <c r="VQU45" s="318" t="s">
        <v>3319</v>
      </c>
      <c r="VQV45" s="319" t="s">
        <v>3320</v>
      </c>
      <c r="VQW45" s="318" t="s">
        <v>3319</v>
      </c>
      <c r="VQX45" s="319" t="s">
        <v>3320</v>
      </c>
      <c r="VQY45" s="318" t="s">
        <v>3319</v>
      </c>
      <c r="VQZ45" s="319" t="s">
        <v>3320</v>
      </c>
      <c r="VRA45" s="318" t="s">
        <v>3319</v>
      </c>
      <c r="VRB45" s="319" t="s">
        <v>3320</v>
      </c>
      <c r="VRC45" s="318" t="s">
        <v>3319</v>
      </c>
      <c r="VRD45" s="319" t="s">
        <v>3320</v>
      </c>
      <c r="VRE45" s="318" t="s">
        <v>3319</v>
      </c>
      <c r="VRF45" s="319" t="s">
        <v>3320</v>
      </c>
      <c r="VRG45" s="318" t="s">
        <v>3319</v>
      </c>
      <c r="VRH45" s="319" t="s">
        <v>3320</v>
      </c>
      <c r="VRI45" s="318" t="s">
        <v>3319</v>
      </c>
      <c r="VRJ45" s="319" t="s">
        <v>3320</v>
      </c>
      <c r="VRK45" s="318" t="s">
        <v>3319</v>
      </c>
      <c r="VRL45" s="319" t="s">
        <v>3320</v>
      </c>
      <c r="VRM45" s="318" t="s">
        <v>3319</v>
      </c>
      <c r="VRN45" s="319" t="s">
        <v>3320</v>
      </c>
      <c r="VRO45" s="318" t="s">
        <v>3319</v>
      </c>
      <c r="VRP45" s="319" t="s">
        <v>3320</v>
      </c>
      <c r="VRQ45" s="318" t="s">
        <v>3319</v>
      </c>
      <c r="VRR45" s="319" t="s">
        <v>3320</v>
      </c>
      <c r="VRS45" s="318" t="s">
        <v>3319</v>
      </c>
      <c r="VRT45" s="319" t="s">
        <v>3320</v>
      </c>
      <c r="VRU45" s="318" t="s">
        <v>3319</v>
      </c>
      <c r="VRV45" s="319" t="s">
        <v>3320</v>
      </c>
      <c r="VRW45" s="318" t="s">
        <v>3319</v>
      </c>
      <c r="VRX45" s="319" t="s">
        <v>3320</v>
      </c>
      <c r="VRY45" s="318" t="s">
        <v>3319</v>
      </c>
      <c r="VRZ45" s="319" t="s">
        <v>3320</v>
      </c>
      <c r="VSA45" s="318" t="s">
        <v>3319</v>
      </c>
      <c r="VSB45" s="319" t="s">
        <v>3320</v>
      </c>
      <c r="VSC45" s="318" t="s">
        <v>3319</v>
      </c>
      <c r="VSD45" s="319" t="s">
        <v>3320</v>
      </c>
      <c r="VSE45" s="318" t="s">
        <v>3319</v>
      </c>
      <c r="VSF45" s="319" t="s">
        <v>3320</v>
      </c>
      <c r="VSG45" s="318" t="s">
        <v>3319</v>
      </c>
      <c r="VSH45" s="319" t="s">
        <v>3320</v>
      </c>
      <c r="VSI45" s="318" t="s">
        <v>3319</v>
      </c>
      <c r="VSJ45" s="319" t="s">
        <v>3320</v>
      </c>
      <c r="VSK45" s="318" t="s">
        <v>3319</v>
      </c>
      <c r="VSL45" s="319" t="s">
        <v>3320</v>
      </c>
      <c r="VSM45" s="318" t="s">
        <v>3319</v>
      </c>
      <c r="VSN45" s="319" t="s">
        <v>3320</v>
      </c>
      <c r="VSO45" s="318" t="s">
        <v>3319</v>
      </c>
      <c r="VSP45" s="319" t="s">
        <v>3320</v>
      </c>
      <c r="VSQ45" s="318" t="s">
        <v>3319</v>
      </c>
      <c r="VSR45" s="319" t="s">
        <v>3320</v>
      </c>
      <c r="VSS45" s="318" t="s">
        <v>3319</v>
      </c>
      <c r="VST45" s="319" t="s">
        <v>3320</v>
      </c>
      <c r="VSU45" s="318" t="s">
        <v>3319</v>
      </c>
      <c r="VSV45" s="319" t="s">
        <v>3320</v>
      </c>
      <c r="VSW45" s="318" t="s">
        <v>3319</v>
      </c>
      <c r="VSX45" s="319" t="s">
        <v>3320</v>
      </c>
      <c r="VSY45" s="318" t="s">
        <v>3319</v>
      </c>
      <c r="VSZ45" s="319" t="s">
        <v>3320</v>
      </c>
      <c r="VTA45" s="318" t="s">
        <v>3319</v>
      </c>
      <c r="VTB45" s="319" t="s">
        <v>3320</v>
      </c>
      <c r="VTC45" s="318" t="s">
        <v>3319</v>
      </c>
      <c r="VTD45" s="319" t="s">
        <v>3320</v>
      </c>
      <c r="VTE45" s="318" t="s">
        <v>3319</v>
      </c>
      <c r="VTF45" s="319" t="s">
        <v>3320</v>
      </c>
      <c r="VTG45" s="318" t="s">
        <v>3319</v>
      </c>
      <c r="VTH45" s="319" t="s">
        <v>3320</v>
      </c>
      <c r="VTI45" s="318" t="s">
        <v>3319</v>
      </c>
      <c r="VTJ45" s="319" t="s">
        <v>3320</v>
      </c>
      <c r="VTK45" s="318" t="s">
        <v>3319</v>
      </c>
      <c r="VTL45" s="319" t="s">
        <v>3320</v>
      </c>
      <c r="VTM45" s="318" t="s">
        <v>3319</v>
      </c>
      <c r="VTN45" s="319" t="s">
        <v>3320</v>
      </c>
      <c r="VTO45" s="318" t="s">
        <v>3319</v>
      </c>
      <c r="VTP45" s="319" t="s">
        <v>3320</v>
      </c>
      <c r="VTQ45" s="318" t="s">
        <v>3319</v>
      </c>
      <c r="VTR45" s="319" t="s">
        <v>3320</v>
      </c>
      <c r="VTS45" s="318" t="s">
        <v>3319</v>
      </c>
      <c r="VTT45" s="319" t="s">
        <v>3320</v>
      </c>
      <c r="VTU45" s="318" t="s">
        <v>3319</v>
      </c>
      <c r="VTV45" s="319" t="s">
        <v>3320</v>
      </c>
      <c r="VTW45" s="318" t="s">
        <v>3319</v>
      </c>
      <c r="VTX45" s="319" t="s">
        <v>3320</v>
      </c>
      <c r="VTY45" s="318" t="s">
        <v>3319</v>
      </c>
      <c r="VTZ45" s="319" t="s">
        <v>3320</v>
      </c>
      <c r="VUA45" s="318" t="s">
        <v>3319</v>
      </c>
      <c r="VUB45" s="319" t="s">
        <v>3320</v>
      </c>
      <c r="VUC45" s="318" t="s">
        <v>3319</v>
      </c>
      <c r="VUD45" s="319" t="s">
        <v>3320</v>
      </c>
      <c r="VUE45" s="318" t="s">
        <v>3319</v>
      </c>
      <c r="VUF45" s="319" t="s">
        <v>3320</v>
      </c>
      <c r="VUG45" s="318" t="s">
        <v>3319</v>
      </c>
      <c r="VUH45" s="319" t="s">
        <v>3320</v>
      </c>
      <c r="VUI45" s="318" t="s">
        <v>3319</v>
      </c>
      <c r="VUJ45" s="319" t="s">
        <v>3320</v>
      </c>
      <c r="VUK45" s="318" t="s">
        <v>3319</v>
      </c>
      <c r="VUL45" s="319" t="s">
        <v>3320</v>
      </c>
      <c r="VUM45" s="318" t="s">
        <v>3319</v>
      </c>
      <c r="VUN45" s="319" t="s">
        <v>3320</v>
      </c>
      <c r="VUO45" s="318" t="s">
        <v>3319</v>
      </c>
      <c r="VUP45" s="319" t="s">
        <v>3320</v>
      </c>
      <c r="VUQ45" s="318" t="s">
        <v>3319</v>
      </c>
      <c r="VUR45" s="319" t="s">
        <v>3320</v>
      </c>
      <c r="VUS45" s="318" t="s">
        <v>3319</v>
      </c>
      <c r="VUT45" s="319" t="s">
        <v>3320</v>
      </c>
      <c r="VUU45" s="318" t="s">
        <v>3319</v>
      </c>
      <c r="VUV45" s="319" t="s">
        <v>3320</v>
      </c>
      <c r="VUW45" s="318" t="s">
        <v>3319</v>
      </c>
      <c r="VUX45" s="319" t="s">
        <v>3320</v>
      </c>
      <c r="VUY45" s="318" t="s">
        <v>3319</v>
      </c>
      <c r="VUZ45" s="319" t="s">
        <v>3320</v>
      </c>
      <c r="VVA45" s="318" t="s">
        <v>3319</v>
      </c>
      <c r="VVB45" s="319" t="s">
        <v>3320</v>
      </c>
      <c r="VVC45" s="318" t="s">
        <v>3319</v>
      </c>
      <c r="VVD45" s="319" t="s">
        <v>3320</v>
      </c>
      <c r="VVE45" s="318" t="s">
        <v>3319</v>
      </c>
      <c r="VVF45" s="319" t="s">
        <v>3320</v>
      </c>
      <c r="VVG45" s="318" t="s">
        <v>3319</v>
      </c>
      <c r="VVH45" s="319" t="s">
        <v>3320</v>
      </c>
      <c r="VVI45" s="318" t="s">
        <v>3319</v>
      </c>
      <c r="VVJ45" s="319" t="s">
        <v>3320</v>
      </c>
      <c r="VVK45" s="318" t="s">
        <v>3319</v>
      </c>
      <c r="VVL45" s="319" t="s">
        <v>3320</v>
      </c>
      <c r="VVM45" s="318" t="s">
        <v>3319</v>
      </c>
      <c r="VVN45" s="319" t="s">
        <v>3320</v>
      </c>
      <c r="VVO45" s="318" t="s">
        <v>3319</v>
      </c>
      <c r="VVP45" s="319" t="s">
        <v>3320</v>
      </c>
      <c r="VVQ45" s="318" t="s">
        <v>3319</v>
      </c>
      <c r="VVR45" s="319" t="s">
        <v>3320</v>
      </c>
      <c r="VVS45" s="318" t="s">
        <v>3319</v>
      </c>
      <c r="VVT45" s="319" t="s">
        <v>3320</v>
      </c>
      <c r="VVU45" s="318" t="s">
        <v>3319</v>
      </c>
      <c r="VVV45" s="319" t="s">
        <v>3320</v>
      </c>
      <c r="VVW45" s="318" t="s">
        <v>3319</v>
      </c>
      <c r="VVX45" s="319" t="s">
        <v>3320</v>
      </c>
      <c r="VVY45" s="318" t="s">
        <v>3319</v>
      </c>
      <c r="VVZ45" s="319" t="s">
        <v>3320</v>
      </c>
      <c r="VWA45" s="318" t="s">
        <v>3319</v>
      </c>
      <c r="VWB45" s="319" t="s">
        <v>3320</v>
      </c>
      <c r="VWC45" s="318" t="s">
        <v>3319</v>
      </c>
      <c r="VWD45" s="319" t="s">
        <v>3320</v>
      </c>
      <c r="VWE45" s="318" t="s">
        <v>3319</v>
      </c>
      <c r="VWF45" s="319" t="s">
        <v>3320</v>
      </c>
      <c r="VWG45" s="318" t="s">
        <v>3319</v>
      </c>
      <c r="VWH45" s="319" t="s">
        <v>3320</v>
      </c>
      <c r="VWI45" s="318" t="s">
        <v>3319</v>
      </c>
      <c r="VWJ45" s="319" t="s">
        <v>3320</v>
      </c>
      <c r="VWK45" s="318" t="s">
        <v>3319</v>
      </c>
      <c r="VWL45" s="319" t="s">
        <v>3320</v>
      </c>
      <c r="VWM45" s="318" t="s">
        <v>3319</v>
      </c>
      <c r="VWN45" s="319" t="s">
        <v>3320</v>
      </c>
      <c r="VWO45" s="318" t="s">
        <v>3319</v>
      </c>
      <c r="VWP45" s="319" t="s">
        <v>3320</v>
      </c>
      <c r="VWQ45" s="318" t="s">
        <v>3319</v>
      </c>
      <c r="VWR45" s="319" t="s">
        <v>3320</v>
      </c>
      <c r="VWS45" s="318" t="s">
        <v>3319</v>
      </c>
      <c r="VWT45" s="319" t="s">
        <v>3320</v>
      </c>
      <c r="VWU45" s="318" t="s">
        <v>3319</v>
      </c>
      <c r="VWV45" s="319" t="s">
        <v>3320</v>
      </c>
      <c r="VWW45" s="318" t="s">
        <v>3319</v>
      </c>
      <c r="VWX45" s="319" t="s">
        <v>3320</v>
      </c>
      <c r="VWY45" s="318" t="s">
        <v>3319</v>
      </c>
      <c r="VWZ45" s="319" t="s">
        <v>3320</v>
      </c>
      <c r="VXA45" s="318" t="s">
        <v>3319</v>
      </c>
      <c r="VXB45" s="319" t="s">
        <v>3320</v>
      </c>
      <c r="VXC45" s="318" t="s">
        <v>3319</v>
      </c>
      <c r="VXD45" s="319" t="s">
        <v>3320</v>
      </c>
      <c r="VXE45" s="318" t="s">
        <v>3319</v>
      </c>
      <c r="VXF45" s="319" t="s">
        <v>3320</v>
      </c>
      <c r="VXG45" s="318" t="s">
        <v>3319</v>
      </c>
      <c r="VXH45" s="319" t="s">
        <v>3320</v>
      </c>
      <c r="VXI45" s="318" t="s">
        <v>3319</v>
      </c>
      <c r="VXJ45" s="319" t="s">
        <v>3320</v>
      </c>
      <c r="VXK45" s="318" t="s">
        <v>3319</v>
      </c>
      <c r="VXL45" s="319" t="s">
        <v>3320</v>
      </c>
      <c r="VXM45" s="318" t="s">
        <v>3319</v>
      </c>
      <c r="VXN45" s="319" t="s">
        <v>3320</v>
      </c>
      <c r="VXO45" s="318" t="s">
        <v>3319</v>
      </c>
      <c r="VXP45" s="319" t="s">
        <v>3320</v>
      </c>
      <c r="VXQ45" s="318" t="s">
        <v>3319</v>
      </c>
      <c r="VXR45" s="319" t="s">
        <v>3320</v>
      </c>
      <c r="VXS45" s="318" t="s">
        <v>3319</v>
      </c>
      <c r="VXT45" s="319" t="s">
        <v>3320</v>
      </c>
      <c r="VXU45" s="318" t="s">
        <v>3319</v>
      </c>
      <c r="VXV45" s="319" t="s">
        <v>3320</v>
      </c>
      <c r="VXW45" s="318" t="s">
        <v>3319</v>
      </c>
      <c r="VXX45" s="319" t="s">
        <v>3320</v>
      </c>
      <c r="VXY45" s="318" t="s">
        <v>3319</v>
      </c>
      <c r="VXZ45" s="319" t="s">
        <v>3320</v>
      </c>
      <c r="VYA45" s="318" t="s">
        <v>3319</v>
      </c>
      <c r="VYB45" s="319" t="s">
        <v>3320</v>
      </c>
      <c r="VYC45" s="318" t="s">
        <v>3319</v>
      </c>
      <c r="VYD45" s="319" t="s">
        <v>3320</v>
      </c>
      <c r="VYE45" s="318" t="s">
        <v>3319</v>
      </c>
      <c r="VYF45" s="319" t="s">
        <v>3320</v>
      </c>
      <c r="VYG45" s="318" t="s">
        <v>3319</v>
      </c>
      <c r="VYH45" s="319" t="s">
        <v>3320</v>
      </c>
      <c r="VYI45" s="318" t="s">
        <v>3319</v>
      </c>
      <c r="VYJ45" s="319" t="s">
        <v>3320</v>
      </c>
      <c r="VYK45" s="318" t="s">
        <v>3319</v>
      </c>
      <c r="VYL45" s="319" t="s">
        <v>3320</v>
      </c>
      <c r="VYM45" s="318" t="s">
        <v>3319</v>
      </c>
      <c r="VYN45" s="319" t="s">
        <v>3320</v>
      </c>
      <c r="VYO45" s="318" t="s">
        <v>3319</v>
      </c>
      <c r="VYP45" s="319" t="s">
        <v>3320</v>
      </c>
      <c r="VYQ45" s="318" t="s">
        <v>3319</v>
      </c>
      <c r="VYR45" s="319" t="s">
        <v>3320</v>
      </c>
      <c r="VYS45" s="318" t="s">
        <v>3319</v>
      </c>
      <c r="VYT45" s="319" t="s">
        <v>3320</v>
      </c>
      <c r="VYU45" s="318" t="s">
        <v>3319</v>
      </c>
      <c r="VYV45" s="319" t="s">
        <v>3320</v>
      </c>
      <c r="VYW45" s="318" t="s">
        <v>3319</v>
      </c>
      <c r="VYX45" s="319" t="s">
        <v>3320</v>
      </c>
      <c r="VYY45" s="318" t="s">
        <v>3319</v>
      </c>
      <c r="VYZ45" s="319" t="s">
        <v>3320</v>
      </c>
      <c r="VZA45" s="318" t="s">
        <v>3319</v>
      </c>
      <c r="VZB45" s="319" t="s">
        <v>3320</v>
      </c>
      <c r="VZC45" s="318" t="s">
        <v>3319</v>
      </c>
      <c r="VZD45" s="319" t="s">
        <v>3320</v>
      </c>
      <c r="VZE45" s="318" t="s">
        <v>3319</v>
      </c>
      <c r="VZF45" s="319" t="s">
        <v>3320</v>
      </c>
      <c r="VZG45" s="318" t="s">
        <v>3319</v>
      </c>
      <c r="VZH45" s="319" t="s">
        <v>3320</v>
      </c>
      <c r="VZI45" s="318" t="s">
        <v>3319</v>
      </c>
      <c r="VZJ45" s="319" t="s">
        <v>3320</v>
      </c>
      <c r="VZK45" s="318" t="s">
        <v>3319</v>
      </c>
      <c r="VZL45" s="319" t="s">
        <v>3320</v>
      </c>
      <c r="VZM45" s="318" t="s">
        <v>3319</v>
      </c>
      <c r="VZN45" s="319" t="s">
        <v>3320</v>
      </c>
      <c r="VZO45" s="318" t="s">
        <v>3319</v>
      </c>
      <c r="VZP45" s="319" t="s">
        <v>3320</v>
      </c>
      <c r="VZQ45" s="318" t="s">
        <v>3319</v>
      </c>
      <c r="VZR45" s="319" t="s">
        <v>3320</v>
      </c>
      <c r="VZS45" s="318" t="s">
        <v>3319</v>
      </c>
      <c r="VZT45" s="319" t="s">
        <v>3320</v>
      </c>
      <c r="VZU45" s="318" t="s">
        <v>3319</v>
      </c>
      <c r="VZV45" s="319" t="s">
        <v>3320</v>
      </c>
      <c r="VZW45" s="318" t="s">
        <v>3319</v>
      </c>
      <c r="VZX45" s="319" t="s">
        <v>3320</v>
      </c>
      <c r="VZY45" s="318" t="s">
        <v>3319</v>
      </c>
      <c r="VZZ45" s="319" t="s">
        <v>3320</v>
      </c>
      <c r="WAA45" s="318" t="s">
        <v>3319</v>
      </c>
      <c r="WAB45" s="319" t="s">
        <v>3320</v>
      </c>
      <c r="WAC45" s="318" t="s">
        <v>3319</v>
      </c>
      <c r="WAD45" s="319" t="s">
        <v>3320</v>
      </c>
      <c r="WAE45" s="318" t="s">
        <v>3319</v>
      </c>
      <c r="WAF45" s="319" t="s">
        <v>3320</v>
      </c>
      <c r="WAG45" s="318" t="s">
        <v>3319</v>
      </c>
      <c r="WAH45" s="319" t="s">
        <v>3320</v>
      </c>
      <c r="WAI45" s="318" t="s">
        <v>3319</v>
      </c>
      <c r="WAJ45" s="319" t="s">
        <v>3320</v>
      </c>
      <c r="WAK45" s="318" t="s">
        <v>3319</v>
      </c>
      <c r="WAL45" s="319" t="s">
        <v>3320</v>
      </c>
      <c r="WAM45" s="318" t="s">
        <v>3319</v>
      </c>
      <c r="WAN45" s="319" t="s">
        <v>3320</v>
      </c>
      <c r="WAO45" s="318" t="s">
        <v>3319</v>
      </c>
      <c r="WAP45" s="319" t="s">
        <v>3320</v>
      </c>
      <c r="WAQ45" s="318" t="s">
        <v>3319</v>
      </c>
      <c r="WAR45" s="319" t="s">
        <v>3320</v>
      </c>
      <c r="WAS45" s="318" t="s">
        <v>3319</v>
      </c>
      <c r="WAT45" s="319" t="s">
        <v>3320</v>
      </c>
      <c r="WAU45" s="318" t="s">
        <v>3319</v>
      </c>
      <c r="WAV45" s="319" t="s">
        <v>3320</v>
      </c>
      <c r="WAW45" s="318" t="s">
        <v>3319</v>
      </c>
      <c r="WAX45" s="319" t="s">
        <v>3320</v>
      </c>
      <c r="WAY45" s="318" t="s">
        <v>3319</v>
      </c>
      <c r="WAZ45" s="319" t="s">
        <v>3320</v>
      </c>
      <c r="WBA45" s="318" t="s">
        <v>3319</v>
      </c>
      <c r="WBB45" s="319" t="s">
        <v>3320</v>
      </c>
      <c r="WBC45" s="318" t="s">
        <v>3319</v>
      </c>
      <c r="WBD45" s="319" t="s">
        <v>3320</v>
      </c>
      <c r="WBE45" s="318" t="s">
        <v>3319</v>
      </c>
      <c r="WBF45" s="319" t="s">
        <v>3320</v>
      </c>
      <c r="WBG45" s="318" t="s">
        <v>3319</v>
      </c>
      <c r="WBH45" s="319" t="s">
        <v>3320</v>
      </c>
      <c r="WBI45" s="318" t="s">
        <v>3319</v>
      </c>
      <c r="WBJ45" s="319" t="s">
        <v>3320</v>
      </c>
      <c r="WBK45" s="318" t="s">
        <v>3319</v>
      </c>
      <c r="WBL45" s="319" t="s">
        <v>3320</v>
      </c>
      <c r="WBM45" s="318" t="s">
        <v>3319</v>
      </c>
      <c r="WBN45" s="319" t="s">
        <v>3320</v>
      </c>
      <c r="WBO45" s="318" t="s">
        <v>3319</v>
      </c>
      <c r="WBP45" s="319" t="s">
        <v>3320</v>
      </c>
      <c r="WBQ45" s="318" t="s">
        <v>3319</v>
      </c>
      <c r="WBR45" s="319" t="s">
        <v>3320</v>
      </c>
      <c r="WBS45" s="318" t="s">
        <v>3319</v>
      </c>
      <c r="WBT45" s="319" t="s">
        <v>3320</v>
      </c>
      <c r="WBU45" s="318" t="s">
        <v>3319</v>
      </c>
      <c r="WBV45" s="319" t="s">
        <v>3320</v>
      </c>
      <c r="WBW45" s="318" t="s">
        <v>3319</v>
      </c>
      <c r="WBX45" s="319" t="s">
        <v>3320</v>
      </c>
      <c r="WBY45" s="318" t="s">
        <v>3319</v>
      </c>
      <c r="WBZ45" s="319" t="s">
        <v>3320</v>
      </c>
      <c r="WCA45" s="318" t="s">
        <v>3319</v>
      </c>
      <c r="WCB45" s="319" t="s">
        <v>3320</v>
      </c>
      <c r="WCC45" s="318" t="s">
        <v>3319</v>
      </c>
      <c r="WCD45" s="319" t="s">
        <v>3320</v>
      </c>
      <c r="WCE45" s="318" t="s">
        <v>3319</v>
      </c>
      <c r="WCF45" s="319" t="s">
        <v>3320</v>
      </c>
      <c r="WCG45" s="318" t="s">
        <v>3319</v>
      </c>
      <c r="WCH45" s="319" t="s">
        <v>3320</v>
      </c>
      <c r="WCI45" s="318" t="s">
        <v>3319</v>
      </c>
      <c r="WCJ45" s="319" t="s">
        <v>3320</v>
      </c>
      <c r="WCK45" s="318" t="s">
        <v>3319</v>
      </c>
      <c r="WCL45" s="319" t="s">
        <v>3320</v>
      </c>
      <c r="WCM45" s="318" t="s">
        <v>3319</v>
      </c>
      <c r="WCN45" s="319" t="s">
        <v>3320</v>
      </c>
      <c r="WCO45" s="318" t="s">
        <v>3319</v>
      </c>
      <c r="WCP45" s="319" t="s">
        <v>3320</v>
      </c>
      <c r="WCQ45" s="318" t="s">
        <v>3319</v>
      </c>
      <c r="WCR45" s="319" t="s">
        <v>3320</v>
      </c>
      <c r="WCS45" s="318" t="s">
        <v>3319</v>
      </c>
      <c r="WCT45" s="319" t="s">
        <v>3320</v>
      </c>
      <c r="WCU45" s="318" t="s">
        <v>3319</v>
      </c>
      <c r="WCV45" s="319" t="s">
        <v>3320</v>
      </c>
      <c r="WCW45" s="318" t="s">
        <v>3319</v>
      </c>
      <c r="WCX45" s="319" t="s">
        <v>3320</v>
      </c>
      <c r="WCY45" s="318" t="s">
        <v>3319</v>
      </c>
      <c r="WCZ45" s="319" t="s">
        <v>3320</v>
      </c>
      <c r="WDA45" s="318" t="s">
        <v>3319</v>
      </c>
      <c r="WDB45" s="319" t="s">
        <v>3320</v>
      </c>
      <c r="WDC45" s="318" t="s">
        <v>3319</v>
      </c>
      <c r="WDD45" s="319" t="s">
        <v>3320</v>
      </c>
      <c r="WDE45" s="318" t="s">
        <v>3319</v>
      </c>
      <c r="WDF45" s="319" t="s">
        <v>3320</v>
      </c>
      <c r="WDG45" s="318" t="s">
        <v>3319</v>
      </c>
      <c r="WDH45" s="319" t="s">
        <v>3320</v>
      </c>
      <c r="WDI45" s="318" t="s">
        <v>3319</v>
      </c>
      <c r="WDJ45" s="319" t="s">
        <v>3320</v>
      </c>
      <c r="WDK45" s="318" t="s">
        <v>3319</v>
      </c>
      <c r="WDL45" s="319" t="s">
        <v>3320</v>
      </c>
      <c r="WDM45" s="318" t="s">
        <v>3319</v>
      </c>
      <c r="WDN45" s="319" t="s">
        <v>3320</v>
      </c>
      <c r="WDO45" s="318" t="s">
        <v>3319</v>
      </c>
      <c r="WDP45" s="319" t="s">
        <v>3320</v>
      </c>
      <c r="WDQ45" s="318" t="s">
        <v>3319</v>
      </c>
      <c r="WDR45" s="319" t="s">
        <v>3320</v>
      </c>
      <c r="WDS45" s="318" t="s">
        <v>3319</v>
      </c>
      <c r="WDT45" s="319" t="s">
        <v>3320</v>
      </c>
      <c r="WDU45" s="318" t="s">
        <v>3319</v>
      </c>
      <c r="WDV45" s="319" t="s">
        <v>3320</v>
      </c>
      <c r="WDW45" s="318" t="s">
        <v>3319</v>
      </c>
      <c r="WDX45" s="319" t="s">
        <v>3320</v>
      </c>
      <c r="WDY45" s="318" t="s">
        <v>3319</v>
      </c>
      <c r="WDZ45" s="319" t="s">
        <v>3320</v>
      </c>
      <c r="WEA45" s="318" t="s">
        <v>3319</v>
      </c>
      <c r="WEB45" s="319" t="s">
        <v>3320</v>
      </c>
      <c r="WEC45" s="318" t="s">
        <v>3319</v>
      </c>
      <c r="WED45" s="319" t="s">
        <v>3320</v>
      </c>
      <c r="WEE45" s="318" t="s">
        <v>3319</v>
      </c>
      <c r="WEF45" s="319" t="s">
        <v>3320</v>
      </c>
      <c r="WEG45" s="318" t="s">
        <v>3319</v>
      </c>
      <c r="WEH45" s="319" t="s">
        <v>3320</v>
      </c>
      <c r="WEI45" s="318" t="s">
        <v>3319</v>
      </c>
      <c r="WEJ45" s="319" t="s">
        <v>3320</v>
      </c>
      <c r="WEK45" s="318" t="s">
        <v>3319</v>
      </c>
      <c r="WEL45" s="319" t="s">
        <v>3320</v>
      </c>
      <c r="WEM45" s="318" t="s">
        <v>3319</v>
      </c>
      <c r="WEN45" s="319" t="s">
        <v>3320</v>
      </c>
      <c r="WEO45" s="318" t="s">
        <v>3319</v>
      </c>
      <c r="WEP45" s="319" t="s">
        <v>3320</v>
      </c>
      <c r="WEQ45" s="318" t="s">
        <v>3319</v>
      </c>
      <c r="WER45" s="319" t="s">
        <v>3320</v>
      </c>
      <c r="WES45" s="318" t="s">
        <v>3319</v>
      </c>
      <c r="WET45" s="319" t="s">
        <v>3320</v>
      </c>
      <c r="WEU45" s="318" t="s">
        <v>3319</v>
      </c>
      <c r="WEV45" s="319" t="s">
        <v>3320</v>
      </c>
      <c r="WEW45" s="318" t="s">
        <v>3319</v>
      </c>
      <c r="WEX45" s="319" t="s">
        <v>3320</v>
      </c>
      <c r="WEY45" s="318" t="s">
        <v>3319</v>
      </c>
      <c r="WEZ45" s="319" t="s">
        <v>3320</v>
      </c>
      <c r="WFA45" s="318" t="s">
        <v>3319</v>
      </c>
      <c r="WFB45" s="319" t="s">
        <v>3320</v>
      </c>
      <c r="WFC45" s="318" t="s">
        <v>3319</v>
      </c>
      <c r="WFD45" s="319" t="s">
        <v>3320</v>
      </c>
      <c r="WFE45" s="318" t="s">
        <v>3319</v>
      </c>
      <c r="WFF45" s="319" t="s">
        <v>3320</v>
      </c>
      <c r="WFG45" s="318" t="s">
        <v>3319</v>
      </c>
      <c r="WFH45" s="319" t="s">
        <v>3320</v>
      </c>
      <c r="WFI45" s="318" t="s">
        <v>3319</v>
      </c>
      <c r="WFJ45" s="319" t="s">
        <v>3320</v>
      </c>
      <c r="WFK45" s="318" t="s">
        <v>3319</v>
      </c>
      <c r="WFL45" s="319" t="s">
        <v>3320</v>
      </c>
      <c r="WFM45" s="318" t="s">
        <v>3319</v>
      </c>
      <c r="WFN45" s="319" t="s">
        <v>3320</v>
      </c>
      <c r="WFO45" s="318" t="s">
        <v>3319</v>
      </c>
      <c r="WFP45" s="319" t="s">
        <v>3320</v>
      </c>
      <c r="WFQ45" s="318" t="s">
        <v>3319</v>
      </c>
      <c r="WFR45" s="319" t="s">
        <v>3320</v>
      </c>
      <c r="WFS45" s="318" t="s">
        <v>3319</v>
      </c>
      <c r="WFT45" s="319" t="s">
        <v>3320</v>
      </c>
      <c r="WFU45" s="318" t="s">
        <v>3319</v>
      </c>
      <c r="WFV45" s="319" t="s">
        <v>3320</v>
      </c>
      <c r="WFW45" s="318" t="s">
        <v>3319</v>
      </c>
      <c r="WFX45" s="319" t="s">
        <v>3320</v>
      </c>
      <c r="WFY45" s="318" t="s">
        <v>3319</v>
      </c>
      <c r="WFZ45" s="319" t="s">
        <v>3320</v>
      </c>
      <c r="WGA45" s="318" t="s">
        <v>3319</v>
      </c>
      <c r="WGB45" s="319" t="s">
        <v>3320</v>
      </c>
      <c r="WGC45" s="318" t="s">
        <v>3319</v>
      </c>
      <c r="WGD45" s="319" t="s">
        <v>3320</v>
      </c>
      <c r="WGE45" s="318" t="s">
        <v>3319</v>
      </c>
      <c r="WGF45" s="319" t="s">
        <v>3320</v>
      </c>
      <c r="WGG45" s="318" t="s">
        <v>3319</v>
      </c>
      <c r="WGH45" s="319" t="s">
        <v>3320</v>
      </c>
      <c r="WGI45" s="318" t="s">
        <v>3319</v>
      </c>
      <c r="WGJ45" s="319" t="s">
        <v>3320</v>
      </c>
      <c r="WGK45" s="318" t="s">
        <v>3319</v>
      </c>
      <c r="WGL45" s="319" t="s">
        <v>3320</v>
      </c>
      <c r="WGM45" s="318" t="s">
        <v>3319</v>
      </c>
      <c r="WGN45" s="319" t="s">
        <v>3320</v>
      </c>
      <c r="WGO45" s="318" t="s">
        <v>3319</v>
      </c>
      <c r="WGP45" s="319" t="s">
        <v>3320</v>
      </c>
      <c r="WGQ45" s="318" t="s">
        <v>3319</v>
      </c>
      <c r="WGR45" s="319" t="s">
        <v>3320</v>
      </c>
      <c r="WGS45" s="318" t="s">
        <v>3319</v>
      </c>
      <c r="WGT45" s="319" t="s">
        <v>3320</v>
      </c>
      <c r="WGU45" s="318" t="s">
        <v>3319</v>
      </c>
      <c r="WGV45" s="319" t="s">
        <v>3320</v>
      </c>
      <c r="WGW45" s="318" t="s">
        <v>3319</v>
      </c>
      <c r="WGX45" s="319" t="s">
        <v>3320</v>
      </c>
      <c r="WGY45" s="318" t="s">
        <v>3319</v>
      </c>
      <c r="WGZ45" s="319" t="s">
        <v>3320</v>
      </c>
      <c r="WHA45" s="318" t="s">
        <v>3319</v>
      </c>
      <c r="WHB45" s="319" t="s">
        <v>3320</v>
      </c>
      <c r="WHC45" s="318" t="s">
        <v>3319</v>
      </c>
      <c r="WHD45" s="319" t="s">
        <v>3320</v>
      </c>
      <c r="WHE45" s="318" t="s">
        <v>3319</v>
      </c>
      <c r="WHF45" s="319" t="s">
        <v>3320</v>
      </c>
      <c r="WHG45" s="318" t="s">
        <v>3319</v>
      </c>
      <c r="WHH45" s="319" t="s">
        <v>3320</v>
      </c>
      <c r="WHI45" s="318" t="s">
        <v>3319</v>
      </c>
      <c r="WHJ45" s="319" t="s">
        <v>3320</v>
      </c>
      <c r="WHK45" s="318" t="s">
        <v>3319</v>
      </c>
      <c r="WHL45" s="319" t="s">
        <v>3320</v>
      </c>
      <c r="WHM45" s="318" t="s">
        <v>3319</v>
      </c>
      <c r="WHN45" s="319" t="s">
        <v>3320</v>
      </c>
      <c r="WHO45" s="318" t="s">
        <v>3319</v>
      </c>
      <c r="WHP45" s="319" t="s">
        <v>3320</v>
      </c>
      <c r="WHQ45" s="318" t="s">
        <v>3319</v>
      </c>
      <c r="WHR45" s="319" t="s">
        <v>3320</v>
      </c>
      <c r="WHS45" s="318" t="s">
        <v>3319</v>
      </c>
      <c r="WHT45" s="319" t="s">
        <v>3320</v>
      </c>
      <c r="WHU45" s="318" t="s">
        <v>3319</v>
      </c>
      <c r="WHV45" s="319" t="s">
        <v>3320</v>
      </c>
      <c r="WHW45" s="318" t="s">
        <v>3319</v>
      </c>
      <c r="WHX45" s="319" t="s">
        <v>3320</v>
      </c>
      <c r="WHY45" s="318" t="s">
        <v>3319</v>
      </c>
      <c r="WHZ45" s="319" t="s">
        <v>3320</v>
      </c>
      <c r="WIA45" s="318" t="s">
        <v>3319</v>
      </c>
      <c r="WIB45" s="319" t="s">
        <v>3320</v>
      </c>
      <c r="WIC45" s="318" t="s">
        <v>3319</v>
      </c>
      <c r="WID45" s="319" t="s">
        <v>3320</v>
      </c>
      <c r="WIE45" s="318" t="s">
        <v>3319</v>
      </c>
      <c r="WIF45" s="319" t="s">
        <v>3320</v>
      </c>
      <c r="WIG45" s="318" t="s">
        <v>3319</v>
      </c>
      <c r="WIH45" s="319" t="s">
        <v>3320</v>
      </c>
      <c r="WII45" s="318" t="s">
        <v>3319</v>
      </c>
      <c r="WIJ45" s="319" t="s">
        <v>3320</v>
      </c>
      <c r="WIK45" s="318" t="s">
        <v>3319</v>
      </c>
      <c r="WIL45" s="319" t="s">
        <v>3320</v>
      </c>
      <c r="WIM45" s="318" t="s">
        <v>3319</v>
      </c>
      <c r="WIN45" s="319" t="s">
        <v>3320</v>
      </c>
      <c r="WIO45" s="318" t="s">
        <v>3319</v>
      </c>
      <c r="WIP45" s="319" t="s">
        <v>3320</v>
      </c>
      <c r="WIQ45" s="318" t="s">
        <v>3319</v>
      </c>
      <c r="WIR45" s="319" t="s">
        <v>3320</v>
      </c>
      <c r="WIS45" s="318" t="s">
        <v>3319</v>
      </c>
      <c r="WIT45" s="319" t="s">
        <v>3320</v>
      </c>
      <c r="WIU45" s="318" t="s">
        <v>3319</v>
      </c>
      <c r="WIV45" s="319" t="s">
        <v>3320</v>
      </c>
      <c r="WIW45" s="318" t="s">
        <v>3319</v>
      </c>
      <c r="WIX45" s="319" t="s">
        <v>3320</v>
      </c>
      <c r="WIY45" s="318" t="s">
        <v>3319</v>
      </c>
      <c r="WIZ45" s="319" t="s">
        <v>3320</v>
      </c>
      <c r="WJA45" s="318" t="s">
        <v>3319</v>
      </c>
      <c r="WJB45" s="319" t="s">
        <v>3320</v>
      </c>
      <c r="WJC45" s="318" t="s">
        <v>3319</v>
      </c>
      <c r="WJD45" s="319" t="s">
        <v>3320</v>
      </c>
      <c r="WJE45" s="318" t="s">
        <v>3319</v>
      </c>
      <c r="WJF45" s="319" t="s">
        <v>3320</v>
      </c>
      <c r="WJG45" s="318" t="s">
        <v>3319</v>
      </c>
      <c r="WJH45" s="319" t="s">
        <v>3320</v>
      </c>
      <c r="WJI45" s="318" t="s">
        <v>3319</v>
      </c>
      <c r="WJJ45" s="319" t="s">
        <v>3320</v>
      </c>
      <c r="WJK45" s="318" t="s">
        <v>3319</v>
      </c>
      <c r="WJL45" s="319" t="s">
        <v>3320</v>
      </c>
      <c r="WJM45" s="318" t="s">
        <v>3319</v>
      </c>
      <c r="WJN45" s="319" t="s">
        <v>3320</v>
      </c>
      <c r="WJO45" s="318" t="s">
        <v>3319</v>
      </c>
      <c r="WJP45" s="319" t="s">
        <v>3320</v>
      </c>
      <c r="WJQ45" s="318" t="s">
        <v>3319</v>
      </c>
      <c r="WJR45" s="319" t="s">
        <v>3320</v>
      </c>
      <c r="WJS45" s="318" t="s">
        <v>3319</v>
      </c>
      <c r="WJT45" s="319" t="s">
        <v>3320</v>
      </c>
      <c r="WJU45" s="318" t="s">
        <v>3319</v>
      </c>
      <c r="WJV45" s="319" t="s">
        <v>3320</v>
      </c>
      <c r="WJW45" s="318" t="s">
        <v>3319</v>
      </c>
      <c r="WJX45" s="319" t="s">
        <v>3320</v>
      </c>
      <c r="WJY45" s="318" t="s">
        <v>3319</v>
      </c>
      <c r="WJZ45" s="319" t="s">
        <v>3320</v>
      </c>
      <c r="WKA45" s="318" t="s">
        <v>3319</v>
      </c>
      <c r="WKB45" s="319" t="s">
        <v>3320</v>
      </c>
      <c r="WKC45" s="318" t="s">
        <v>3319</v>
      </c>
      <c r="WKD45" s="319" t="s">
        <v>3320</v>
      </c>
      <c r="WKE45" s="318" t="s">
        <v>3319</v>
      </c>
      <c r="WKF45" s="319" t="s">
        <v>3320</v>
      </c>
      <c r="WKG45" s="318" t="s">
        <v>3319</v>
      </c>
      <c r="WKH45" s="319" t="s">
        <v>3320</v>
      </c>
      <c r="WKI45" s="318" t="s">
        <v>3319</v>
      </c>
      <c r="WKJ45" s="319" t="s">
        <v>3320</v>
      </c>
      <c r="WKK45" s="318" t="s">
        <v>3319</v>
      </c>
      <c r="WKL45" s="319" t="s">
        <v>3320</v>
      </c>
      <c r="WKM45" s="318" t="s">
        <v>3319</v>
      </c>
      <c r="WKN45" s="319" t="s">
        <v>3320</v>
      </c>
      <c r="WKO45" s="318" t="s">
        <v>3319</v>
      </c>
      <c r="WKP45" s="319" t="s">
        <v>3320</v>
      </c>
      <c r="WKQ45" s="318" t="s">
        <v>3319</v>
      </c>
      <c r="WKR45" s="319" t="s">
        <v>3320</v>
      </c>
      <c r="WKS45" s="318" t="s">
        <v>3319</v>
      </c>
      <c r="WKT45" s="319" t="s">
        <v>3320</v>
      </c>
      <c r="WKU45" s="318" t="s">
        <v>3319</v>
      </c>
      <c r="WKV45" s="319" t="s">
        <v>3320</v>
      </c>
      <c r="WKW45" s="318" t="s">
        <v>3319</v>
      </c>
      <c r="WKX45" s="319" t="s">
        <v>3320</v>
      </c>
      <c r="WKY45" s="318" t="s">
        <v>3319</v>
      </c>
      <c r="WKZ45" s="319" t="s">
        <v>3320</v>
      </c>
      <c r="WLA45" s="318" t="s">
        <v>3319</v>
      </c>
      <c r="WLB45" s="319" t="s">
        <v>3320</v>
      </c>
      <c r="WLC45" s="318" t="s">
        <v>3319</v>
      </c>
      <c r="WLD45" s="319" t="s">
        <v>3320</v>
      </c>
      <c r="WLE45" s="318" t="s">
        <v>3319</v>
      </c>
      <c r="WLF45" s="319" t="s">
        <v>3320</v>
      </c>
      <c r="WLG45" s="318" t="s">
        <v>3319</v>
      </c>
      <c r="WLH45" s="319" t="s">
        <v>3320</v>
      </c>
      <c r="WLI45" s="318" t="s">
        <v>3319</v>
      </c>
      <c r="WLJ45" s="319" t="s">
        <v>3320</v>
      </c>
      <c r="WLK45" s="318" t="s">
        <v>3319</v>
      </c>
      <c r="WLL45" s="319" t="s">
        <v>3320</v>
      </c>
      <c r="WLM45" s="318" t="s">
        <v>3319</v>
      </c>
      <c r="WLN45" s="319" t="s">
        <v>3320</v>
      </c>
      <c r="WLO45" s="318" t="s">
        <v>3319</v>
      </c>
      <c r="WLP45" s="319" t="s">
        <v>3320</v>
      </c>
      <c r="WLQ45" s="318" t="s">
        <v>3319</v>
      </c>
      <c r="WLR45" s="319" t="s">
        <v>3320</v>
      </c>
      <c r="WLS45" s="318" t="s">
        <v>3319</v>
      </c>
      <c r="WLT45" s="319" t="s">
        <v>3320</v>
      </c>
      <c r="WLU45" s="318" t="s">
        <v>3319</v>
      </c>
      <c r="WLV45" s="319" t="s">
        <v>3320</v>
      </c>
      <c r="WLW45" s="318" t="s">
        <v>3319</v>
      </c>
      <c r="WLX45" s="319" t="s">
        <v>3320</v>
      </c>
      <c r="WLY45" s="318" t="s">
        <v>3319</v>
      </c>
      <c r="WLZ45" s="319" t="s">
        <v>3320</v>
      </c>
      <c r="WMA45" s="318" t="s">
        <v>3319</v>
      </c>
      <c r="WMB45" s="319" t="s">
        <v>3320</v>
      </c>
      <c r="WMC45" s="318" t="s">
        <v>3319</v>
      </c>
      <c r="WMD45" s="319" t="s">
        <v>3320</v>
      </c>
      <c r="WME45" s="318" t="s">
        <v>3319</v>
      </c>
      <c r="WMF45" s="319" t="s">
        <v>3320</v>
      </c>
      <c r="WMG45" s="318" t="s">
        <v>3319</v>
      </c>
      <c r="WMH45" s="319" t="s">
        <v>3320</v>
      </c>
      <c r="WMI45" s="318" t="s">
        <v>3319</v>
      </c>
      <c r="WMJ45" s="319" t="s">
        <v>3320</v>
      </c>
      <c r="WMK45" s="318" t="s">
        <v>3319</v>
      </c>
      <c r="WML45" s="319" t="s">
        <v>3320</v>
      </c>
      <c r="WMM45" s="318" t="s">
        <v>3319</v>
      </c>
      <c r="WMN45" s="319" t="s">
        <v>3320</v>
      </c>
      <c r="WMO45" s="318" t="s">
        <v>3319</v>
      </c>
      <c r="WMP45" s="319" t="s">
        <v>3320</v>
      </c>
      <c r="WMQ45" s="318" t="s">
        <v>3319</v>
      </c>
      <c r="WMR45" s="319" t="s">
        <v>3320</v>
      </c>
      <c r="WMS45" s="318" t="s">
        <v>3319</v>
      </c>
      <c r="WMT45" s="319" t="s">
        <v>3320</v>
      </c>
      <c r="WMU45" s="318" t="s">
        <v>3319</v>
      </c>
      <c r="WMV45" s="319" t="s">
        <v>3320</v>
      </c>
      <c r="WMW45" s="318" t="s">
        <v>3319</v>
      </c>
      <c r="WMX45" s="319" t="s">
        <v>3320</v>
      </c>
      <c r="WMY45" s="318" t="s">
        <v>3319</v>
      </c>
      <c r="WMZ45" s="319" t="s">
        <v>3320</v>
      </c>
      <c r="WNA45" s="318" t="s">
        <v>3319</v>
      </c>
      <c r="WNB45" s="319" t="s">
        <v>3320</v>
      </c>
      <c r="WNC45" s="318" t="s">
        <v>3319</v>
      </c>
      <c r="WND45" s="319" t="s">
        <v>3320</v>
      </c>
      <c r="WNE45" s="318" t="s">
        <v>3319</v>
      </c>
      <c r="WNF45" s="319" t="s">
        <v>3320</v>
      </c>
      <c r="WNG45" s="318" t="s">
        <v>3319</v>
      </c>
      <c r="WNH45" s="319" t="s">
        <v>3320</v>
      </c>
      <c r="WNI45" s="318" t="s">
        <v>3319</v>
      </c>
      <c r="WNJ45" s="319" t="s">
        <v>3320</v>
      </c>
      <c r="WNK45" s="318" t="s">
        <v>3319</v>
      </c>
      <c r="WNL45" s="319" t="s">
        <v>3320</v>
      </c>
      <c r="WNM45" s="318" t="s">
        <v>3319</v>
      </c>
      <c r="WNN45" s="319" t="s">
        <v>3320</v>
      </c>
      <c r="WNO45" s="318" t="s">
        <v>3319</v>
      </c>
      <c r="WNP45" s="319" t="s">
        <v>3320</v>
      </c>
      <c r="WNQ45" s="318" t="s">
        <v>3319</v>
      </c>
      <c r="WNR45" s="319" t="s">
        <v>3320</v>
      </c>
      <c r="WNS45" s="318" t="s">
        <v>3319</v>
      </c>
      <c r="WNT45" s="319" t="s">
        <v>3320</v>
      </c>
      <c r="WNU45" s="318" t="s">
        <v>3319</v>
      </c>
      <c r="WNV45" s="319" t="s">
        <v>3320</v>
      </c>
      <c r="WNW45" s="318" t="s">
        <v>3319</v>
      </c>
      <c r="WNX45" s="319" t="s">
        <v>3320</v>
      </c>
      <c r="WNY45" s="318" t="s">
        <v>3319</v>
      </c>
      <c r="WNZ45" s="319" t="s">
        <v>3320</v>
      </c>
      <c r="WOA45" s="318" t="s">
        <v>3319</v>
      </c>
      <c r="WOB45" s="319" t="s">
        <v>3320</v>
      </c>
      <c r="WOC45" s="318" t="s">
        <v>3319</v>
      </c>
      <c r="WOD45" s="319" t="s">
        <v>3320</v>
      </c>
      <c r="WOE45" s="318" t="s">
        <v>3319</v>
      </c>
      <c r="WOF45" s="319" t="s">
        <v>3320</v>
      </c>
      <c r="WOG45" s="318" t="s">
        <v>3319</v>
      </c>
      <c r="WOH45" s="319" t="s">
        <v>3320</v>
      </c>
      <c r="WOI45" s="318" t="s">
        <v>3319</v>
      </c>
      <c r="WOJ45" s="319" t="s">
        <v>3320</v>
      </c>
      <c r="WOK45" s="318" t="s">
        <v>3319</v>
      </c>
      <c r="WOL45" s="319" t="s">
        <v>3320</v>
      </c>
      <c r="WOM45" s="318" t="s">
        <v>3319</v>
      </c>
      <c r="WON45" s="319" t="s">
        <v>3320</v>
      </c>
      <c r="WOO45" s="318" t="s">
        <v>3319</v>
      </c>
      <c r="WOP45" s="319" t="s">
        <v>3320</v>
      </c>
      <c r="WOQ45" s="318" t="s">
        <v>3319</v>
      </c>
      <c r="WOR45" s="319" t="s">
        <v>3320</v>
      </c>
      <c r="WOS45" s="318" t="s">
        <v>3319</v>
      </c>
      <c r="WOT45" s="319" t="s">
        <v>3320</v>
      </c>
      <c r="WOU45" s="318" t="s">
        <v>3319</v>
      </c>
      <c r="WOV45" s="319" t="s">
        <v>3320</v>
      </c>
      <c r="WOW45" s="318" t="s">
        <v>3319</v>
      </c>
      <c r="WOX45" s="319" t="s">
        <v>3320</v>
      </c>
      <c r="WOY45" s="318" t="s">
        <v>3319</v>
      </c>
      <c r="WOZ45" s="319" t="s">
        <v>3320</v>
      </c>
      <c r="WPA45" s="318" t="s">
        <v>3319</v>
      </c>
      <c r="WPB45" s="319" t="s">
        <v>3320</v>
      </c>
      <c r="WPC45" s="318" t="s">
        <v>3319</v>
      </c>
      <c r="WPD45" s="319" t="s">
        <v>3320</v>
      </c>
      <c r="WPE45" s="318" t="s">
        <v>3319</v>
      </c>
      <c r="WPF45" s="319" t="s">
        <v>3320</v>
      </c>
      <c r="WPG45" s="318" t="s">
        <v>3319</v>
      </c>
      <c r="WPH45" s="319" t="s">
        <v>3320</v>
      </c>
      <c r="WPI45" s="318" t="s">
        <v>3319</v>
      </c>
      <c r="WPJ45" s="319" t="s">
        <v>3320</v>
      </c>
      <c r="WPK45" s="318" t="s">
        <v>3319</v>
      </c>
      <c r="WPL45" s="319" t="s">
        <v>3320</v>
      </c>
      <c r="WPM45" s="318" t="s">
        <v>3319</v>
      </c>
      <c r="WPN45" s="319" t="s">
        <v>3320</v>
      </c>
      <c r="WPO45" s="318" t="s">
        <v>3319</v>
      </c>
      <c r="WPP45" s="319" t="s">
        <v>3320</v>
      </c>
      <c r="WPQ45" s="318" t="s">
        <v>3319</v>
      </c>
      <c r="WPR45" s="319" t="s">
        <v>3320</v>
      </c>
      <c r="WPS45" s="318" t="s">
        <v>3319</v>
      </c>
      <c r="WPT45" s="319" t="s">
        <v>3320</v>
      </c>
      <c r="WPU45" s="318" t="s">
        <v>3319</v>
      </c>
      <c r="WPV45" s="319" t="s">
        <v>3320</v>
      </c>
      <c r="WPW45" s="318" t="s">
        <v>3319</v>
      </c>
      <c r="WPX45" s="319" t="s">
        <v>3320</v>
      </c>
      <c r="WPY45" s="318" t="s">
        <v>3319</v>
      </c>
      <c r="WPZ45" s="319" t="s">
        <v>3320</v>
      </c>
      <c r="WQA45" s="318" t="s">
        <v>3319</v>
      </c>
      <c r="WQB45" s="319" t="s">
        <v>3320</v>
      </c>
      <c r="WQC45" s="318" t="s">
        <v>3319</v>
      </c>
      <c r="WQD45" s="319" t="s">
        <v>3320</v>
      </c>
      <c r="WQE45" s="318" t="s">
        <v>3319</v>
      </c>
      <c r="WQF45" s="319" t="s">
        <v>3320</v>
      </c>
      <c r="WQG45" s="318" t="s">
        <v>3319</v>
      </c>
      <c r="WQH45" s="319" t="s">
        <v>3320</v>
      </c>
      <c r="WQI45" s="318" t="s">
        <v>3319</v>
      </c>
      <c r="WQJ45" s="319" t="s">
        <v>3320</v>
      </c>
      <c r="WQK45" s="318" t="s">
        <v>3319</v>
      </c>
      <c r="WQL45" s="319" t="s">
        <v>3320</v>
      </c>
      <c r="WQM45" s="318" t="s">
        <v>3319</v>
      </c>
      <c r="WQN45" s="319" t="s">
        <v>3320</v>
      </c>
      <c r="WQO45" s="318" t="s">
        <v>3319</v>
      </c>
      <c r="WQP45" s="319" t="s">
        <v>3320</v>
      </c>
      <c r="WQQ45" s="318" t="s">
        <v>3319</v>
      </c>
      <c r="WQR45" s="319" t="s">
        <v>3320</v>
      </c>
      <c r="WQS45" s="318" t="s">
        <v>3319</v>
      </c>
      <c r="WQT45" s="319" t="s">
        <v>3320</v>
      </c>
      <c r="WQU45" s="318" t="s">
        <v>3319</v>
      </c>
      <c r="WQV45" s="319" t="s">
        <v>3320</v>
      </c>
      <c r="WQW45" s="318" t="s">
        <v>3319</v>
      </c>
      <c r="WQX45" s="319" t="s">
        <v>3320</v>
      </c>
      <c r="WQY45" s="318" t="s">
        <v>3319</v>
      </c>
      <c r="WQZ45" s="319" t="s">
        <v>3320</v>
      </c>
      <c r="WRA45" s="318" t="s">
        <v>3319</v>
      </c>
      <c r="WRB45" s="319" t="s">
        <v>3320</v>
      </c>
      <c r="WRC45" s="318" t="s">
        <v>3319</v>
      </c>
      <c r="WRD45" s="319" t="s">
        <v>3320</v>
      </c>
      <c r="WRE45" s="318" t="s">
        <v>3319</v>
      </c>
      <c r="WRF45" s="319" t="s">
        <v>3320</v>
      </c>
      <c r="WRG45" s="318" t="s">
        <v>3319</v>
      </c>
      <c r="WRH45" s="319" t="s">
        <v>3320</v>
      </c>
      <c r="WRI45" s="318" t="s">
        <v>3319</v>
      </c>
      <c r="WRJ45" s="319" t="s">
        <v>3320</v>
      </c>
      <c r="WRK45" s="318" t="s">
        <v>3319</v>
      </c>
      <c r="WRL45" s="319" t="s">
        <v>3320</v>
      </c>
      <c r="WRM45" s="318" t="s">
        <v>3319</v>
      </c>
      <c r="WRN45" s="319" t="s">
        <v>3320</v>
      </c>
      <c r="WRO45" s="318" t="s">
        <v>3319</v>
      </c>
      <c r="WRP45" s="319" t="s">
        <v>3320</v>
      </c>
      <c r="WRQ45" s="318" t="s">
        <v>3319</v>
      </c>
      <c r="WRR45" s="319" t="s">
        <v>3320</v>
      </c>
      <c r="WRS45" s="318" t="s">
        <v>3319</v>
      </c>
      <c r="WRT45" s="319" t="s">
        <v>3320</v>
      </c>
      <c r="WRU45" s="318" t="s">
        <v>3319</v>
      </c>
      <c r="WRV45" s="319" t="s">
        <v>3320</v>
      </c>
      <c r="WRW45" s="318" t="s">
        <v>3319</v>
      </c>
      <c r="WRX45" s="319" t="s">
        <v>3320</v>
      </c>
      <c r="WRY45" s="318" t="s">
        <v>3319</v>
      </c>
      <c r="WRZ45" s="319" t="s">
        <v>3320</v>
      </c>
      <c r="WSA45" s="318" t="s">
        <v>3319</v>
      </c>
      <c r="WSB45" s="319" t="s">
        <v>3320</v>
      </c>
      <c r="WSC45" s="318" t="s">
        <v>3319</v>
      </c>
      <c r="WSD45" s="319" t="s">
        <v>3320</v>
      </c>
      <c r="WSE45" s="318" t="s">
        <v>3319</v>
      </c>
      <c r="WSF45" s="319" t="s">
        <v>3320</v>
      </c>
      <c r="WSG45" s="318" t="s">
        <v>3319</v>
      </c>
      <c r="WSH45" s="319" t="s">
        <v>3320</v>
      </c>
      <c r="WSI45" s="318" t="s">
        <v>3319</v>
      </c>
      <c r="WSJ45" s="319" t="s">
        <v>3320</v>
      </c>
      <c r="WSK45" s="318" t="s">
        <v>3319</v>
      </c>
      <c r="WSL45" s="319" t="s">
        <v>3320</v>
      </c>
      <c r="WSM45" s="318" t="s">
        <v>3319</v>
      </c>
      <c r="WSN45" s="319" t="s">
        <v>3320</v>
      </c>
      <c r="WSO45" s="318" t="s">
        <v>3319</v>
      </c>
      <c r="WSP45" s="319" t="s">
        <v>3320</v>
      </c>
      <c r="WSQ45" s="318" t="s">
        <v>3319</v>
      </c>
      <c r="WSR45" s="319" t="s">
        <v>3320</v>
      </c>
      <c r="WSS45" s="318" t="s">
        <v>3319</v>
      </c>
      <c r="WST45" s="319" t="s">
        <v>3320</v>
      </c>
      <c r="WSU45" s="318" t="s">
        <v>3319</v>
      </c>
      <c r="WSV45" s="319" t="s">
        <v>3320</v>
      </c>
      <c r="WSW45" s="318" t="s">
        <v>3319</v>
      </c>
      <c r="WSX45" s="319" t="s">
        <v>3320</v>
      </c>
      <c r="WSY45" s="318" t="s">
        <v>3319</v>
      </c>
      <c r="WSZ45" s="319" t="s">
        <v>3320</v>
      </c>
      <c r="WTA45" s="318" t="s">
        <v>3319</v>
      </c>
      <c r="WTB45" s="319" t="s">
        <v>3320</v>
      </c>
      <c r="WTC45" s="318" t="s">
        <v>3319</v>
      </c>
      <c r="WTD45" s="319" t="s">
        <v>3320</v>
      </c>
      <c r="WTE45" s="318" t="s">
        <v>3319</v>
      </c>
      <c r="WTF45" s="319" t="s">
        <v>3320</v>
      </c>
      <c r="WTG45" s="318" t="s">
        <v>3319</v>
      </c>
      <c r="WTH45" s="319" t="s">
        <v>3320</v>
      </c>
      <c r="WTI45" s="318" t="s">
        <v>3319</v>
      </c>
      <c r="WTJ45" s="319" t="s">
        <v>3320</v>
      </c>
      <c r="WTK45" s="318" t="s">
        <v>3319</v>
      </c>
      <c r="WTL45" s="319" t="s">
        <v>3320</v>
      </c>
      <c r="WTM45" s="318" t="s">
        <v>3319</v>
      </c>
      <c r="WTN45" s="319" t="s">
        <v>3320</v>
      </c>
      <c r="WTO45" s="318" t="s">
        <v>3319</v>
      </c>
      <c r="WTP45" s="319" t="s">
        <v>3320</v>
      </c>
      <c r="WTQ45" s="318" t="s">
        <v>3319</v>
      </c>
      <c r="WTR45" s="319" t="s">
        <v>3320</v>
      </c>
      <c r="WTS45" s="318" t="s">
        <v>3319</v>
      </c>
      <c r="WTT45" s="319" t="s">
        <v>3320</v>
      </c>
      <c r="WTU45" s="318" t="s">
        <v>3319</v>
      </c>
      <c r="WTV45" s="319" t="s">
        <v>3320</v>
      </c>
      <c r="WTW45" s="318" t="s">
        <v>3319</v>
      </c>
      <c r="WTX45" s="319" t="s">
        <v>3320</v>
      </c>
      <c r="WTY45" s="318" t="s">
        <v>3319</v>
      </c>
      <c r="WTZ45" s="319" t="s">
        <v>3320</v>
      </c>
      <c r="WUA45" s="318" t="s">
        <v>3319</v>
      </c>
      <c r="WUB45" s="319" t="s">
        <v>3320</v>
      </c>
      <c r="WUC45" s="318" t="s">
        <v>3319</v>
      </c>
      <c r="WUD45" s="319" t="s">
        <v>3320</v>
      </c>
      <c r="WUE45" s="318" t="s">
        <v>3319</v>
      </c>
      <c r="WUF45" s="319" t="s">
        <v>3320</v>
      </c>
      <c r="WUG45" s="318" t="s">
        <v>3319</v>
      </c>
      <c r="WUH45" s="319" t="s">
        <v>3320</v>
      </c>
      <c r="WUI45" s="318" t="s">
        <v>3319</v>
      </c>
      <c r="WUJ45" s="319" t="s">
        <v>3320</v>
      </c>
      <c r="WUK45" s="318" t="s">
        <v>3319</v>
      </c>
      <c r="WUL45" s="319" t="s">
        <v>3320</v>
      </c>
      <c r="WUM45" s="318" t="s">
        <v>3319</v>
      </c>
      <c r="WUN45" s="319" t="s">
        <v>3320</v>
      </c>
      <c r="WUO45" s="318" t="s">
        <v>3319</v>
      </c>
      <c r="WUP45" s="319" t="s">
        <v>3320</v>
      </c>
      <c r="WUQ45" s="318" t="s">
        <v>3319</v>
      </c>
      <c r="WUR45" s="319" t="s">
        <v>3320</v>
      </c>
      <c r="WUS45" s="318" t="s">
        <v>3319</v>
      </c>
      <c r="WUT45" s="319" t="s">
        <v>3320</v>
      </c>
      <c r="WUU45" s="318" t="s">
        <v>3319</v>
      </c>
      <c r="WUV45" s="319" t="s">
        <v>3320</v>
      </c>
      <c r="WUW45" s="318" t="s">
        <v>3319</v>
      </c>
      <c r="WUX45" s="319" t="s">
        <v>3320</v>
      </c>
      <c r="WUY45" s="318" t="s">
        <v>3319</v>
      </c>
      <c r="WUZ45" s="319" t="s">
        <v>3320</v>
      </c>
      <c r="WVA45" s="318" t="s">
        <v>3319</v>
      </c>
      <c r="WVB45" s="319" t="s">
        <v>3320</v>
      </c>
      <c r="WVC45" s="318" t="s">
        <v>3319</v>
      </c>
      <c r="WVD45" s="319" t="s">
        <v>3320</v>
      </c>
      <c r="WVE45" s="318" t="s">
        <v>3319</v>
      </c>
      <c r="WVF45" s="319" t="s">
        <v>3320</v>
      </c>
      <c r="WVG45" s="318" t="s">
        <v>3319</v>
      </c>
      <c r="WVH45" s="319" t="s">
        <v>3320</v>
      </c>
      <c r="WVI45" s="318" t="s">
        <v>3319</v>
      </c>
      <c r="WVJ45" s="319" t="s">
        <v>3320</v>
      </c>
      <c r="WVK45" s="318" t="s">
        <v>3319</v>
      </c>
      <c r="WVL45" s="319" t="s">
        <v>3320</v>
      </c>
      <c r="WVM45" s="318" t="s">
        <v>3319</v>
      </c>
      <c r="WVN45" s="319" t="s">
        <v>3320</v>
      </c>
      <c r="WVO45" s="318" t="s">
        <v>3319</v>
      </c>
      <c r="WVP45" s="319" t="s">
        <v>3320</v>
      </c>
      <c r="WVQ45" s="318" t="s">
        <v>3319</v>
      </c>
      <c r="WVR45" s="319" t="s">
        <v>3320</v>
      </c>
      <c r="WVS45" s="318" t="s">
        <v>3319</v>
      </c>
      <c r="WVT45" s="319" t="s">
        <v>3320</v>
      </c>
      <c r="WVU45" s="318" t="s">
        <v>3319</v>
      </c>
      <c r="WVV45" s="319" t="s">
        <v>3320</v>
      </c>
      <c r="WVW45" s="318" t="s">
        <v>3319</v>
      </c>
      <c r="WVX45" s="319" t="s">
        <v>3320</v>
      </c>
      <c r="WVY45" s="318" t="s">
        <v>3319</v>
      </c>
      <c r="WVZ45" s="319" t="s">
        <v>3320</v>
      </c>
      <c r="WWA45" s="318" t="s">
        <v>3319</v>
      </c>
      <c r="WWB45" s="319" t="s">
        <v>3320</v>
      </c>
      <c r="WWC45" s="318" t="s">
        <v>3319</v>
      </c>
      <c r="WWD45" s="319" t="s">
        <v>3320</v>
      </c>
      <c r="WWE45" s="318" t="s">
        <v>3319</v>
      </c>
      <c r="WWF45" s="319" t="s">
        <v>3320</v>
      </c>
      <c r="WWG45" s="318" t="s">
        <v>3319</v>
      </c>
      <c r="WWH45" s="319" t="s">
        <v>3320</v>
      </c>
      <c r="WWI45" s="318" t="s">
        <v>3319</v>
      </c>
      <c r="WWJ45" s="319" t="s">
        <v>3320</v>
      </c>
      <c r="WWK45" s="318" t="s">
        <v>3319</v>
      </c>
      <c r="WWL45" s="319" t="s">
        <v>3320</v>
      </c>
      <c r="WWM45" s="318" t="s">
        <v>3319</v>
      </c>
      <c r="WWN45" s="319" t="s">
        <v>3320</v>
      </c>
      <c r="WWO45" s="318" t="s">
        <v>3319</v>
      </c>
      <c r="WWP45" s="319" t="s">
        <v>3320</v>
      </c>
      <c r="WWQ45" s="318" t="s">
        <v>3319</v>
      </c>
      <c r="WWR45" s="319" t="s">
        <v>3320</v>
      </c>
      <c r="WWS45" s="318" t="s">
        <v>3319</v>
      </c>
      <c r="WWT45" s="319" t="s">
        <v>3320</v>
      </c>
      <c r="WWU45" s="318" t="s">
        <v>3319</v>
      </c>
      <c r="WWV45" s="319" t="s">
        <v>3320</v>
      </c>
      <c r="WWW45" s="318" t="s">
        <v>3319</v>
      </c>
      <c r="WWX45" s="319" t="s">
        <v>3320</v>
      </c>
      <c r="WWY45" s="318" t="s">
        <v>3319</v>
      </c>
      <c r="WWZ45" s="319" t="s">
        <v>3320</v>
      </c>
      <c r="WXA45" s="318" t="s">
        <v>3319</v>
      </c>
      <c r="WXB45" s="319" t="s">
        <v>3320</v>
      </c>
      <c r="WXC45" s="318" t="s">
        <v>3319</v>
      </c>
      <c r="WXD45" s="319" t="s">
        <v>3320</v>
      </c>
      <c r="WXE45" s="318" t="s">
        <v>3319</v>
      </c>
      <c r="WXF45" s="319" t="s">
        <v>3320</v>
      </c>
      <c r="WXG45" s="318" t="s">
        <v>3319</v>
      </c>
      <c r="WXH45" s="319" t="s">
        <v>3320</v>
      </c>
      <c r="WXI45" s="318" t="s">
        <v>3319</v>
      </c>
      <c r="WXJ45" s="319" t="s">
        <v>3320</v>
      </c>
      <c r="WXK45" s="318" t="s">
        <v>3319</v>
      </c>
      <c r="WXL45" s="319" t="s">
        <v>3320</v>
      </c>
      <c r="WXM45" s="318" t="s">
        <v>3319</v>
      </c>
      <c r="WXN45" s="319" t="s">
        <v>3320</v>
      </c>
      <c r="WXO45" s="318" t="s">
        <v>3319</v>
      </c>
      <c r="WXP45" s="319" t="s">
        <v>3320</v>
      </c>
      <c r="WXQ45" s="318" t="s">
        <v>3319</v>
      </c>
      <c r="WXR45" s="319" t="s">
        <v>3320</v>
      </c>
      <c r="WXS45" s="318" t="s">
        <v>3319</v>
      </c>
      <c r="WXT45" s="319" t="s">
        <v>3320</v>
      </c>
      <c r="WXU45" s="318" t="s">
        <v>3319</v>
      </c>
      <c r="WXV45" s="319" t="s">
        <v>3320</v>
      </c>
      <c r="WXW45" s="318" t="s">
        <v>3319</v>
      </c>
      <c r="WXX45" s="319" t="s">
        <v>3320</v>
      </c>
      <c r="WXY45" s="318" t="s">
        <v>3319</v>
      </c>
      <c r="WXZ45" s="319" t="s">
        <v>3320</v>
      </c>
      <c r="WYA45" s="318" t="s">
        <v>3319</v>
      </c>
      <c r="WYB45" s="319" t="s">
        <v>3320</v>
      </c>
      <c r="WYC45" s="318" t="s">
        <v>3319</v>
      </c>
      <c r="WYD45" s="319" t="s">
        <v>3320</v>
      </c>
      <c r="WYE45" s="318" t="s">
        <v>3319</v>
      </c>
      <c r="WYF45" s="319" t="s">
        <v>3320</v>
      </c>
      <c r="WYG45" s="318" t="s">
        <v>3319</v>
      </c>
      <c r="WYH45" s="319" t="s">
        <v>3320</v>
      </c>
      <c r="WYI45" s="318" t="s">
        <v>3319</v>
      </c>
      <c r="WYJ45" s="319" t="s">
        <v>3320</v>
      </c>
      <c r="WYK45" s="318" t="s">
        <v>3319</v>
      </c>
      <c r="WYL45" s="319" t="s">
        <v>3320</v>
      </c>
      <c r="WYM45" s="318" t="s">
        <v>3319</v>
      </c>
      <c r="WYN45" s="319" t="s">
        <v>3320</v>
      </c>
      <c r="WYO45" s="318" t="s">
        <v>3319</v>
      </c>
      <c r="WYP45" s="319" t="s">
        <v>3320</v>
      </c>
      <c r="WYQ45" s="318" t="s">
        <v>3319</v>
      </c>
      <c r="WYR45" s="319" t="s">
        <v>3320</v>
      </c>
      <c r="WYS45" s="318" t="s">
        <v>3319</v>
      </c>
      <c r="WYT45" s="319" t="s">
        <v>3320</v>
      </c>
      <c r="WYU45" s="318" t="s">
        <v>3319</v>
      </c>
      <c r="WYV45" s="319" t="s">
        <v>3320</v>
      </c>
      <c r="WYW45" s="318" t="s">
        <v>3319</v>
      </c>
      <c r="WYX45" s="319" t="s">
        <v>3320</v>
      </c>
      <c r="WYY45" s="318" t="s">
        <v>3319</v>
      </c>
      <c r="WYZ45" s="319" t="s">
        <v>3320</v>
      </c>
      <c r="WZA45" s="318" t="s">
        <v>3319</v>
      </c>
      <c r="WZB45" s="319" t="s">
        <v>3320</v>
      </c>
      <c r="WZC45" s="318" t="s">
        <v>3319</v>
      </c>
      <c r="WZD45" s="319" t="s">
        <v>3320</v>
      </c>
      <c r="WZE45" s="318" t="s">
        <v>3319</v>
      </c>
      <c r="WZF45" s="319" t="s">
        <v>3320</v>
      </c>
      <c r="WZG45" s="318" t="s">
        <v>3319</v>
      </c>
      <c r="WZH45" s="319" t="s">
        <v>3320</v>
      </c>
      <c r="WZI45" s="318" t="s">
        <v>3319</v>
      </c>
      <c r="WZJ45" s="319" t="s">
        <v>3320</v>
      </c>
      <c r="WZK45" s="318" t="s">
        <v>3319</v>
      </c>
      <c r="WZL45" s="319" t="s">
        <v>3320</v>
      </c>
      <c r="WZM45" s="318" t="s">
        <v>3319</v>
      </c>
      <c r="WZN45" s="319" t="s">
        <v>3320</v>
      </c>
      <c r="WZO45" s="318" t="s">
        <v>3319</v>
      </c>
      <c r="WZP45" s="319" t="s">
        <v>3320</v>
      </c>
      <c r="WZQ45" s="318" t="s">
        <v>3319</v>
      </c>
      <c r="WZR45" s="319" t="s">
        <v>3320</v>
      </c>
      <c r="WZS45" s="318" t="s">
        <v>3319</v>
      </c>
      <c r="WZT45" s="319" t="s">
        <v>3320</v>
      </c>
      <c r="WZU45" s="318" t="s">
        <v>3319</v>
      </c>
      <c r="WZV45" s="319" t="s">
        <v>3320</v>
      </c>
      <c r="WZW45" s="318" t="s">
        <v>3319</v>
      </c>
      <c r="WZX45" s="319" t="s">
        <v>3320</v>
      </c>
      <c r="WZY45" s="318" t="s">
        <v>3319</v>
      </c>
      <c r="WZZ45" s="319" t="s">
        <v>3320</v>
      </c>
      <c r="XAA45" s="318" t="s">
        <v>3319</v>
      </c>
      <c r="XAB45" s="319" t="s">
        <v>3320</v>
      </c>
      <c r="XAC45" s="318" t="s">
        <v>3319</v>
      </c>
      <c r="XAD45" s="319" t="s">
        <v>3320</v>
      </c>
      <c r="XAE45" s="318" t="s">
        <v>3319</v>
      </c>
      <c r="XAF45" s="319" t="s">
        <v>3320</v>
      </c>
      <c r="XAG45" s="318" t="s">
        <v>3319</v>
      </c>
      <c r="XAH45" s="319" t="s">
        <v>3320</v>
      </c>
      <c r="XAI45" s="318" t="s">
        <v>3319</v>
      </c>
      <c r="XAJ45" s="319" t="s">
        <v>3320</v>
      </c>
      <c r="XAK45" s="318" t="s">
        <v>3319</v>
      </c>
      <c r="XAL45" s="319" t="s">
        <v>3320</v>
      </c>
      <c r="XAM45" s="318" t="s">
        <v>3319</v>
      </c>
      <c r="XAN45" s="319" t="s">
        <v>3320</v>
      </c>
      <c r="XAO45" s="318" t="s">
        <v>3319</v>
      </c>
      <c r="XAP45" s="319" t="s">
        <v>3320</v>
      </c>
      <c r="XAQ45" s="318" t="s">
        <v>3319</v>
      </c>
      <c r="XAR45" s="319" t="s">
        <v>3320</v>
      </c>
      <c r="XAS45" s="318" t="s">
        <v>3319</v>
      </c>
      <c r="XAT45" s="319" t="s">
        <v>3320</v>
      </c>
      <c r="XAU45" s="318" t="s">
        <v>3319</v>
      </c>
      <c r="XAV45" s="319" t="s">
        <v>3320</v>
      </c>
      <c r="XAW45" s="318" t="s">
        <v>3319</v>
      </c>
      <c r="XAX45" s="319" t="s">
        <v>3320</v>
      </c>
      <c r="XAY45" s="318" t="s">
        <v>3319</v>
      </c>
      <c r="XAZ45" s="319" t="s">
        <v>3320</v>
      </c>
      <c r="XBA45" s="318" t="s">
        <v>3319</v>
      </c>
      <c r="XBB45" s="319" t="s">
        <v>3320</v>
      </c>
      <c r="XBC45" s="318" t="s">
        <v>3319</v>
      </c>
      <c r="XBD45" s="319" t="s">
        <v>3320</v>
      </c>
      <c r="XBE45" s="318" t="s">
        <v>3319</v>
      </c>
      <c r="XBF45" s="319" t="s">
        <v>3320</v>
      </c>
      <c r="XBG45" s="318" t="s">
        <v>3319</v>
      </c>
      <c r="XBH45" s="319" t="s">
        <v>3320</v>
      </c>
      <c r="XBI45" s="318" t="s">
        <v>3319</v>
      </c>
      <c r="XBJ45" s="319" t="s">
        <v>3320</v>
      </c>
      <c r="XBK45" s="318" t="s">
        <v>3319</v>
      </c>
      <c r="XBL45" s="319" t="s">
        <v>3320</v>
      </c>
      <c r="XBM45" s="318" t="s">
        <v>3319</v>
      </c>
      <c r="XBN45" s="319" t="s">
        <v>3320</v>
      </c>
      <c r="XBO45" s="318" t="s">
        <v>3319</v>
      </c>
      <c r="XBP45" s="319" t="s">
        <v>3320</v>
      </c>
      <c r="XBQ45" s="318" t="s">
        <v>3319</v>
      </c>
      <c r="XBR45" s="319" t="s">
        <v>3320</v>
      </c>
      <c r="XBS45" s="318" t="s">
        <v>3319</v>
      </c>
      <c r="XBT45" s="319" t="s">
        <v>3320</v>
      </c>
      <c r="XBU45" s="318" t="s">
        <v>3319</v>
      </c>
      <c r="XBV45" s="319" t="s">
        <v>3320</v>
      </c>
      <c r="XBW45" s="318" t="s">
        <v>3319</v>
      </c>
      <c r="XBX45" s="319" t="s">
        <v>3320</v>
      </c>
      <c r="XBY45" s="318" t="s">
        <v>3319</v>
      </c>
      <c r="XBZ45" s="319" t="s">
        <v>3320</v>
      </c>
      <c r="XCA45" s="318" t="s">
        <v>3319</v>
      </c>
      <c r="XCB45" s="319" t="s">
        <v>3320</v>
      </c>
      <c r="XCC45" s="318" t="s">
        <v>3319</v>
      </c>
      <c r="XCD45" s="319" t="s">
        <v>3320</v>
      </c>
      <c r="XCE45" s="318" t="s">
        <v>3319</v>
      </c>
      <c r="XCF45" s="319" t="s">
        <v>3320</v>
      </c>
      <c r="XCG45" s="318" t="s">
        <v>3319</v>
      </c>
      <c r="XCH45" s="319" t="s">
        <v>3320</v>
      </c>
      <c r="XCI45" s="318" t="s">
        <v>3319</v>
      </c>
      <c r="XCJ45" s="319" t="s">
        <v>3320</v>
      </c>
      <c r="XCK45" s="318" t="s">
        <v>3319</v>
      </c>
      <c r="XCL45" s="319" t="s">
        <v>3320</v>
      </c>
      <c r="XCM45" s="318" t="s">
        <v>3319</v>
      </c>
      <c r="XCN45" s="319" t="s">
        <v>3320</v>
      </c>
      <c r="XCO45" s="318" t="s">
        <v>3319</v>
      </c>
      <c r="XCP45" s="319" t="s">
        <v>3320</v>
      </c>
      <c r="XCQ45" s="318" t="s">
        <v>3319</v>
      </c>
      <c r="XCR45" s="319" t="s">
        <v>3320</v>
      </c>
      <c r="XCS45" s="318" t="s">
        <v>3319</v>
      </c>
      <c r="XCT45" s="319" t="s">
        <v>3320</v>
      </c>
      <c r="XCU45" s="318" t="s">
        <v>3319</v>
      </c>
      <c r="XCV45" s="319" t="s">
        <v>3320</v>
      </c>
      <c r="XCW45" s="318" t="s">
        <v>3319</v>
      </c>
      <c r="XCX45" s="319" t="s">
        <v>3320</v>
      </c>
      <c r="XCY45" s="318" t="s">
        <v>3319</v>
      </c>
      <c r="XCZ45" s="319" t="s">
        <v>3320</v>
      </c>
      <c r="XDA45" s="318" t="s">
        <v>3319</v>
      </c>
      <c r="XDB45" s="319" t="s">
        <v>3320</v>
      </c>
      <c r="XDC45" s="318" t="s">
        <v>3319</v>
      </c>
      <c r="XDD45" s="319" t="s">
        <v>3320</v>
      </c>
      <c r="XDE45" s="318" t="s">
        <v>3319</v>
      </c>
      <c r="XDF45" s="319" t="s">
        <v>3320</v>
      </c>
      <c r="XDG45" s="318" t="s">
        <v>3319</v>
      </c>
      <c r="XDH45" s="319" t="s">
        <v>3320</v>
      </c>
      <c r="XDI45" s="318" t="s">
        <v>3319</v>
      </c>
      <c r="XDJ45" s="319" t="s">
        <v>3320</v>
      </c>
      <c r="XDK45" s="318" t="s">
        <v>3319</v>
      </c>
      <c r="XDL45" s="319" t="s">
        <v>3320</v>
      </c>
      <c r="XDM45" s="318" t="s">
        <v>3319</v>
      </c>
      <c r="XDN45" s="319" t="s">
        <v>3320</v>
      </c>
      <c r="XDO45" s="318" t="s">
        <v>3319</v>
      </c>
      <c r="XDP45" s="319" t="s">
        <v>3320</v>
      </c>
      <c r="XDQ45" s="318" t="s">
        <v>3319</v>
      </c>
      <c r="XDR45" s="319" t="s">
        <v>3320</v>
      </c>
      <c r="XDS45" s="318" t="s">
        <v>3319</v>
      </c>
      <c r="XDT45" s="319" t="s">
        <v>3320</v>
      </c>
      <c r="XDU45" s="318" t="s">
        <v>3319</v>
      </c>
      <c r="XDV45" s="319" t="s">
        <v>3320</v>
      </c>
      <c r="XDW45" s="318" t="s">
        <v>3319</v>
      </c>
      <c r="XDX45" s="319" t="s">
        <v>3320</v>
      </c>
      <c r="XDY45" s="318" t="s">
        <v>3319</v>
      </c>
      <c r="XDZ45" s="319" t="s">
        <v>3320</v>
      </c>
      <c r="XEA45" s="318" t="s">
        <v>3319</v>
      </c>
      <c r="XEB45" s="319" t="s">
        <v>3320</v>
      </c>
      <c r="XEC45" s="318" t="s">
        <v>3319</v>
      </c>
      <c r="XED45" s="319" t="s">
        <v>3320</v>
      </c>
      <c r="XEE45" s="318" t="s">
        <v>3319</v>
      </c>
      <c r="XEF45" s="319" t="s">
        <v>3320</v>
      </c>
      <c r="XEG45" s="318" t="s">
        <v>3319</v>
      </c>
      <c r="XEH45" s="319" t="s">
        <v>3320</v>
      </c>
      <c r="XEI45" s="318" t="s">
        <v>3319</v>
      </c>
      <c r="XEJ45" s="319" t="s">
        <v>3320</v>
      </c>
      <c r="XEK45" s="318" t="s">
        <v>3319</v>
      </c>
      <c r="XEL45" s="319" t="s">
        <v>3320</v>
      </c>
      <c r="XEM45" s="318" t="s">
        <v>3319</v>
      </c>
      <c r="XEN45" s="319" t="s">
        <v>3320</v>
      </c>
      <c r="XEO45" s="318" t="s">
        <v>3319</v>
      </c>
      <c r="XEP45" s="319" t="s">
        <v>3320</v>
      </c>
      <c r="XEQ45" s="318" t="s">
        <v>3319</v>
      </c>
      <c r="XER45" s="319" t="s">
        <v>3320</v>
      </c>
      <c r="XES45" s="318" t="s">
        <v>3319</v>
      </c>
      <c r="XET45" s="319" t="s">
        <v>3320</v>
      </c>
      <c r="XEU45" s="318" t="s">
        <v>3319</v>
      </c>
      <c r="XEV45" s="319" t="s">
        <v>3320</v>
      </c>
      <c r="XEW45" s="318" t="s">
        <v>3319</v>
      </c>
      <c r="XEX45" s="319" t="s">
        <v>3320</v>
      </c>
      <c r="XEY45" s="318" t="s">
        <v>3319</v>
      </c>
      <c r="XEZ45" s="319" t="s">
        <v>3320</v>
      </c>
      <c r="XFA45" s="318" t="s">
        <v>3319</v>
      </c>
      <c r="XFB45" s="319" t="s">
        <v>3320</v>
      </c>
      <c r="XFC45" s="318" t="s">
        <v>3319</v>
      </c>
      <c r="XFD45" s="319" t="s">
        <v>3320</v>
      </c>
    </row>
    <row r="46" spans="1:16384" ht="16.5">
      <c r="B46" s="229"/>
      <c r="C46" s="349" t="s">
        <v>3245</v>
      </c>
      <c r="D46" s="350"/>
      <c r="E46" s="350"/>
      <c r="F46" s="351"/>
      <c r="G46" s="243">
        <f>SUM(G3:G44)</f>
        <v>230000</v>
      </c>
    </row>
  </sheetData>
  <autoFilter ref="B2:G46" xr:uid="{64F7A191-05EF-40DF-905F-7ACBEA30133A}"/>
  <mergeCells count="1">
    <mergeCell ref="C46:F46"/>
  </mergeCells>
  <conditionalFormatting sqref="C2:E4 C7:E28">
    <cfRule type="duplicateValues" dxfId="2" priority="4"/>
  </conditionalFormatting>
  <conditionalFormatting sqref="C5:E6">
    <cfRule type="duplicateValues" dxfId="1" priority="2"/>
  </conditionalFormatting>
  <conditionalFormatting sqref="F29 F31:F36 F38:F44">
    <cfRule type="duplicateValues" dxfId="0" priority="3"/>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uplicateValues" priority="1" id="{6B7F841A-6BD4-4357-B15B-491129D4800C}">
            <x14:dxf>
              <font>
                <color rgb="FF9C0006"/>
              </font>
              <fill>
                <patternFill>
                  <bgColor rgb="FFFFC7CE"/>
                </patternFill>
              </fill>
            </x14:dxf>
          </x14:cfRule>
          <xm:sqref>B45 D45 F45 H45 J45 L45 N45 P45 R45 T45 V45 X45 Z45 AB45 AD45 AF45 AH45 AJ45 AL45 AN45 AP45 AR45 AT45 AV45 AX45 AZ45 BB45 BD45 BF45 BH45 BJ45 BL45 BN45 BP45 BR45 BT45 BV45 BX45 BZ45 CB45 CD45 CF45 CH45 CJ45 CL45 CN45 CP45 CR45 CT45 CV45 CX45 CZ45 DB45 DD45 DF45 DH45 DJ45 DL45 DN45 DP45 DR45 DT45 DV45 DX45 DZ45 EB45 ED45 EF45 EH45 EJ45 EL45 EN45 EP45 ER45 ET45 EV45 EX45 EZ45 FB45 FD45 FF45 FH45 FJ45 FL45 FN45 FP45 FR45 FT45 FV45 FX45 FZ45 GB45 GD45 GF45 GH45 GJ45 GL45 GN45 GP45 GR45 GT45 GV45 GX45 GZ45 HB45 HD45 HF45 HH45 HJ45 HL45 HN45 HP45 HR45 HT45 HV45 HX45 HZ45 IB45 ID45 IF45 IH45 IJ45 IL45 IN45 IP45 IR45 IT45 IV45 IX45 IZ45 JB45 JD45 JF45 JH45 JJ45 JL45 JN45 JP45 JR45 JT45 JV45 JX45 JZ45 KB45 KD45 KF45 KH45 KJ45 KL45 KN45 KP45 KR45 KT45 KV45 KX45 KZ45 LB45 LD45 LF45 LH45 LJ45 LL45 LN45 LP45 LR45 LT45 LV45 LX45 LZ45 MB45 MD45 MF45 MH45 MJ45 ML45 MN45 MP45 MR45 MT45 MV45 MX45 MZ45 NB45 ND45 NF45 NH45 NJ45 NL45 NN45 NP45 NR45 NT45 NV45 NX45 NZ45 OB45 OD45 OF45 OH45 OJ45 OL45 ON45 OP45 OR45 OT45 OV45 OX45 OZ45 PB45 PD45 PF45 PH45 PJ45 PL45 PN45 PP45 PR45 PT45 PV45 PX45 PZ45 QB45 QD45 QF45 QH45 QJ45 QL45 QN45 QP45 QR45 QT45 QV45 QX45 QZ45 RB45 RD45 RF45 RH45 RJ45 RL45 RN45 RP45 RR45 RT45 RV45 RX45 RZ45 SB45 SD45 SF45 SH45 SJ45 SL45 SN45 SP45 SR45 ST45 SV45 SX45 SZ45 TB45 TD45 TF45 TH45 TJ45 TL45 TN45 TP45 TR45 TT45 TV45 TX45 TZ45 UB45 UD45 UF45 UH45 UJ45 UL45 UN45 UP45 UR45 UT45 UV45 UX45 UZ45 VB45 VD45 VF45 VH45 VJ45 VL45 VN45 VP45 VR45 VT45 VV45 VX45 VZ45 WB45 WD45 WF45 WH45 WJ45 WL45 WN45 WP45 WR45 WT45 WV45 WX45 WZ45 XB45 XD45 XF45 XH45 XJ45 XL45 XN45 XP45 XR45 XT45 XV45 XX45 XZ45 YB45 YD45 YF45 YH45 YJ45 YL45 YN45 YP45 YR45 YT45 YV45 YX45 YZ45 ZB45 ZD45 ZF45 ZH45 ZJ45 ZL45 ZN45 ZP45 ZR45 ZT45 ZV45 ZX45 ZZ45 AAB45 AAD45 AAF45 AAH45 AAJ45 AAL45 AAN45 AAP45 AAR45 AAT45 AAV45 AAX45 AAZ45 ABB45 ABD45 ABF45 ABH45 ABJ45 ABL45 ABN45 ABP45 ABR45 ABT45 ABV45 ABX45 ABZ45 ACB45 ACD45 ACF45 ACH45 ACJ45 ACL45 ACN45 ACP45 ACR45 ACT45 ACV45 ACX45 ACZ45 ADB45 ADD45 ADF45 ADH45 ADJ45 ADL45 ADN45 ADP45 ADR45 ADT45 ADV45 ADX45 ADZ45 AEB45 AED45 AEF45 AEH45 AEJ45 AEL45 AEN45 AEP45 AER45 AET45 AEV45 AEX45 AEZ45 AFB45 AFD45 AFF45 AFH45 AFJ45 AFL45 AFN45 AFP45 AFR45 AFT45 AFV45 AFX45 AFZ45 AGB45 AGD45 AGF45 AGH45 AGJ45 AGL45 AGN45 AGP45 AGR45 AGT45 AGV45 AGX45 AGZ45 AHB45 AHD45 AHF45 AHH45 AHJ45 AHL45 AHN45 AHP45 AHR45 AHT45 AHV45 AHX45 AHZ45 AIB45 AID45 AIF45 AIH45 AIJ45 AIL45 AIN45 AIP45 AIR45 AIT45 AIV45 AIX45 AIZ45 AJB45 AJD45 AJF45 AJH45 AJJ45 AJL45 AJN45 AJP45 AJR45 AJT45 AJV45 AJX45 AJZ45 AKB45 AKD45 AKF45 AKH45 AKJ45 AKL45 AKN45 AKP45 AKR45 AKT45 AKV45 AKX45 AKZ45 ALB45 ALD45 ALF45 ALH45 ALJ45 ALL45 ALN45 ALP45 ALR45 ALT45 ALV45 ALX45 ALZ45 AMB45 AMD45 AMF45 AMH45 AMJ45 AML45 AMN45 AMP45 AMR45 AMT45 AMV45 AMX45 AMZ45 ANB45 AND45 ANF45 ANH45 ANJ45 ANL45 ANN45 ANP45 ANR45 ANT45 ANV45 ANX45 ANZ45 AOB45 AOD45 AOF45 AOH45 AOJ45 AOL45 AON45 AOP45 AOR45 AOT45 AOV45 AOX45 AOZ45 APB45 APD45 APF45 APH45 APJ45 APL45 APN45 APP45 APR45 APT45 APV45 APX45 APZ45 AQB45 AQD45 AQF45 AQH45 AQJ45 AQL45 AQN45 AQP45 AQR45 AQT45 AQV45 AQX45 AQZ45 ARB45 ARD45 ARF45 ARH45 ARJ45 ARL45 ARN45 ARP45 ARR45 ART45 ARV45 ARX45 ARZ45 ASB45 ASD45 ASF45 ASH45 ASJ45 ASL45 ASN45 ASP45 ASR45 AST45 ASV45 ASX45 ASZ45 ATB45 ATD45 ATF45 ATH45 ATJ45 ATL45 ATN45 ATP45 ATR45 ATT45 ATV45 ATX45 ATZ45 AUB45 AUD45 AUF45 AUH45 AUJ45 AUL45 AUN45 AUP45 AUR45 AUT45 AUV45 AUX45 AUZ45 AVB45 AVD45 AVF45 AVH45 AVJ45 AVL45 AVN45 AVP45 AVR45 AVT45 AVV45 AVX45 AVZ45 AWB45 AWD45 AWF45 AWH45 AWJ45 AWL45 AWN45 AWP45 AWR45 AWT45 AWV45 AWX45 AWZ45 AXB45 AXD45 AXF45 AXH45 AXJ45 AXL45 AXN45 AXP45 AXR45 AXT45 AXV45 AXX45 AXZ45 AYB45 AYD45 AYF45 AYH45 AYJ45 AYL45 AYN45 AYP45 AYR45 AYT45 AYV45 AYX45 AYZ45 AZB45 AZD45 AZF45 AZH45 AZJ45 AZL45 AZN45 AZP45 AZR45 AZT45 AZV45 AZX45 AZZ45 BAB45 BAD45 BAF45 BAH45 BAJ45 BAL45 BAN45 BAP45 BAR45 BAT45 BAV45 BAX45 BAZ45 BBB45 BBD45 BBF45 BBH45 BBJ45 BBL45 BBN45 BBP45 BBR45 BBT45 BBV45 BBX45 BBZ45 BCB45 BCD45 BCF45 BCH45 BCJ45 BCL45 BCN45 BCP45 BCR45 BCT45 BCV45 BCX45 BCZ45 BDB45 BDD45 BDF45 BDH45 BDJ45 BDL45 BDN45 BDP45 BDR45 BDT45 BDV45 BDX45 BDZ45 BEB45 BED45 BEF45 BEH45 BEJ45 BEL45 BEN45 BEP45 BER45 BET45 BEV45 BEX45 BEZ45 BFB45 BFD45 BFF45 BFH45 BFJ45 BFL45 BFN45 BFP45 BFR45 BFT45 BFV45 BFX45 BFZ45 BGB45 BGD45 BGF45 BGH45 BGJ45 BGL45 BGN45 BGP45 BGR45 BGT45 BGV45 BGX45 BGZ45 BHB45 BHD45 BHF45 BHH45 BHJ45 BHL45 BHN45 BHP45 BHR45 BHT45 BHV45 BHX45 BHZ45 BIB45 BID45 BIF45 BIH45 BIJ45 BIL45 BIN45 BIP45 BIR45 BIT45 BIV45 BIX45 BIZ45 BJB45 BJD45 BJF45 BJH45 BJJ45 BJL45 BJN45 BJP45 BJR45 BJT45 BJV45 BJX45 BJZ45 BKB45 BKD45 BKF45 BKH45 BKJ45 BKL45 BKN45 BKP45 BKR45 BKT45 BKV45 BKX45 BKZ45 BLB45 BLD45 BLF45 BLH45 BLJ45 BLL45 BLN45 BLP45 BLR45 BLT45 BLV45 BLX45 BLZ45 BMB45 BMD45 BMF45 BMH45 BMJ45 BML45 BMN45 BMP45 BMR45 BMT45 BMV45 BMX45 BMZ45 BNB45 BND45 BNF45 BNH45 BNJ45 BNL45 BNN45 BNP45 BNR45 BNT45 BNV45 BNX45 BNZ45 BOB45 BOD45 BOF45 BOH45 BOJ45 BOL45 BON45 BOP45 BOR45 BOT45 BOV45 BOX45 BOZ45 BPB45 BPD45 BPF45 BPH45 BPJ45 BPL45 BPN45 BPP45 BPR45 BPT45 BPV45 BPX45 BPZ45 BQB45 BQD45 BQF45 BQH45 BQJ45 BQL45 BQN45 BQP45 BQR45 BQT45 BQV45 BQX45 BQZ45 BRB45 BRD45 BRF45 BRH45 BRJ45 BRL45 BRN45 BRP45 BRR45 BRT45 BRV45 BRX45 BRZ45 BSB45 BSD45 BSF45 BSH45 BSJ45 BSL45 BSN45 BSP45 BSR45 BST45 BSV45 BSX45 BSZ45 BTB45 BTD45 BTF45 BTH45 BTJ45 BTL45 BTN45 BTP45 BTR45 BTT45 BTV45 BTX45 BTZ45 BUB45 BUD45 BUF45 BUH45 BUJ45 BUL45 BUN45 BUP45 BUR45 BUT45 BUV45 BUX45 BUZ45 BVB45 BVD45 BVF45 BVH45 BVJ45 BVL45 BVN45 BVP45 BVR45 BVT45 BVV45 BVX45 BVZ45 BWB45 BWD45 BWF45 BWH45 BWJ45 BWL45 BWN45 BWP45 BWR45 BWT45 BWV45 BWX45 BWZ45 BXB45 BXD45 BXF45 BXH45 BXJ45 BXL45 BXN45 BXP45 BXR45 BXT45 BXV45 BXX45 BXZ45 BYB45 BYD45 BYF45 BYH45 BYJ45 BYL45 BYN45 BYP45 BYR45 BYT45 BYV45 BYX45 BYZ45 BZB45 BZD45 BZF45 BZH45 BZJ45 BZL45 BZN45 BZP45 BZR45 BZT45 BZV45 BZX45 BZZ45 CAB45 CAD45 CAF45 CAH45 CAJ45 CAL45 CAN45 CAP45 CAR45 CAT45 CAV45 CAX45 CAZ45 CBB45 CBD45 CBF45 CBH45 CBJ45 CBL45 CBN45 CBP45 CBR45 CBT45 CBV45 CBX45 CBZ45 CCB45 CCD45 CCF45 CCH45 CCJ45 CCL45 CCN45 CCP45 CCR45 CCT45 CCV45 CCX45 CCZ45 CDB45 CDD45 CDF45 CDH45 CDJ45 CDL45 CDN45 CDP45 CDR45 CDT45 CDV45 CDX45 CDZ45 CEB45 CED45 CEF45 CEH45 CEJ45 CEL45 CEN45 CEP45 CER45 CET45 CEV45 CEX45 CEZ45 CFB45 CFD45 CFF45 CFH45 CFJ45 CFL45 CFN45 CFP45 CFR45 CFT45 CFV45 CFX45 CFZ45 CGB45 CGD45 CGF45 CGH45 CGJ45 CGL45 CGN45 CGP45 CGR45 CGT45 CGV45 CGX45 CGZ45 CHB45 CHD45 CHF45 CHH45 CHJ45 CHL45 CHN45 CHP45 CHR45 CHT45 CHV45 CHX45 CHZ45 CIB45 CID45 CIF45 CIH45 CIJ45 CIL45 CIN45 CIP45 CIR45 CIT45 CIV45 CIX45 CIZ45 CJB45 CJD45 CJF45 CJH45 CJJ45 CJL45 CJN45 CJP45 CJR45 CJT45 CJV45 CJX45 CJZ45 CKB45 CKD45 CKF45 CKH45 CKJ45 CKL45 CKN45 CKP45 CKR45 CKT45 CKV45 CKX45 CKZ45 CLB45 CLD45 CLF45 CLH45 CLJ45 CLL45 CLN45 CLP45 CLR45 CLT45 CLV45 CLX45 CLZ45 CMB45 CMD45 CMF45 CMH45 CMJ45 CML45 CMN45 CMP45 CMR45 CMT45 CMV45 CMX45 CMZ45 CNB45 CND45 CNF45 CNH45 CNJ45 CNL45 CNN45 CNP45 CNR45 CNT45 CNV45 CNX45 CNZ45 COB45 COD45 COF45 COH45 COJ45 COL45 CON45 COP45 COR45 COT45 COV45 COX45 COZ45 CPB45 CPD45 CPF45 CPH45 CPJ45 CPL45 CPN45 CPP45 CPR45 CPT45 CPV45 CPX45 CPZ45 CQB45 CQD45 CQF45 CQH45 CQJ45 CQL45 CQN45 CQP45 CQR45 CQT45 CQV45 CQX45 CQZ45 CRB45 CRD45 CRF45 CRH45 CRJ45 CRL45 CRN45 CRP45 CRR45 CRT45 CRV45 CRX45 CRZ45 CSB45 CSD45 CSF45 CSH45 CSJ45 CSL45 CSN45 CSP45 CSR45 CST45 CSV45 CSX45 CSZ45 CTB45 CTD45 CTF45 CTH45 CTJ45 CTL45 CTN45 CTP45 CTR45 CTT45 CTV45 CTX45 CTZ45 CUB45 CUD45 CUF45 CUH45 CUJ45 CUL45 CUN45 CUP45 CUR45 CUT45 CUV45 CUX45 CUZ45 CVB45 CVD45 CVF45 CVH45 CVJ45 CVL45 CVN45 CVP45 CVR45 CVT45 CVV45 CVX45 CVZ45 CWB45 CWD45 CWF45 CWH45 CWJ45 CWL45 CWN45 CWP45 CWR45 CWT45 CWV45 CWX45 CWZ45 CXB45 CXD45 CXF45 CXH45 CXJ45 CXL45 CXN45 CXP45 CXR45 CXT45 CXV45 CXX45 CXZ45 CYB45 CYD45 CYF45 CYH45 CYJ45 CYL45 CYN45 CYP45 CYR45 CYT45 CYV45 CYX45 CYZ45 CZB45 CZD45 CZF45 CZH45 CZJ45 CZL45 CZN45 CZP45 CZR45 CZT45 CZV45 CZX45 CZZ45 DAB45 DAD45 DAF45 DAH45 DAJ45 DAL45 DAN45 DAP45 DAR45 DAT45 DAV45 DAX45 DAZ45 DBB45 DBD45 DBF45 DBH45 DBJ45 DBL45 DBN45 DBP45 DBR45 DBT45 DBV45 DBX45 DBZ45 DCB45 DCD45 DCF45 DCH45 DCJ45 DCL45 DCN45 DCP45 DCR45 DCT45 DCV45 DCX45 DCZ45 DDB45 DDD45 DDF45 DDH45 DDJ45 DDL45 DDN45 DDP45 DDR45 DDT45 DDV45 DDX45 DDZ45 DEB45 DED45 DEF45 DEH45 DEJ45 DEL45 DEN45 DEP45 DER45 DET45 DEV45 DEX45 DEZ45 DFB45 DFD45 DFF45 DFH45 DFJ45 DFL45 DFN45 DFP45 DFR45 DFT45 DFV45 DFX45 DFZ45 DGB45 DGD45 DGF45 DGH45 DGJ45 DGL45 DGN45 DGP45 DGR45 DGT45 DGV45 DGX45 DGZ45 DHB45 DHD45 DHF45 DHH45 DHJ45 DHL45 DHN45 DHP45 DHR45 DHT45 DHV45 DHX45 DHZ45 DIB45 DID45 DIF45 DIH45 DIJ45 DIL45 DIN45 DIP45 DIR45 DIT45 DIV45 DIX45 DIZ45 DJB45 DJD45 DJF45 DJH45 DJJ45 DJL45 DJN45 DJP45 DJR45 DJT45 DJV45 DJX45 DJZ45 DKB45 DKD45 DKF45 DKH45 DKJ45 DKL45 DKN45 DKP45 DKR45 DKT45 DKV45 DKX45 DKZ45 DLB45 DLD45 DLF45 DLH45 DLJ45 DLL45 DLN45 DLP45 DLR45 DLT45 DLV45 DLX45 DLZ45 DMB45 DMD45 DMF45 DMH45 DMJ45 DML45 DMN45 DMP45 DMR45 DMT45 DMV45 DMX45 DMZ45 DNB45 DND45 DNF45 DNH45 DNJ45 DNL45 DNN45 DNP45 DNR45 DNT45 DNV45 DNX45 DNZ45 DOB45 DOD45 DOF45 DOH45 DOJ45 DOL45 DON45 DOP45 DOR45 DOT45 DOV45 DOX45 DOZ45 DPB45 DPD45 DPF45 DPH45 DPJ45 DPL45 DPN45 DPP45 DPR45 DPT45 DPV45 DPX45 DPZ45 DQB45 DQD45 DQF45 DQH45 DQJ45 DQL45 DQN45 DQP45 DQR45 DQT45 DQV45 DQX45 DQZ45 DRB45 DRD45 DRF45 DRH45 DRJ45 DRL45 DRN45 DRP45 DRR45 DRT45 DRV45 DRX45 DRZ45 DSB45 DSD45 DSF45 DSH45 DSJ45 DSL45 DSN45 DSP45 DSR45 DST45 DSV45 DSX45 DSZ45 DTB45 DTD45 DTF45 DTH45 DTJ45 DTL45 DTN45 DTP45 DTR45 DTT45 DTV45 DTX45 DTZ45 DUB45 DUD45 DUF45 DUH45 DUJ45 DUL45 DUN45 DUP45 DUR45 DUT45 DUV45 DUX45 DUZ45 DVB45 DVD45 DVF45 DVH45 DVJ45 DVL45 DVN45 DVP45 DVR45 DVT45 DVV45 DVX45 DVZ45 DWB45 DWD45 DWF45 DWH45 DWJ45 DWL45 DWN45 DWP45 DWR45 DWT45 DWV45 DWX45 DWZ45 DXB45 DXD45 DXF45 DXH45 DXJ45 DXL45 DXN45 DXP45 DXR45 DXT45 DXV45 DXX45 DXZ45 DYB45 DYD45 DYF45 DYH45 DYJ45 DYL45 DYN45 DYP45 DYR45 DYT45 DYV45 DYX45 DYZ45 DZB45 DZD45 DZF45 DZH45 DZJ45 DZL45 DZN45 DZP45 DZR45 DZT45 DZV45 DZX45 DZZ45 EAB45 EAD45 EAF45 EAH45 EAJ45 EAL45 EAN45 EAP45 EAR45 EAT45 EAV45 EAX45 EAZ45 EBB45 EBD45 EBF45 EBH45 EBJ45 EBL45 EBN45 EBP45 EBR45 EBT45 EBV45 EBX45 EBZ45 ECB45 ECD45 ECF45 ECH45 ECJ45 ECL45 ECN45 ECP45 ECR45 ECT45 ECV45 ECX45 ECZ45 EDB45 EDD45 EDF45 EDH45 EDJ45 EDL45 EDN45 EDP45 EDR45 EDT45 EDV45 EDX45 EDZ45 EEB45 EED45 EEF45 EEH45 EEJ45 EEL45 EEN45 EEP45 EER45 EET45 EEV45 EEX45 EEZ45 EFB45 EFD45 EFF45 EFH45 EFJ45 EFL45 EFN45 EFP45 EFR45 EFT45 EFV45 EFX45 EFZ45 EGB45 EGD45 EGF45 EGH45 EGJ45 EGL45 EGN45 EGP45 EGR45 EGT45 EGV45 EGX45 EGZ45 EHB45 EHD45 EHF45 EHH45 EHJ45 EHL45 EHN45 EHP45 EHR45 EHT45 EHV45 EHX45 EHZ45 EIB45 EID45 EIF45 EIH45 EIJ45 EIL45 EIN45 EIP45 EIR45 EIT45 EIV45 EIX45 EIZ45 EJB45 EJD45 EJF45 EJH45 EJJ45 EJL45 EJN45 EJP45 EJR45 EJT45 EJV45 EJX45 EJZ45 EKB45 EKD45 EKF45 EKH45 EKJ45 EKL45 EKN45 EKP45 EKR45 EKT45 EKV45 EKX45 EKZ45 ELB45 ELD45 ELF45 ELH45 ELJ45 ELL45 ELN45 ELP45 ELR45 ELT45 ELV45 ELX45 ELZ45 EMB45 EMD45 EMF45 EMH45 EMJ45 EML45 EMN45 EMP45 EMR45 EMT45 EMV45 EMX45 EMZ45 ENB45 END45 ENF45 ENH45 ENJ45 ENL45 ENN45 ENP45 ENR45 ENT45 ENV45 ENX45 ENZ45 EOB45 EOD45 EOF45 EOH45 EOJ45 EOL45 EON45 EOP45 EOR45 EOT45 EOV45 EOX45 EOZ45 EPB45 EPD45 EPF45 EPH45 EPJ45 EPL45 EPN45 EPP45 EPR45 EPT45 EPV45 EPX45 EPZ45 EQB45 EQD45 EQF45 EQH45 EQJ45 EQL45 EQN45 EQP45 EQR45 EQT45 EQV45 EQX45 EQZ45 ERB45 ERD45 ERF45 ERH45 ERJ45 ERL45 ERN45 ERP45 ERR45 ERT45 ERV45 ERX45 ERZ45 ESB45 ESD45 ESF45 ESH45 ESJ45 ESL45 ESN45 ESP45 ESR45 EST45 ESV45 ESX45 ESZ45 ETB45 ETD45 ETF45 ETH45 ETJ45 ETL45 ETN45 ETP45 ETR45 ETT45 ETV45 ETX45 ETZ45 EUB45 EUD45 EUF45 EUH45 EUJ45 EUL45 EUN45 EUP45 EUR45 EUT45 EUV45 EUX45 EUZ45 EVB45 EVD45 EVF45 EVH45 EVJ45 EVL45 EVN45 EVP45 EVR45 EVT45 EVV45 EVX45 EVZ45 EWB45 EWD45 EWF45 EWH45 EWJ45 EWL45 EWN45 EWP45 EWR45 EWT45 EWV45 EWX45 EWZ45 EXB45 EXD45 EXF45 EXH45 EXJ45 EXL45 EXN45 EXP45 EXR45 EXT45 EXV45 EXX45 EXZ45 EYB45 EYD45 EYF45 EYH45 EYJ45 EYL45 EYN45 EYP45 EYR45 EYT45 EYV45 EYX45 EYZ45 EZB45 EZD45 EZF45 EZH45 EZJ45 EZL45 EZN45 EZP45 EZR45 EZT45 EZV45 EZX45 EZZ45 FAB45 FAD45 FAF45 FAH45 FAJ45 FAL45 FAN45 FAP45 FAR45 FAT45 FAV45 FAX45 FAZ45 FBB45 FBD45 FBF45 FBH45 FBJ45 FBL45 FBN45 FBP45 FBR45 FBT45 FBV45 FBX45 FBZ45 FCB45 FCD45 FCF45 FCH45 FCJ45 FCL45 FCN45 FCP45 FCR45 FCT45 FCV45 FCX45 FCZ45 FDB45 FDD45 FDF45 FDH45 FDJ45 FDL45 FDN45 FDP45 FDR45 FDT45 FDV45 FDX45 FDZ45 FEB45 FED45 FEF45 FEH45 FEJ45 FEL45 FEN45 FEP45 FER45 FET45 FEV45 FEX45 FEZ45 FFB45 FFD45 FFF45 FFH45 FFJ45 FFL45 FFN45 FFP45 FFR45 FFT45 FFV45 FFX45 FFZ45 FGB45 FGD45 FGF45 FGH45 FGJ45 FGL45 FGN45 FGP45 FGR45 FGT45 FGV45 FGX45 FGZ45 FHB45 FHD45 FHF45 FHH45 FHJ45 FHL45 FHN45 FHP45 FHR45 FHT45 FHV45 FHX45 FHZ45 FIB45 FID45 FIF45 FIH45 FIJ45 FIL45 FIN45 FIP45 FIR45 FIT45 FIV45 FIX45 FIZ45 FJB45 FJD45 FJF45 FJH45 FJJ45 FJL45 FJN45 FJP45 FJR45 FJT45 FJV45 FJX45 FJZ45 FKB45 FKD45 FKF45 FKH45 FKJ45 FKL45 FKN45 FKP45 FKR45 FKT45 FKV45 FKX45 FKZ45 FLB45 FLD45 FLF45 FLH45 FLJ45 FLL45 FLN45 FLP45 FLR45 FLT45 FLV45 FLX45 FLZ45 FMB45 FMD45 FMF45 FMH45 FMJ45 FML45 FMN45 FMP45 FMR45 FMT45 FMV45 FMX45 FMZ45 FNB45 FND45 FNF45 FNH45 FNJ45 FNL45 FNN45 FNP45 FNR45 FNT45 FNV45 FNX45 FNZ45 FOB45 FOD45 FOF45 FOH45 FOJ45 FOL45 FON45 FOP45 FOR45 FOT45 FOV45 FOX45 FOZ45 FPB45 FPD45 FPF45 FPH45 FPJ45 FPL45 FPN45 FPP45 FPR45 FPT45 FPV45 FPX45 FPZ45 FQB45 FQD45 FQF45 FQH45 FQJ45 FQL45 FQN45 FQP45 FQR45 FQT45 FQV45 FQX45 FQZ45 FRB45 FRD45 FRF45 FRH45 FRJ45 FRL45 FRN45 FRP45 FRR45 FRT45 FRV45 FRX45 FRZ45 FSB45 FSD45 FSF45 FSH45 FSJ45 FSL45 FSN45 FSP45 FSR45 FST45 FSV45 FSX45 FSZ45 FTB45 FTD45 FTF45 FTH45 FTJ45 FTL45 FTN45 FTP45 FTR45 FTT45 FTV45 FTX45 FTZ45 FUB45 FUD45 FUF45 FUH45 FUJ45 FUL45 FUN45 FUP45 FUR45 FUT45 FUV45 FUX45 FUZ45 FVB45 FVD45 FVF45 FVH45 FVJ45 FVL45 FVN45 FVP45 FVR45 FVT45 FVV45 FVX45 FVZ45 FWB45 FWD45 FWF45 FWH45 FWJ45 FWL45 FWN45 FWP45 FWR45 FWT45 FWV45 FWX45 FWZ45 FXB45 FXD45 FXF45 FXH45 FXJ45 FXL45 FXN45 FXP45 FXR45 FXT45 FXV45 FXX45 FXZ45 FYB45 FYD45 FYF45 FYH45 FYJ45 FYL45 FYN45 FYP45 FYR45 FYT45 FYV45 FYX45 FYZ45 FZB45 FZD45 FZF45 FZH45 FZJ45 FZL45 FZN45 FZP45 FZR45 FZT45 FZV45 FZX45 FZZ45 GAB45 GAD45 GAF45 GAH45 GAJ45 GAL45 GAN45 GAP45 GAR45 GAT45 GAV45 GAX45 GAZ45 GBB45 GBD45 GBF45 GBH45 GBJ45 GBL45 GBN45 GBP45 GBR45 GBT45 GBV45 GBX45 GBZ45 GCB45 GCD45 GCF45 GCH45 GCJ45 GCL45 GCN45 GCP45 GCR45 GCT45 GCV45 GCX45 GCZ45 GDB45 GDD45 GDF45 GDH45 GDJ45 GDL45 GDN45 GDP45 GDR45 GDT45 GDV45 GDX45 GDZ45 GEB45 GED45 GEF45 GEH45 GEJ45 GEL45 GEN45 GEP45 GER45 GET45 GEV45 GEX45 GEZ45 GFB45 GFD45 GFF45 GFH45 GFJ45 GFL45 GFN45 GFP45 GFR45 GFT45 GFV45 GFX45 GFZ45 GGB45 GGD45 GGF45 GGH45 GGJ45 GGL45 GGN45 GGP45 GGR45 GGT45 GGV45 GGX45 GGZ45 GHB45 GHD45 GHF45 GHH45 GHJ45 GHL45 GHN45 GHP45 GHR45 GHT45 GHV45 GHX45 GHZ45 GIB45 GID45 GIF45 GIH45 GIJ45 GIL45 GIN45 GIP45 GIR45 GIT45 GIV45 GIX45 GIZ45 GJB45 GJD45 GJF45 GJH45 GJJ45 GJL45 GJN45 GJP45 GJR45 GJT45 GJV45 GJX45 GJZ45 GKB45 GKD45 GKF45 GKH45 GKJ45 GKL45 GKN45 GKP45 GKR45 GKT45 GKV45 GKX45 GKZ45 GLB45 GLD45 GLF45 GLH45 GLJ45 GLL45 GLN45 GLP45 GLR45 GLT45 GLV45 GLX45 GLZ45 GMB45 GMD45 GMF45 GMH45 GMJ45 GML45 GMN45 GMP45 GMR45 GMT45 GMV45 GMX45 GMZ45 GNB45 GND45 GNF45 GNH45 GNJ45 GNL45 GNN45 GNP45 GNR45 GNT45 GNV45 GNX45 GNZ45 GOB45 GOD45 GOF45 GOH45 GOJ45 GOL45 GON45 GOP45 GOR45 GOT45 GOV45 GOX45 GOZ45 GPB45 GPD45 GPF45 GPH45 GPJ45 GPL45 GPN45 GPP45 GPR45 GPT45 GPV45 GPX45 GPZ45 GQB45 GQD45 GQF45 GQH45 GQJ45 GQL45 GQN45 GQP45 GQR45 GQT45 GQV45 GQX45 GQZ45 GRB45 GRD45 GRF45 GRH45 GRJ45 GRL45 GRN45 GRP45 GRR45 GRT45 GRV45 GRX45 GRZ45 GSB45 GSD45 GSF45 GSH45 GSJ45 GSL45 GSN45 GSP45 GSR45 GST45 GSV45 GSX45 GSZ45 GTB45 GTD45 GTF45 GTH45 GTJ45 GTL45 GTN45 GTP45 GTR45 GTT45 GTV45 GTX45 GTZ45 GUB45 GUD45 GUF45 GUH45 GUJ45 GUL45 GUN45 GUP45 GUR45 GUT45 GUV45 GUX45 GUZ45 GVB45 GVD45 GVF45 GVH45 GVJ45 GVL45 GVN45 GVP45 GVR45 GVT45 GVV45 GVX45 GVZ45 GWB45 GWD45 GWF45 GWH45 GWJ45 GWL45 GWN45 GWP45 GWR45 GWT45 GWV45 GWX45 GWZ45 GXB45 GXD45 GXF45 GXH45 GXJ45 GXL45 GXN45 GXP45 GXR45 GXT45 GXV45 GXX45 GXZ45 GYB45 GYD45 GYF45 GYH45 GYJ45 GYL45 GYN45 GYP45 GYR45 GYT45 GYV45 GYX45 GYZ45 GZB45 GZD45 GZF45 GZH45 GZJ45 GZL45 GZN45 GZP45 GZR45 GZT45 GZV45 GZX45 GZZ45 HAB45 HAD45 HAF45 HAH45 HAJ45 HAL45 HAN45 HAP45 HAR45 HAT45 HAV45 HAX45 HAZ45 HBB45 HBD45 HBF45 HBH45 HBJ45 HBL45 HBN45 HBP45 HBR45 HBT45 HBV45 HBX45 HBZ45 HCB45 HCD45 HCF45 HCH45 HCJ45 HCL45 HCN45 HCP45 HCR45 HCT45 HCV45 HCX45 HCZ45 HDB45 HDD45 HDF45 HDH45 HDJ45 HDL45 HDN45 HDP45 HDR45 HDT45 HDV45 HDX45 HDZ45 HEB45 HED45 HEF45 HEH45 HEJ45 HEL45 HEN45 HEP45 HER45 HET45 HEV45 HEX45 HEZ45 HFB45 HFD45 HFF45 HFH45 HFJ45 HFL45 HFN45 HFP45 HFR45 HFT45 HFV45 HFX45 HFZ45 HGB45 HGD45 HGF45 HGH45 HGJ45 HGL45 HGN45 HGP45 HGR45 HGT45 HGV45 HGX45 HGZ45 HHB45 HHD45 HHF45 HHH45 HHJ45 HHL45 HHN45 HHP45 HHR45 HHT45 HHV45 HHX45 HHZ45 HIB45 HID45 HIF45 HIH45 HIJ45 HIL45 HIN45 HIP45 HIR45 HIT45 HIV45 HIX45 HIZ45 HJB45 HJD45 HJF45 HJH45 HJJ45 HJL45 HJN45 HJP45 HJR45 HJT45 HJV45 HJX45 HJZ45 HKB45 HKD45 HKF45 HKH45 HKJ45 HKL45 HKN45 HKP45 HKR45 HKT45 HKV45 HKX45 HKZ45 HLB45 HLD45 HLF45 HLH45 HLJ45 HLL45 HLN45 HLP45 HLR45 HLT45 HLV45 HLX45 HLZ45 HMB45 HMD45 HMF45 HMH45 HMJ45 HML45 HMN45 HMP45 HMR45 HMT45 HMV45 HMX45 HMZ45 HNB45 HND45 HNF45 HNH45 HNJ45 HNL45 HNN45 HNP45 HNR45 HNT45 HNV45 HNX45 HNZ45 HOB45 HOD45 HOF45 HOH45 HOJ45 HOL45 HON45 HOP45 HOR45 HOT45 HOV45 HOX45 HOZ45 HPB45 HPD45 HPF45 HPH45 HPJ45 HPL45 HPN45 HPP45 HPR45 HPT45 HPV45 HPX45 HPZ45 HQB45 HQD45 HQF45 HQH45 HQJ45 HQL45 HQN45 HQP45 HQR45 HQT45 HQV45 HQX45 HQZ45 HRB45 HRD45 HRF45 HRH45 HRJ45 HRL45 HRN45 HRP45 HRR45 HRT45 HRV45 HRX45 HRZ45 HSB45 HSD45 HSF45 HSH45 HSJ45 HSL45 HSN45 HSP45 HSR45 HST45 HSV45 HSX45 HSZ45 HTB45 HTD45 HTF45 HTH45 HTJ45 HTL45 HTN45 HTP45 HTR45 HTT45 HTV45 HTX45 HTZ45 HUB45 HUD45 HUF45 HUH45 HUJ45 HUL45 HUN45 HUP45 HUR45 HUT45 HUV45 HUX45 HUZ45 HVB45 HVD45 HVF45 HVH45 HVJ45 HVL45 HVN45 HVP45 HVR45 HVT45 HVV45 HVX45 HVZ45 HWB45 HWD45 HWF45 HWH45 HWJ45 HWL45 HWN45 HWP45 HWR45 HWT45 HWV45 HWX45 HWZ45 HXB45 HXD45 HXF45 HXH45 HXJ45 HXL45 HXN45 HXP45 HXR45 HXT45 HXV45 HXX45 HXZ45 HYB45 HYD45 HYF45 HYH45 HYJ45 HYL45 HYN45 HYP45 HYR45 HYT45 HYV45 HYX45 HYZ45 HZB45 HZD45 HZF45 HZH45 HZJ45 HZL45 HZN45 HZP45 HZR45 HZT45 HZV45 HZX45 HZZ45 IAB45 IAD45 IAF45 IAH45 IAJ45 IAL45 IAN45 IAP45 IAR45 IAT45 IAV45 IAX45 IAZ45 IBB45 IBD45 IBF45 IBH45 IBJ45 IBL45 IBN45 IBP45 IBR45 IBT45 IBV45 IBX45 IBZ45 ICB45 ICD45 ICF45 ICH45 ICJ45 ICL45 ICN45 ICP45 ICR45 ICT45 ICV45 ICX45 ICZ45 IDB45 IDD45 IDF45 IDH45 IDJ45 IDL45 IDN45 IDP45 IDR45 IDT45 IDV45 IDX45 IDZ45 IEB45 IED45 IEF45 IEH45 IEJ45 IEL45 IEN45 IEP45 IER45 IET45 IEV45 IEX45 IEZ45 IFB45 IFD45 IFF45 IFH45 IFJ45 IFL45 IFN45 IFP45 IFR45 IFT45 IFV45 IFX45 IFZ45 IGB45 IGD45 IGF45 IGH45 IGJ45 IGL45 IGN45 IGP45 IGR45 IGT45 IGV45 IGX45 IGZ45 IHB45 IHD45 IHF45 IHH45 IHJ45 IHL45 IHN45 IHP45 IHR45 IHT45 IHV45 IHX45 IHZ45 IIB45 IID45 IIF45 IIH45 IIJ45 IIL45 IIN45 IIP45 IIR45 IIT45 IIV45 IIX45 IIZ45 IJB45 IJD45 IJF45 IJH45 IJJ45 IJL45 IJN45 IJP45 IJR45 IJT45 IJV45 IJX45 IJZ45 IKB45 IKD45 IKF45 IKH45 IKJ45 IKL45 IKN45 IKP45 IKR45 IKT45 IKV45 IKX45 IKZ45 ILB45 ILD45 ILF45 ILH45 ILJ45 ILL45 ILN45 ILP45 ILR45 ILT45 ILV45 ILX45 ILZ45 IMB45 IMD45 IMF45 IMH45 IMJ45 IML45 IMN45 IMP45 IMR45 IMT45 IMV45 IMX45 IMZ45 INB45 IND45 INF45 INH45 INJ45 INL45 INN45 INP45 INR45 INT45 INV45 INX45 INZ45 IOB45 IOD45 IOF45 IOH45 IOJ45 IOL45 ION45 IOP45 IOR45 IOT45 IOV45 IOX45 IOZ45 IPB45 IPD45 IPF45 IPH45 IPJ45 IPL45 IPN45 IPP45 IPR45 IPT45 IPV45 IPX45 IPZ45 IQB45 IQD45 IQF45 IQH45 IQJ45 IQL45 IQN45 IQP45 IQR45 IQT45 IQV45 IQX45 IQZ45 IRB45 IRD45 IRF45 IRH45 IRJ45 IRL45 IRN45 IRP45 IRR45 IRT45 IRV45 IRX45 IRZ45 ISB45 ISD45 ISF45 ISH45 ISJ45 ISL45 ISN45 ISP45 ISR45 IST45 ISV45 ISX45 ISZ45 ITB45 ITD45 ITF45 ITH45 ITJ45 ITL45 ITN45 ITP45 ITR45 ITT45 ITV45 ITX45 ITZ45 IUB45 IUD45 IUF45 IUH45 IUJ45 IUL45 IUN45 IUP45 IUR45 IUT45 IUV45 IUX45 IUZ45 IVB45 IVD45 IVF45 IVH45 IVJ45 IVL45 IVN45 IVP45 IVR45 IVT45 IVV45 IVX45 IVZ45 IWB45 IWD45 IWF45 IWH45 IWJ45 IWL45 IWN45 IWP45 IWR45 IWT45 IWV45 IWX45 IWZ45 IXB45 IXD45 IXF45 IXH45 IXJ45 IXL45 IXN45 IXP45 IXR45 IXT45 IXV45 IXX45 IXZ45 IYB45 IYD45 IYF45 IYH45 IYJ45 IYL45 IYN45 IYP45 IYR45 IYT45 IYV45 IYX45 IYZ45 IZB45 IZD45 IZF45 IZH45 IZJ45 IZL45 IZN45 IZP45 IZR45 IZT45 IZV45 IZX45 IZZ45 JAB45 JAD45 JAF45 JAH45 JAJ45 JAL45 JAN45 JAP45 JAR45 JAT45 JAV45 JAX45 JAZ45 JBB45 JBD45 JBF45 JBH45 JBJ45 JBL45 JBN45 JBP45 JBR45 JBT45 JBV45 JBX45 JBZ45 JCB45 JCD45 JCF45 JCH45 JCJ45 JCL45 JCN45 JCP45 JCR45 JCT45 JCV45 JCX45 JCZ45 JDB45 JDD45 JDF45 JDH45 JDJ45 JDL45 JDN45 JDP45 JDR45 JDT45 JDV45 JDX45 JDZ45 JEB45 JED45 JEF45 JEH45 JEJ45 JEL45 JEN45 JEP45 JER45 JET45 JEV45 JEX45 JEZ45 JFB45 JFD45 JFF45 JFH45 JFJ45 JFL45 JFN45 JFP45 JFR45 JFT45 JFV45 JFX45 JFZ45 JGB45 JGD45 JGF45 JGH45 JGJ45 JGL45 JGN45 JGP45 JGR45 JGT45 JGV45 JGX45 JGZ45 JHB45 JHD45 JHF45 JHH45 JHJ45 JHL45 JHN45 JHP45 JHR45 JHT45 JHV45 JHX45 JHZ45 JIB45 JID45 JIF45 JIH45 JIJ45 JIL45 JIN45 JIP45 JIR45 JIT45 JIV45 JIX45 JIZ45 JJB45 JJD45 JJF45 JJH45 JJJ45 JJL45 JJN45 JJP45 JJR45 JJT45 JJV45 JJX45 JJZ45 JKB45 JKD45 JKF45 JKH45 JKJ45 JKL45 JKN45 JKP45 JKR45 JKT45 JKV45 JKX45 JKZ45 JLB45 JLD45 JLF45 JLH45 JLJ45 JLL45 JLN45 JLP45 JLR45 JLT45 JLV45 JLX45 JLZ45 JMB45 JMD45 JMF45 JMH45 JMJ45 JML45 JMN45 JMP45 JMR45 JMT45 JMV45 JMX45 JMZ45 JNB45 JND45 JNF45 JNH45 JNJ45 JNL45 JNN45 JNP45 JNR45 JNT45 JNV45 JNX45 JNZ45 JOB45 JOD45 JOF45 JOH45 JOJ45 JOL45 JON45 JOP45 JOR45 JOT45 JOV45 JOX45 JOZ45 JPB45 JPD45 JPF45 JPH45 JPJ45 JPL45 JPN45 JPP45 JPR45 JPT45 JPV45 JPX45 JPZ45 JQB45 JQD45 JQF45 JQH45 JQJ45 JQL45 JQN45 JQP45 JQR45 JQT45 JQV45 JQX45 JQZ45 JRB45 JRD45 JRF45 JRH45 JRJ45 JRL45 JRN45 JRP45 JRR45 JRT45 JRV45 JRX45 JRZ45 JSB45 JSD45 JSF45 JSH45 JSJ45 JSL45 JSN45 JSP45 JSR45 JST45 JSV45 JSX45 JSZ45 JTB45 JTD45 JTF45 JTH45 JTJ45 JTL45 JTN45 JTP45 JTR45 JTT45 JTV45 JTX45 JTZ45 JUB45 JUD45 JUF45 JUH45 JUJ45 JUL45 JUN45 JUP45 JUR45 JUT45 JUV45 JUX45 JUZ45 JVB45 JVD45 JVF45 JVH45 JVJ45 JVL45 JVN45 JVP45 JVR45 JVT45 JVV45 JVX45 JVZ45 JWB45 JWD45 JWF45 JWH45 JWJ45 JWL45 JWN45 JWP45 JWR45 JWT45 JWV45 JWX45 JWZ45 JXB45 JXD45 JXF45 JXH45 JXJ45 JXL45 JXN45 JXP45 JXR45 JXT45 JXV45 JXX45 JXZ45 JYB45 JYD45 JYF45 JYH45 JYJ45 JYL45 JYN45 JYP45 JYR45 JYT45 JYV45 JYX45 JYZ45 JZB45 JZD45 JZF45 JZH45 JZJ45 JZL45 JZN45 JZP45 JZR45 JZT45 JZV45 JZX45 JZZ45 KAB45 KAD45 KAF45 KAH45 KAJ45 KAL45 KAN45 KAP45 KAR45 KAT45 KAV45 KAX45 KAZ45 KBB45 KBD45 KBF45 KBH45 KBJ45 KBL45 KBN45 KBP45 KBR45 KBT45 KBV45 KBX45 KBZ45 KCB45 KCD45 KCF45 KCH45 KCJ45 KCL45 KCN45 KCP45 KCR45 KCT45 KCV45 KCX45 KCZ45 KDB45 KDD45 KDF45 KDH45 KDJ45 KDL45 KDN45 KDP45 KDR45 KDT45 KDV45 KDX45 KDZ45 KEB45 KED45 KEF45 KEH45 KEJ45 KEL45 KEN45 KEP45 KER45 KET45 KEV45 KEX45 KEZ45 KFB45 KFD45 KFF45 KFH45 KFJ45 KFL45 KFN45 KFP45 KFR45 KFT45 KFV45 KFX45 KFZ45 KGB45 KGD45 KGF45 KGH45 KGJ45 KGL45 KGN45 KGP45 KGR45 KGT45 KGV45 KGX45 KGZ45 KHB45 KHD45 KHF45 KHH45 KHJ45 KHL45 KHN45 KHP45 KHR45 KHT45 KHV45 KHX45 KHZ45 KIB45 KID45 KIF45 KIH45 KIJ45 KIL45 KIN45 KIP45 KIR45 KIT45 KIV45 KIX45 KIZ45 KJB45 KJD45 KJF45 KJH45 KJJ45 KJL45 KJN45 KJP45 KJR45 KJT45 KJV45 KJX45 KJZ45 KKB45 KKD45 KKF45 KKH45 KKJ45 KKL45 KKN45 KKP45 KKR45 KKT45 KKV45 KKX45 KKZ45 KLB45 KLD45 KLF45 KLH45 KLJ45 KLL45 KLN45 KLP45 KLR45 KLT45 KLV45 KLX45 KLZ45 KMB45 KMD45 KMF45 KMH45 KMJ45 KML45 KMN45 KMP45 KMR45 KMT45 KMV45 KMX45 KMZ45 KNB45 KND45 KNF45 KNH45 KNJ45 KNL45 KNN45 KNP45 KNR45 KNT45 KNV45 KNX45 KNZ45 KOB45 KOD45 KOF45 KOH45 KOJ45 KOL45 KON45 KOP45 KOR45 KOT45 KOV45 KOX45 KOZ45 KPB45 KPD45 KPF45 KPH45 KPJ45 KPL45 KPN45 KPP45 KPR45 KPT45 KPV45 KPX45 KPZ45 KQB45 KQD45 KQF45 KQH45 KQJ45 KQL45 KQN45 KQP45 KQR45 KQT45 KQV45 KQX45 KQZ45 KRB45 KRD45 KRF45 KRH45 KRJ45 KRL45 KRN45 KRP45 KRR45 KRT45 KRV45 KRX45 KRZ45 KSB45 KSD45 KSF45 KSH45 KSJ45 KSL45 KSN45 KSP45 KSR45 KST45 KSV45 KSX45 KSZ45 KTB45 KTD45 KTF45 KTH45 KTJ45 KTL45 KTN45 KTP45 KTR45 KTT45 KTV45 KTX45 KTZ45 KUB45 KUD45 KUF45 KUH45 KUJ45 KUL45 KUN45 KUP45 KUR45 KUT45 KUV45 KUX45 KUZ45 KVB45 KVD45 KVF45 KVH45 KVJ45 KVL45 KVN45 KVP45 KVR45 KVT45 KVV45 KVX45 KVZ45 KWB45 KWD45 KWF45 KWH45 KWJ45 KWL45 KWN45 KWP45 KWR45 KWT45 KWV45 KWX45 KWZ45 KXB45 KXD45 KXF45 KXH45 KXJ45 KXL45 KXN45 KXP45 KXR45 KXT45 KXV45 KXX45 KXZ45 KYB45 KYD45 KYF45 KYH45 KYJ45 KYL45 KYN45 KYP45 KYR45 KYT45 KYV45 KYX45 KYZ45 KZB45 KZD45 KZF45 KZH45 KZJ45 KZL45 KZN45 KZP45 KZR45 KZT45 KZV45 KZX45 KZZ45 LAB45 LAD45 LAF45 LAH45 LAJ45 LAL45 LAN45 LAP45 LAR45 LAT45 LAV45 LAX45 LAZ45 LBB45 LBD45 LBF45 LBH45 LBJ45 LBL45 LBN45 LBP45 LBR45 LBT45 LBV45 LBX45 LBZ45 LCB45 LCD45 LCF45 LCH45 LCJ45 LCL45 LCN45 LCP45 LCR45 LCT45 LCV45 LCX45 LCZ45 LDB45 LDD45 LDF45 LDH45 LDJ45 LDL45 LDN45 LDP45 LDR45 LDT45 LDV45 LDX45 LDZ45 LEB45 LED45 LEF45 LEH45 LEJ45 LEL45 LEN45 LEP45 LER45 LET45 LEV45 LEX45 LEZ45 LFB45 LFD45 LFF45 LFH45 LFJ45 LFL45 LFN45 LFP45 LFR45 LFT45 LFV45 LFX45 LFZ45 LGB45 LGD45 LGF45 LGH45 LGJ45 LGL45 LGN45 LGP45 LGR45 LGT45 LGV45 LGX45 LGZ45 LHB45 LHD45 LHF45 LHH45 LHJ45 LHL45 LHN45 LHP45 LHR45 LHT45 LHV45 LHX45 LHZ45 LIB45 LID45 LIF45 LIH45 LIJ45 LIL45 LIN45 LIP45 LIR45 LIT45 LIV45 LIX45 LIZ45 LJB45 LJD45 LJF45 LJH45 LJJ45 LJL45 LJN45 LJP45 LJR45 LJT45 LJV45 LJX45 LJZ45 LKB45 LKD45 LKF45 LKH45 LKJ45 LKL45 LKN45 LKP45 LKR45 LKT45 LKV45 LKX45 LKZ45 LLB45 LLD45 LLF45 LLH45 LLJ45 LLL45 LLN45 LLP45 LLR45 LLT45 LLV45 LLX45 LLZ45 LMB45 LMD45 LMF45 LMH45 LMJ45 LML45 LMN45 LMP45 LMR45 LMT45 LMV45 LMX45 LMZ45 LNB45 LND45 LNF45 LNH45 LNJ45 LNL45 LNN45 LNP45 LNR45 LNT45 LNV45 LNX45 LNZ45 LOB45 LOD45 LOF45 LOH45 LOJ45 LOL45 LON45 LOP45 LOR45 LOT45 LOV45 LOX45 LOZ45 LPB45 LPD45 LPF45 LPH45 LPJ45 LPL45 LPN45 LPP45 LPR45 LPT45 LPV45 LPX45 LPZ45 LQB45 LQD45 LQF45 LQH45 LQJ45 LQL45 LQN45 LQP45 LQR45 LQT45 LQV45 LQX45 LQZ45 LRB45 LRD45 LRF45 LRH45 LRJ45 LRL45 LRN45 LRP45 LRR45 LRT45 LRV45 LRX45 LRZ45 LSB45 LSD45 LSF45 LSH45 LSJ45 LSL45 LSN45 LSP45 LSR45 LST45 LSV45 LSX45 LSZ45 LTB45 LTD45 LTF45 LTH45 LTJ45 LTL45 LTN45 LTP45 LTR45 LTT45 LTV45 LTX45 LTZ45 LUB45 LUD45 LUF45 LUH45 LUJ45 LUL45 LUN45 LUP45 LUR45 LUT45 LUV45 LUX45 LUZ45 LVB45 LVD45 LVF45 LVH45 LVJ45 LVL45 LVN45 LVP45 LVR45 LVT45 LVV45 LVX45 LVZ45 LWB45 LWD45 LWF45 LWH45 LWJ45 LWL45 LWN45 LWP45 LWR45 LWT45 LWV45 LWX45 LWZ45 LXB45 LXD45 LXF45 LXH45 LXJ45 LXL45 LXN45 LXP45 LXR45 LXT45 LXV45 LXX45 LXZ45 LYB45 LYD45 LYF45 LYH45 LYJ45 LYL45 LYN45 LYP45 LYR45 LYT45 LYV45 LYX45 LYZ45 LZB45 LZD45 LZF45 LZH45 LZJ45 LZL45 LZN45 LZP45 LZR45 LZT45 LZV45 LZX45 LZZ45 MAB45 MAD45 MAF45 MAH45 MAJ45 MAL45 MAN45 MAP45 MAR45 MAT45 MAV45 MAX45 MAZ45 MBB45 MBD45 MBF45 MBH45 MBJ45 MBL45 MBN45 MBP45 MBR45 MBT45 MBV45 MBX45 MBZ45 MCB45 MCD45 MCF45 MCH45 MCJ45 MCL45 MCN45 MCP45 MCR45 MCT45 MCV45 MCX45 MCZ45 MDB45 MDD45 MDF45 MDH45 MDJ45 MDL45 MDN45 MDP45 MDR45 MDT45 MDV45 MDX45 MDZ45 MEB45 MED45 MEF45 MEH45 MEJ45 MEL45 MEN45 MEP45 MER45 MET45 MEV45 MEX45 MEZ45 MFB45 MFD45 MFF45 MFH45 MFJ45 MFL45 MFN45 MFP45 MFR45 MFT45 MFV45 MFX45 MFZ45 MGB45 MGD45 MGF45 MGH45 MGJ45 MGL45 MGN45 MGP45 MGR45 MGT45 MGV45 MGX45 MGZ45 MHB45 MHD45 MHF45 MHH45 MHJ45 MHL45 MHN45 MHP45 MHR45 MHT45 MHV45 MHX45 MHZ45 MIB45 MID45 MIF45 MIH45 MIJ45 MIL45 MIN45 MIP45 MIR45 MIT45 MIV45 MIX45 MIZ45 MJB45 MJD45 MJF45 MJH45 MJJ45 MJL45 MJN45 MJP45 MJR45 MJT45 MJV45 MJX45 MJZ45 MKB45 MKD45 MKF45 MKH45 MKJ45 MKL45 MKN45 MKP45 MKR45 MKT45 MKV45 MKX45 MKZ45 MLB45 MLD45 MLF45 MLH45 MLJ45 MLL45 MLN45 MLP45 MLR45 MLT45 MLV45 MLX45 MLZ45 MMB45 MMD45 MMF45 MMH45 MMJ45 MML45 MMN45 MMP45 MMR45 MMT45 MMV45 MMX45 MMZ45 MNB45 MND45 MNF45 MNH45 MNJ45 MNL45 MNN45 MNP45 MNR45 MNT45 MNV45 MNX45 MNZ45 MOB45 MOD45 MOF45 MOH45 MOJ45 MOL45 MON45 MOP45 MOR45 MOT45 MOV45 MOX45 MOZ45 MPB45 MPD45 MPF45 MPH45 MPJ45 MPL45 MPN45 MPP45 MPR45 MPT45 MPV45 MPX45 MPZ45 MQB45 MQD45 MQF45 MQH45 MQJ45 MQL45 MQN45 MQP45 MQR45 MQT45 MQV45 MQX45 MQZ45 MRB45 MRD45 MRF45 MRH45 MRJ45 MRL45 MRN45 MRP45 MRR45 MRT45 MRV45 MRX45 MRZ45 MSB45 MSD45 MSF45 MSH45 MSJ45 MSL45 MSN45 MSP45 MSR45 MST45 MSV45 MSX45 MSZ45 MTB45 MTD45 MTF45 MTH45 MTJ45 MTL45 MTN45 MTP45 MTR45 MTT45 MTV45 MTX45 MTZ45 MUB45 MUD45 MUF45 MUH45 MUJ45 MUL45 MUN45 MUP45 MUR45 MUT45 MUV45 MUX45 MUZ45 MVB45 MVD45 MVF45 MVH45 MVJ45 MVL45 MVN45 MVP45 MVR45 MVT45 MVV45 MVX45 MVZ45 MWB45 MWD45 MWF45 MWH45 MWJ45 MWL45 MWN45 MWP45 MWR45 MWT45 MWV45 MWX45 MWZ45 MXB45 MXD45 MXF45 MXH45 MXJ45 MXL45 MXN45 MXP45 MXR45 MXT45 MXV45 MXX45 MXZ45 MYB45 MYD45 MYF45 MYH45 MYJ45 MYL45 MYN45 MYP45 MYR45 MYT45 MYV45 MYX45 MYZ45 MZB45 MZD45 MZF45 MZH45 MZJ45 MZL45 MZN45 MZP45 MZR45 MZT45 MZV45 MZX45 MZZ45 NAB45 NAD45 NAF45 NAH45 NAJ45 NAL45 NAN45 NAP45 NAR45 NAT45 NAV45 NAX45 NAZ45 NBB45 NBD45 NBF45 NBH45 NBJ45 NBL45 NBN45 NBP45 NBR45 NBT45 NBV45 NBX45 NBZ45 NCB45 NCD45 NCF45 NCH45 NCJ45 NCL45 NCN45 NCP45 NCR45 NCT45 NCV45 NCX45 NCZ45 NDB45 NDD45 NDF45 NDH45 NDJ45 NDL45 NDN45 NDP45 NDR45 NDT45 NDV45 NDX45 NDZ45 NEB45 NED45 NEF45 NEH45 NEJ45 NEL45 NEN45 NEP45 NER45 NET45 NEV45 NEX45 NEZ45 NFB45 NFD45 NFF45 NFH45 NFJ45 NFL45 NFN45 NFP45 NFR45 NFT45 NFV45 NFX45 NFZ45 NGB45 NGD45 NGF45 NGH45 NGJ45 NGL45 NGN45 NGP45 NGR45 NGT45 NGV45 NGX45 NGZ45 NHB45 NHD45 NHF45 NHH45 NHJ45 NHL45 NHN45 NHP45 NHR45 NHT45 NHV45 NHX45 NHZ45 NIB45 NID45 NIF45 NIH45 NIJ45 NIL45 NIN45 NIP45 NIR45 NIT45 NIV45 NIX45 NIZ45 NJB45 NJD45 NJF45 NJH45 NJJ45 NJL45 NJN45 NJP45 NJR45 NJT45 NJV45 NJX45 NJZ45 NKB45 NKD45 NKF45 NKH45 NKJ45 NKL45 NKN45 NKP45 NKR45 NKT45 NKV45 NKX45 NKZ45 NLB45 NLD45 NLF45 NLH45 NLJ45 NLL45 NLN45 NLP45 NLR45 NLT45 NLV45 NLX45 NLZ45 NMB45 NMD45 NMF45 NMH45 NMJ45 NML45 NMN45 NMP45 NMR45 NMT45 NMV45 NMX45 NMZ45 NNB45 NND45 NNF45 NNH45 NNJ45 NNL45 NNN45 NNP45 NNR45 NNT45 NNV45 NNX45 NNZ45 NOB45 NOD45 NOF45 NOH45 NOJ45 NOL45 NON45 NOP45 NOR45 NOT45 NOV45 NOX45 NOZ45 NPB45 NPD45 NPF45 NPH45 NPJ45 NPL45 NPN45 NPP45 NPR45 NPT45 NPV45 NPX45 NPZ45 NQB45 NQD45 NQF45 NQH45 NQJ45 NQL45 NQN45 NQP45 NQR45 NQT45 NQV45 NQX45 NQZ45 NRB45 NRD45 NRF45 NRH45 NRJ45 NRL45 NRN45 NRP45 NRR45 NRT45 NRV45 NRX45 NRZ45 NSB45 NSD45 NSF45 NSH45 NSJ45 NSL45 NSN45 NSP45 NSR45 NST45 NSV45 NSX45 NSZ45 NTB45 NTD45 NTF45 NTH45 NTJ45 NTL45 NTN45 NTP45 NTR45 NTT45 NTV45 NTX45 NTZ45 NUB45 NUD45 NUF45 NUH45 NUJ45 NUL45 NUN45 NUP45 NUR45 NUT45 NUV45 NUX45 NUZ45 NVB45 NVD45 NVF45 NVH45 NVJ45 NVL45 NVN45 NVP45 NVR45 NVT45 NVV45 NVX45 NVZ45 NWB45 NWD45 NWF45 NWH45 NWJ45 NWL45 NWN45 NWP45 NWR45 NWT45 NWV45 NWX45 NWZ45 NXB45 NXD45 NXF45 NXH45 NXJ45 NXL45 NXN45 NXP45 NXR45 NXT45 NXV45 NXX45 NXZ45 NYB45 NYD45 NYF45 NYH45 NYJ45 NYL45 NYN45 NYP45 NYR45 NYT45 NYV45 NYX45 NYZ45 NZB45 NZD45 NZF45 NZH45 NZJ45 NZL45 NZN45 NZP45 NZR45 NZT45 NZV45 NZX45 NZZ45 OAB45 OAD45 OAF45 OAH45 OAJ45 OAL45 OAN45 OAP45 OAR45 OAT45 OAV45 OAX45 OAZ45 OBB45 OBD45 OBF45 OBH45 OBJ45 OBL45 OBN45 OBP45 OBR45 OBT45 OBV45 OBX45 OBZ45 OCB45 OCD45 OCF45 OCH45 OCJ45 OCL45 OCN45 OCP45 OCR45 OCT45 OCV45 OCX45 OCZ45 ODB45 ODD45 ODF45 ODH45 ODJ45 ODL45 ODN45 ODP45 ODR45 ODT45 ODV45 ODX45 ODZ45 OEB45 OED45 OEF45 OEH45 OEJ45 OEL45 OEN45 OEP45 OER45 OET45 OEV45 OEX45 OEZ45 OFB45 OFD45 OFF45 OFH45 OFJ45 OFL45 OFN45 OFP45 OFR45 OFT45 OFV45 OFX45 OFZ45 OGB45 OGD45 OGF45 OGH45 OGJ45 OGL45 OGN45 OGP45 OGR45 OGT45 OGV45 OGX45 OGZ45 OHB45 OHD45 OHF45 OHH45 OHJ45 OHL45 OHN45 OHP45 OHR45 OHT45 OHV45 OHX45 OHZ45 OIB45 OID45 OIF45 OIH45 OIJ45 OIL45 OIN45 OIP45 OIR45 OIT45 OIV45 OIX45 OIZ45 OJB45 OJD45 OJF45 OJH45 OJJ45 OJL45 OJN45 OJP45 OJR45 OJT45 OJV45 OJX45 OJZ45 OKB45 OKD45 OKF45 OKH45 OKJ45 OKL45 OKN45 OKP45 OKR45 OKT45 OKV45 OKX45 OKZ45 OLB45 OLD45 OLF45 OLH45 OLJ45 OLL45 OLN45 OLP45 OLR45 OLT45 OLV45 OLX45 OLZ45 OMB45 OMD45 OMF45 OMH45 OMJ45 OML45 OMN45 OMP45 OMR45 OMT45 OMV45 OMX45 OMZ45 ONB45 OND45 ONF45 ONH45 ONJ45 ONL45 ONN45 ONP45 ONR45 ONT45 ONV45 ONX45 ONZ45 OOB45 OOD45 OOF45 OOH45 OOJ45 OOL45 OON45 OOP45 OOR45 OOT45 OOV45 OOX45 OOZ45 OPB45 OPD45 OPF45 OPH45 OPJ45 OPL45 OPN45 OPP45 OPR45 OPT45 OPV45 OPX45 OPZ45 OQB45 OQD45 OQF45 OQH45 OQJ45 OQL45 OQN45 OQP45 OQR45 OQT45 OQV45 OQX45 OQZ45 ORB45 ORD45 ORF45 ORH45 ORJ45 ORL45 ORN45 ORP45 ORR45 ORT45 ORV45 ORX45 ORZ45 OSB45 OSD45 OSF45 OSH45 OSJ45 OSL45 OSN45 OSP45 OSR45 OST45 OSV45 OSX45 OSZ45 OTB45 OTD45 OTF45 OTH45 OTJ45 OTL45 OTN45 OTP45 OTR45 OTT45 OTV45 OTX45 OTZ45 OUB45 OUD45 OUF45 OUH45 OUJ45 OUL45 OUN45 OUP45 OUR45 OUT45 OUV45 OUX45 OUZ45 OVB45 OVD45 OVF45 OVH45 OVJ45 OVL45 OVN45 OVP45 OVR45 OVT45 OVV45 OVX45 OVZ45 OWB45 OWD45 OWF45 OWH45 OWJ45 OWL45 OWN45 OWP45 OWR45 OWT45 OWV45 OWX45 OWZ45 OXB45 OXD45 OXF45 OXH45 OXJ45 OXL45 OXN45 OXP45 OXR45 OXT45 OXV45 OXX45 OXZ45 OYB45 OYD45 OYF45 OYH45 OYJ45 OYL45 OYN45 OYP45 OYR45 OYT45 OYV45 OYX45 OYZ45 OZB45 OZD45 OZF45 OZH45 OZJ45 OZL45 OZN45 OZP45 OZR45 OZT45 OZV45 OZX45 OZZ45 PAB45 PAD45 PAF45 PAH45 PAJ45 PAL45 PAN45 PAP45 PAR45 PAT45 PAV45 PAX45 PAZ45 PBB45 PBD45 PBF45 PBH45 PBJ45 PBL45 PBN45 PBP45 PBR45 PBT45 PBV45 PBX45 PBZ45 PCB45 PCD45 PCF45 PCH45 PCJ45 PCL45 PCN45 PCP45 PCR45 PCT45 PCV45 PCX45 PCZ45 PDB45 PDD45 PDF45 PDH45 PDJ45 PDL45 PDN45 PDP45 PDR45 PDT45 PDV45 PDX45 PDZ45 PEB45 PED45 PEF45 PEH45 PEJ45 PEL45 PEN45 PEP45 PER45 PET45 PEV45 PEX45 PEZ45 PFB45 PFD45 PFF45 PFH45 PFJ45 PFL45 PFN45 PFP45 PFR45 PFT45 PFV45 PFX45 PFZ45 PGB45 PGD45 PGF45 PGH45 PGJ45 PGL45 PGN45 PGP45 PGR45 PGT45 PGV45 PGX45 PGZ45 PHB45 PHD45 PHF45 PHH45 PHJ45 PHL45 PHN45 PHP45 PHR45 PHT45 PHV45 PHX45 PHZ45 PIB45 PID45 PIF45 PIH45 PIJ45 PIL45 PIN45 PIP45 PIR45 PIT45 PIV45 PIX45 PIZ45 PJB45 PJD45 PJF45 PJH45 PJJ45 PJL45 PJN45 PJP45 PJR45 PJT45 PJV45 PJX45 PJZ45 PKB45 PKD45 PKF45 PKH45 PKJ45 PKL45 PKN45 PKP45 PKR45 PKT45 PKV45 PKX45 PKZ45 PLB45 PLD45 PLF45 PLH45 PLJ45 PLL45 PLN45 PLP45 PLR45 PLT45 PLV45 PLX45 PLZ45 PMB45 PMD45 PMF45 PMH45 PMJ45 PML45 PMN45 PMP45 PMR45 PMT45 PMV45 PMX45 PMZ45 PNB45 PND45 PNF45 PNH45 PNJ45 PNL45 PNN45 PNP45 PNR45 PNT45 PNV45 PNX45 PNZ45 POB45 POD45 POF45 POH45 POJ45 POL45 PON45 POP45 POR45 POT45 POV45 POX45 POZ45 PPB45 PPD45 PPF45 PPH45 PPJ45 PPL45 PPN45 PPP45 PPR45 PPT45 PPV45 PPX45 PPZ45 PQB45 PQD45 PQF45 PQH45 PQJ45 PQL45 PQN45 PQP45 PQR45 PQT45 PQV45 PQX45 PQZ45 PRB45 PRD45 PRF45 PRH45 PRJ45 PRL45 PRN45 PRP45 PRR45 PRT45 PRV45 PRX45 PRZ45 PSB45 PSD45 PSF45 PSH45 PSJ45 PSL45 PSN45 PSP45 PSR45 PST45 PSV45 PSX45 PSZ45 PTB45 PTD45 PTF45 PTH45 PTJ45 PTL45 PTN45 PTP45 PTR45 PTT45 PTV45 PTX45 PTZ45 PUB45 PUD45 PUF45 PUH45 PUJ45 PUL45 PUN45 PUP45 PUR45 PUT45 PUV45 PUX45 PUZ45 PVB45 PVD45 PVF45 PVH45 PVJ45 PVL45 PVN45 PVP45 PVR45 PVT45 PVV45 PVX45 PVZ45 PWB45 PWD45 PWF45 PWH45 PWJ45 PWL45 PWN45 PWP45 PWR45 PWT45 PWV45 PWX45 PWZ45 PXB45 PXD45 PXF45 PXH45 PXJ45 PXL45 PXN45 PXP45 PXR45 PXT45 PXV45 PXX45 PXZ45 PYB45 PYD45 PYF45 PYH45 PYJ45 PYL45 PYN45 PYP45 PYR45 PYT45 PYV45 PYX45 PYZ45 PZB45 PZD45 PZF45 PZH45 PZJ45 PZL45 PZN45 PZP45 PZR45 PZT45 PZV45 PZX45 PZZ45 QAB45 QAD45 QAF45 QAH45 QAJ45 QAL45 QAN45 QAP45 QAR45 QAT45 QAV45 QAX45 QAZ45 QBB45 QBD45 QBF45 QBH45 QBJ45 QBL45 QBN45 QBP45 QBR45 QBT45 QBV45 QBX45 QBZ45 QCB45 QCD45 QCF45 QCH45 QCJ45 QCL45 QCN45 QCP45 QCR45 QCT45 QCV45 QCX45 QCZ45 QDB45 QDD45 QDF45 QDH45 QDJ45 QDL45 QDN45 QDP45 QDR45 QDT45 QDV45 QDX45 QDZ45 QEB45 QED45 QEF45 QEH45 QEJ45 QEL45 QEN45 QEP45 QER45 QET45 QEV45 QEX45 QEZ45 QFB45 QFD45 QFF45 QFH45 QFJ45 QFL45 QFN45 QFP45 QFR45 QFT45 QFV45 QFX45 QFZ45 QGB45 QGD45 QGF45 QGH45 QGJ45 QGL45 QGN45 QGP45 QGR45 QGT45 QGV45 QGX45 QGZ45 QHB45 QHD45 QHF45 QHH45 QHJ45 QHL45 QHN45 QHP45 QHR45 QHT45 QHV45 QHX45 QHZ45 QIB45 QID45 QIF45 QIH45 QIJ45 QIL45 QIN45 QIP45 QIR45 QIT45 QIV45 QIX45 QIZ45 QJB45 QJD45 QJF45 QJH45 QJJ45 QJL45 QJN45 QJP45 QJR45 QJT45 QJV45 QJX45 QJZ45 QKB45 QKD45 QKF45 QKH45 QKJ45 QKL45 QKN45 QKP45 QKR45 QKT45 QKV45 QKX45 QKZ45 QLB45 QLD45 QLF45 QLH45 QLJ45 QLL45 QLN45 QLP45 QLR45 QLT45 QLV45 QLX45 QLZ45 QMB45 QMD45 QMF45 QMH45 QMJ45 QML45 QMN45 QMP45 QMR45 QMT45 QMV45 QMX45 QMZ45 QNB45 QND45 QNF45 QNH45 QNJ45 QNL45 QNN45 QNP45 QNR45 QNT45 QNV45 QNX45 QNZ45 QOB45 QOD45 QOF45 QOH45 QOJ45 QOL45 QON45 QOP45 QOR45 QOT45 QOV45 QOX45 QOZ45 QPB45 QPD45 QPF45 QPH45 QPJ45 QPL45 QPN45 QPP45 QPR45 QPT45 QPV45 QPX45 QPZ45 QQB45 QQD45 QQF45 QQH45 QQJ45 QQL45 QQN45 QQP45 QQR45 QQT45 QQV45 QQX45 QQZ45 QRB45 QRD45 QRF45 QRH45 QRJ45 QRL45 QRN45 QRP45 QRR45 QRT45 QRV45 QRX45 QRZ45 QSB45 QSD45 QSF45 QSH45 QSJ45 QSL45 QSN45 QSP45 QSR45 QST45 QSV45 QSX45 QSZ45 QTB45 QTD45 QTF45 QTH45 QTJ45 QTL45 QTN45 QTP45 QTR45 QTT45 QTV45 QTX45 QTZ45 QUB45 QUD45 QUF45 QUH45 QUJ45 QUL45 QUN45 QUP45 QUR45 QUT45 QUV45 QUX45 QUZ45 QVB45 QVD45 QVF45 QVH45 QVJ45 QVL45 QVN45 QVP45 QVR45 QVT45 QVV45 QVX45 QVZ45 QWB45 QWD45 QWF45 QWH45 QWJ45 QWL45 QWN45 QWP45 QWR45 QWT45 QWV45 QWX45 QWZ45 QXB45 QXD45 QXF45 QXH45 QXJ45 QXL45 QXN45 QXP45 QXR45 QXT45 QXV45 QXX45 QXZ45 QYB45 QYD45 QYF45 QYH45 QYJ45 QYL45 QYN45 QYP45 QYR45 QYT45 QYV45 QYX45 QYZ45 QZB45 QZD45 QZF45 QZH45 QZJ45 QZL45 QZN45 QZP45 QZR45 QZT45 QZV45 QZX45 QZZ45 RAB45 RAD45 RAF45 RAH45 RAJ45 RAL45 RAN45 RAP45 RAR45 RAT45 RAV45 RAX45 RAZ45 RBB45 RBD45 RBF45 RBH45 RBJ45 RBL45 RBN45 RBP45 RBR45 RBT45 RBV45 RBX45 RBZ45 RCB45 RCD45 RCF45 RCH45 RCJ45 RCL45 RCN45 RCP45 RCR45 RCT45 RCV45 RCX45 RCZ45 RDB45 RDD45 RDF45 RDH45 RDJ45 RDL45 RDN45 RDP45 RDR45 RDT45 RDV45 RDX45 RDZ45 REB45 RED45 REF45 REH45 REJ45 REL45 REN45 REP45 RER45 RET45 REV45 REX45 REZ45 RFB45 RFD45 RFF45 RFH45 RFJ45 RFL45 RFN45 RFP45 RFR45 RFT45 RFV45 RFX45 RFZ45 RGB45 RGD45 RGF45 RGH45 RGJ45 RGL45 RGN45 RGP45 RGR45 RGT45 RGV45 RGX45 RGZ45 RHB45 RHD45 RHF45 RHH45 RHJ45 RHL45 RHN45 RHP45 RHR45 RHT45 RHV45 RHX45 RHZ45 RIB45 RID45 RIF45 RIH45 RIJ45 RIL45 RIN45 RIP45 RIR45 RIT45 RIV45 RIX45 RIZ45 RJB45 RJD45 RJF45 RJH45 RJJ45 RJL45 RJN45 RJP45 RJR45 RJT45 RJV45 RJX45 RJZ45 RKB45 RKD45 RKF45 RKH45 RKJ45 RKL45 RKN45 RKP45 RKR45 RKT45 RKV45 RKX45 RKZ45 RLB45 RLD45 RLF45 RLH45 RLJ45 RLL45 RLN45 RLP45 RLR45 RLT45 RLV45 RLX45 RLZ45 RMB45 RMD45 RMF45 RMH45 RMJ45 RML45 RMN45 RMP45 RMR45 RMT45 RMV45 RMX45 RMZ45 RNB45 RND45 RNF45 RNH45 RNJ45 RNL45 RNN45 RNP45 RNR45 RNT45 RNV45 RNX45 RNZ45 ROB45 ROD45 ROF45 ROH45 ROJ45 ROL45 RON45 ROP45 ROR45 ROT45 ROV45 ROX45 ROZ45 RPB45 RPD45 RPF45 RPH45 RPJ45 RPL45 RPN45 RPP45 RPR45 RPT45 RPV45 RPX45 RPZ45 RQB45 RQD45 RQF45 RQH45 RQJ45 RQL45 RQN45 RQP45 RQR45 RQT45 RQV45 RQX45 RQZ45 RRB45 RRD45 RRF45 RRH45 RRJ45 RRL45 RRN45 RRP45 RRR45 RRT45 RRV45 RRX45 RRZ45 RSB45 RSD45 RSF45 RSH45 RSJ45 RSL45 RSN45 RSP45 RSR45 RST45 RSV45 RSX45 RSZ45 RTB45 RTD45 RTF45 RTH45 RTJ45 RTL45 RTN45 RTP45 RTR45 RTT45 RTV45 RTX45 RTZ45 RUB45 RUD45 RUF45 RUH45 RUJ45 RUL45 RUN45 RUP45 RUR45 RUT45 RUV45 RUX45 RUZ45 RVB45 RVD45 RVF45 RVH45 RVJ45 RVL45 RVN45 RVP45 RVR45 RVT45 RVV45 RVX45 RVZ45 RWB45 RWD45 RWF45 RWH45 RWJ45 RWL45 RWN45 RWP45 RWR45 RWT45 RWV45 RWX45 RWZ45 RXB45 RXD45 RXF45 RXH45 RXJ45 RXL45 RXN45 RXP45 RXR45 RXT45 RXV45 RXX45 RXZ45 RYB45 RYD45 RYF45 RYH45 RYJ45 RYL45 RYN45 RYP45 RYR45 RYT45 RYV45 RYX45 RYZ45 RZB45 RZD45 RZF45 RZH45 RZJ45 RZL45 RZN45 RZP45 RZR45 RZT45 RZV45 RZX45 RZZ45 SAB45 SAD45 SAF45 SAH45 SAJ45 SAL45 SAN45 SAP45 SAR45 SAT45 SAV45 SAX45 SAZ45 SBB45 SBD45 SBF45 SBH45 SBJ45 SBL45 SBN45 SBP45 SBR45 SBT45 SBV45 SBX45 SBZ45 SCB45 SCD45 SCF45 SCH45 SCJ45 SCL45 SCN45 SCP45 SCR45 SCT45 SCV45 SCX45 SCZ45 SDB45 SDD45 SDF45 SDH45 SDJ45 SDL45 SDN45 SDP45 SDR45 SDT45 SDV45 SDX45 SDZ45 SEB45 SED45 SEF45 SEH45 SEJ45 SEL45 SEN45 SEP45 SER45 SET45 SEV45 SEX45 SEZ45 SFB45 SFD45 SFF45 SFH45 SFJ45 SFL45 SFN45 SFP45 SFR45 SFT45 SFV45 SFX45 SFZ45 SGB45 SGD45 SGF45 SGH45 SGJ45 SGL45 SGN45 SGP45 SGR45 SGT45 SGV45 SGX45 SGZ45 SHB45 SHD45 SHF45 SHH45 SHJ45 SHL45 SHN45 SHP45 SHR45 SHT45 SHV45 SHX45 SHZ45 SIB45 SID45 SIF45 SIH45 SIJ45 SIL45 SIN45 SIP45 SIR45 SIT45 SIV45 SIX45 SIZ45 SJB45 SJD45 SJF45 SJH45 SJJ45 SJL45 SJN45 SJP45 SJR45 SJT45 SJV45 SJX45 SJZ45 SKB45 SKD45 SKF45 SKH45 SKJ45 SKL45 SKN45 SKP45 SKR45 SKT45 SKV45 SKX45 SKZ45 SLB45 SLD45 SLF45 SLH45 SLJ45 SLL45 SLN45 SLP45 SLR45 SLT45 SLV45 SLX45 SLZ45 SMB45 SMD45 SMF45 SMH45 SMJ45 SML45 SMN45 SMP45 SMR45 SMT45 SMV45 SMX45 SMZ45 SNB45 SND45 SNF45 SNH45 SNJ45 SNL45 SNN45 SNP45 SNR45 SNT45 SNV45 SNX45 SNZ45 SOB45 SOD45 SOF45 SOH45 SOJ45 SOL45 SON45 SOP45 SOR45 SOT45 SOV45 SOX45 SOZ45 SPB45 SPD45 SPF45 SPH45 SPJ45 SPL45 SPN45 SPP45 SPR45 SPT45 SPV45 SPX45 SPZ45 SQB45 SQD45 SQF45 SQH45 SQJ45 SQL45 SQN45 SQP45 SQR45 SQT45 SQV45 SQX45 SQZ45 SRB45 SRD45 SRF45 SRH45 SRJ45 SRL45 SRN45 SRP45 SRR45 SRT45 SRV45 SRX45 SRZ45 SSB45 SSD45 SSF45 SSH45 SSJ45 SSL45 SSN45 SSP45 SSR45 SST45 SSV45 SSX45 SSZ45 STB45 STD45 STF45 STH45 STJ45 STL45 STN45 STP45 STR45 STT45 STV45 STX45 STZ45 SUB45 SUD45 SUF45 SUH45 SUJ45 SUL45 SUN45 SUP45 SUR45 SUT45 SUV45 SUX45 SUZ45 SVB45 SVD45 SVF45 SVH45 SVJ45 SVL45 SVN45 SVP45 SVR45 SVT45 SVV45 SVX45 SVZ45 SWB45 SWD45 SWF45 SWH45 SWJ45 SWL45 SWN45 SWP45 SWR45 SWT45 SWV45 SWX45 SWZ45 SXB45 SXD45 SXF45 SXH45 SXJ45 SXL45 SXN45 SXP45 SXR45 SXT45 SXV45 SXX45 SXZ45 SYB45 SYD45 SYF45 SYH45 SYJ45 SYL45 SYN45 SYP45 SYR45 SYT45 SYV45 SYX45 SYZ45 SZB45 SZD45 SZF45 SZH45 SZJ45 SZL45 SZN45 SZP45 SZR45 SZT45 SZV45 SZX45 SZZ45 TAB45 TAD45 TAF45 TAH45 TAJ45 TAL45 TAN45 TAP45 TAR45 TAT45 TAV45 TAX45 TAZ45 TBB45 TBD45 TBF45 TBH45 TBJ45 TBL45 TBN45 TBP45 TBR45 TBT45 TBV45 TBX45 TBZ45 TCB45 TCD45 TCF45 TCH45 TCJ45 TCL45 TCN45 TCP45 TCR45 TCT45 TCV45 TCX45 TCZ45 TDB45 TDD45 TDF45 TDH45 TDJ45 TDL45 TDN45 TDP45 TDR45 TDT45 TDV45 TDX45 TDZ45 TEB45 TED45 TEF45 TEH45 TEJ45 TEL45 TEN45 TEP45 TER45 TET45 TEV45 TEX45 TEZ45 TFB45 TFD45 TFF45 TFH45 TFJ45 TFL45 TFN45 TFP45 TFR45 TFT45 TFV45 TFX45 TFZ45 TGB45 TGD45 TGF45 TGH45 TGJ45 TGL45 TGN45 TGP45 TGR45 TGT45 TGV45 TGX45 TGZ45 THB45 THD45 THF45 THH45 THJ45 THL45 THN45 THP45 THR45 THT45 THV45 THX45 THZ45 TIB45 TID45 TIF45 TIH45 TIJ45 TIL45 TIN45 TIP45 TIR45 TIT45 TIV45 TIX45 TIZ45 TJB45 TJD45 TJF45 TJH45 TJJ45 TJL45 TJN45 TJP45 TJR45 TJT45 TJV45 TJX45 TJZ45 TKB45 TKD45 TKF45 TKH45 TKJ45 TKL45 TKN45 TKP45 TKR45 TKT45 TKV45 TKX45 TKZ45 TLB45 TLD45 TLF45 TLH45 TLJ45 TLL45 TLN45 TLP45 TLR45 TLT45 TLV45 TLX45 TLZ45 TMB45 TMD45 TMF45 TMH45 TMJ45 TML45 TMN45 TMP45 TMR45 TMT45 TMV45 TMX45 TMZ45 TNB45 TND45 TNF45 TNH45 TNJ45 TNL45 TNN45 TNP45 TNR45 TNT45 TNV45 TNX45 TNZ45 TOB45 TOD45 TOF45 TOH45 TOJ45 TOL45 TON45 TOP45 TOR45 TOT45 TOV45 TOX45 TOZ45 TPB45 TPD45 TPF45 TPH45 TPJ45 TPL45 TPN45 TPP45 TPR45 TPT45 TPV45 TPX45 TPZ45 TQB45 TQD45 TQF45 TQH45 TQJ45 TQL45 TQN45 TQP45 TQR45 TQT45 TQV45 TQX45 TQZ45 TRB45 TRD45 TRF45 TRH45 TRJ45 TRL45 TRN45 TRP45 TRR45 TRT45 TRV45 TRX45 TRZ45 TSB45 TSD45 TSF45 TSH45 TSJ45 TSL45 TSN45 TSP45 TSR45 TST45 TSV45 TSX45 TSZ45 TTB45 TTD45 TTF45 TTH45 TTJ45 TTL45 TTN45 TTP45 TTR45 TTT45 TTV45 TTX45 TTZ45 TUB45 TUD45 TUF45 TUH45 TUJ45 TUL45 TUN45 TUP45 TUR45 TUT45 TUV45 TUX45 TUZ45 TVB45 TVD45 TVF45 TVH45 TVJ45 TVL45 TVN45 TVP45 TVR45 TVT45 TVV45 TVX45 TVZ45 TWB45 TWD45 TWF45 TWH45 TWJ45 TWL45 TWN45 TWP45 TWR45 TWT45 TWV45 TWX45 TWZ45 TXB45 TXD45 TXF45 TXH45 TXJ45 TXL45 TXN45 TXP45 TXR45 TXT45 TXV45 TXX45 TXZ45 TYB45 TYD45 TYF45 TYH45 TYJ45 TYL45 TYN45 TYP45 TYR45 TYT45 TYV45 TYX45 TYZ45 TZB45 TZD45 TZF45 TZH45 TZJ45 TZL45 TZN45 TZP45 TZR45 TZT45 TZV45 TZX45 TZZ45 UAB45 UAD45 UAF45 UAH45 UAJ45 UAL45 UAN45 UAP45 UAR45 UAT45 UAV45 UAX45 UAZ45 UBB45 UBD45 UBF45 UBH45 UBJ45 UBL45 UBN45 UBP45 UBR45 UBT45 UBV45 UBX45 UBZ45 UCB45 UCD45 UCF45 UCH45 UCJ45 UCL45 UCN45 UCP45 UCR45 UCT45 UCV45 UCX45 UCZ45 UDB45 UDD45 UDF45 UDH45 UDJ45 UDL45 UDN45 UDP45 UDR45 UDT45 UDV45 UDX45 UDZ45 UEB45 UED45 UEF45 UEH45 UEJ45 UEL45 UEN45 UEP45 UER45 UET45 UEV45 UEX45 UEZ45 UFB45 UFD45 UFF45 UFH45 UFJ45 UFL45 UFN45 UFP45 UFR45 UFT45 UFV45 UFX45 UFZ45 UGB45 UGD45 UGF45 UGH45 UGJ45 UGL45 UGN45 UGP45 UGR45 UGT45 UGV45 UGX45 UGZ45 UHB45 UHD45 UHF45 UHH45 UHJ45 UHL45 UHN45 UHP45 UHR45 UHT45 UHV45 UHX45 UHZ45 UIB45 UID45 UIF45 UIH45 UIJ45 UIL45 UIN45 UIP45 UIR45 UIT45 UIV45 UIX45 UIZ45 UJB45 UJD45 UJF45 UJH45 UJJ45 UJL45 UJN45 UJP45 UJR45 UJT45 UJV45 UJX45 UJZ45 UKB45 UKD45 UKF45 UKH45 UKJ45 UKL45 UKN45 UKP45 UKR45 UKT45 UKV45 UKX45 UKZ45 ULB45 ULD45 ULF45 ULH45 ULJ45 ULL45 ULN45 ULP45 ULR45 ULT45 ULV45 ULX45 ULZ45 UMB45 UMD45 UMF45 UMH45 UMJ45 UML45 UMN45 UMP45 UMR45 UMT45 UMV45 UMX45 UMZ45 UNB45 UND45 UNF45 UNH45 UNJ45 UNL45 UNN45 UNP45 UNR45 UNT45 UNV45 UNX45 UNZ45 UOB45 UOD45 UOF45 UOH45 UOJ45 UOL45 UON45 UOP45 UOR45 UOT45 UOV45 UOX45 UOZ45 UPB45 UPD45 UPF45 UPH45 UPJ45 UPL45 UPN45 UPP45 UPR45 UPT45 UPV45 UPX45 UPZ45 UQB45 UQD45 UQF45 UQH45 UQJ45 UQL45 UQN45 UQP45 UQR45 UQT45 UQV45 UQX45 UQZ45 URB45 URD45 URF45 URH45 URJ45 URL45 URN45 URP45 URR45 URT45 URV45 URX45 URZ45 USB45 USD45 USF45 USH45 USJ45 USL45 USN45 USP45 USR45 UST45 USV45 USX45 USZ45 UTB45 UTD45 UTF45 UTH45 UTJ45 UTL45 UTN45 UTP45 UTR45 UTT45 UTV45 UTX45 UTZ45 UUB45 UUD45 UUF45 UUH45 UUJ45 UUL45 UUN45 UUP45 UUR45 UUT45 UUV45 UUX45 UUZ45 UVB45 UVD45 UVF45 UVH45 UVJ45 UVL45 UVN45 UVP45 UVR45 UVT45 UVV45 UVX45 UVZ45 UWB45 UWD45 UWF45 UWH45 UWJ45 UWL45 UWN45 UWP45 UWR45 UWT45 UWV45 UWX45 UWZ45 UXB45 UXD45 UXF45 UXH45 UXJ45 UXL45 UXN45 UXP45 UXR45 UXT45 UXV45 UXX45 UXZ45 UYB45 UYD45 UYF45 UYH45 UYJ45 UYL45 UYN45 UYP45 UYR45 UYT45 UYV45 UYX45 UYZ45 UZB45 UZD45 UZF45 UZH45 UZJ45 UZL45 UZN45 UZP45 UZR45 UZT45 UZV45 UZX45 UZZ45 VAB45 VAD45 VAF45 VAH45 VAJ45 VAL45 VAN45 VAP45 VAR45 VAT45 VAV45 VAX45 VAZ45 VBB45 VBD45 VBF45 VBH45 VBJ45 VBL45 VBN45 VBP45 VBR45 VBT45 VBV45 VBX45 VBZ45 VCB45 VCD45 VCF45 VCH45 VCJ45 VCL45 VCN45 VCP45 VCR45 VCT45 VCV45 VCX45 VCZ45 VDB45 VDD45 VDF45 VDH45 VDJ45 VDL45 VDN45 VDP45 VDR45 VDT45 VDV45 VDX45 VDZ45 VEB45 VED45 VEF45 VEH45 VEJ45 VEL45 VEN45 VEP45 VER45 VET45 VEV45 VEX45 VEZ45 VFB45 VFD45 VFF45 VFH45 VFJ45 VFL45 VFN45 VFP45 VFR45 VFT45 VFV45 VFX45 VFZ45 VGB45 VGD45 VGF45 VGH45 VGJ45 VGL45 VGN45 VGP45 VGR45 VGT45 VGV45 VGX45 VGZ45 VHB45 VHD45 VHF45 VHH45 VHJ45 VHL45 VHN45 VHP45 VHR45 VHT45 VHV45 VHX45 VHZ45 VIB45 VID45 VIF45 VIH45 VIJ45 VIL45 VIN45 VIP45 VIR45 VIT45 VIV45 VIX45 VIZ45 VJB45 VJD45 VJF45 VJH45 VJJ45 VJL45 VJN45 VJP45 VJR45 VJT45 VJV45 VJX45 VJZ45 VKB45 VKD45 VKF45 VKH45 VKJ45 VKL45 VKN45 VKP45 VKR45 VKT45 VKV45 VKX45 VKZ45 VLB45 VLD45 VLF45 VLH45 VLJ45 VLL45 VLN45 VLP45 VLR45 VLT45 VLV45 VLX45 VLZ45 VMB45 VMD45 VMF45 VMH45 VMJ45 VML45 VMN45 VMP45 VMR45 VMT45 VMV45 VMX45 VMZ45 VNB45 VND45 VNF45 VNH45 VNJ45 VNL45 VNN45 VNP45 VNR45 VNT45 VNV45 VNX45 VNZ45 VOB45 VOD45 VOF45 VOH45 VOJ45 VOL45 VON45 VOP45 VOR45 VOT45 VOV45 VOX45 VOZ45 VPB45 VPD45 VPF45 VPH45 VPJ45 VPL45 VPN45 VPP45 VPR45 VPT45 VPV45 VPX45 VPZ45 VQB45 VQD45 VQF45 VQH45 VQJ45 VQL45 VQN45 VQP45 VQR45 VQT45 VQV45 VQX45 VQZ45 VRB45 VRD45 VRF45 VRH45 VRJ45 VRL45 VRN45 VRP45 VRR45 VRT45 VRV45 VRX45 VRZ45 VSB45 VSD45 VSF45 VSH45 VSJ45 VSL45 VSN45 VSP45 VSR45 VST45 VSV45 VSX45 VSZ45 VTB45 VTD45 VTF45 VTH45 VTJ45 VTL45 VTN45 VTP45 VTR45 VTT45 VTV45 VTX45 VTZ45 VUB45 VUD45 VUF45 VUH45 VUJ45 VUL45 VUN45 VUP45 VUR45 VUT45 VUV45 VUX45 VUZ45 VVB45 VVD45 VVF45 VVH45 VVJ45 VVL45 VVN45 VVP45 VVR45 VVT45 VVV45 VVX45 VVZ45 VWB45 VWD45 VWF45 VWH45 VWJ45 VWL45 VWN45 VWP45 VWR45 VWT45 VWV45 VWX45 VWZ45 VXB45 VXD45 VXF45 VXH45 VXJ45 VXL45 VXN45 VXP45 VXR45 VXT45 VXV45 VXX45 VXZ45 VYB45 VYD45 VYF45 VYH45 VYJ45 VYL45 VYN45 VYP45 VYR45 VYT45 VYV45 VYX45 VYZ45 VZB45 VZD45 VZF45 VZH45 VZJ45 VZL45 VZN45 VZP45 VZR45 VZT45 VZV45 VZX45 VZZ45 WAB45 WAD45 WAF45 WAH45 WAJ45 WAL45 WAN45 WAP45 WAR45 WAT45 WAV45 WAX45 WAZ45 WBB45 WBD45 WBF45 WBH45 WBJ45 WBL45 WBN45 WBP45 WBR45 WBT45 WBV45 WBX45 WBZ45 WCB45 WCD45 WCF45 WCH45 WCJ45 WCL45 WCN45 WCP45 WCR45 WCT45 WCV45 WCX45 WCZ45 WDB45 WDD45 WDF45 WDH45 WDJ45 WDL45 WDN45 WDP45 WDR45 WDT45 WDV45 WDX45 WDZ45 WEB45 WED45 WEF45 WEH45 WEJ45 WEL45 WEN45 WEP45 WER45 WET45 WEV45 WEX45 WEZ45 WFB45 WFD45 WFF45 WFH45 WFJ45 WFL45 WFN45 WFP45 WFR45 WFT45 WFV45 WFX45 WFZ45 WGB45 WGD45 WGF45 WGH45 WGJ45 WGL45 WGN45 WGP45 WGR45 WGT45 WGV45 WGX45 WGZ45 WHB45 WHD45 WHF45 WHH45 WHJ45 WHL45 WHN45 WHP45 WHR45 WHT45 WHV45 WHX45 WHZ45 WIB45 WID45 WIF45 WIH45 WIJ45 WIL45 WIN45 WIP45 WIR45 WIT45 WIV45 WIX45 WIZ45 WJB45 WJD45 WJF45 WJH45 WJJ45 WJL45 WJN45 WJP45 WJR45 WJT45 WJV45 WJX45 WJZ45 WKB45 WKD45 WKF45 WKH45 WKJ45 WKL45 WKN45 WKP45 WKR45 WKT45 WKV45 WKX45 WKZ45 WLB45 WLD45 WLF45 WLH45 WLJ45 WLL45 WLN45 WLP45 WLR45 WLT45 WLV45 WLX45 WLZ45 WMB45 WMD45 WMF45 WMH45 WMJ45 WML45 WMN45 WMP45 WMR45 WMT45 WMV45 WMX45 WMZ45 WNB45 WND45 WNF45 WNH45 WNJ45 WNL45 WNN45 WNP45 WNR45 WNT45 WNV45 WNX45 WNZ45 WOB45 WOD45 WOF45 WOH45 WOJ45 WOL45 WON45 WOP45 WOR45 WOT45 WOV45 WOX45 WOZ45 WPB45 WPD45 WPF45 WPH45 WPJ45 WPL45 WPN45 WPP45 WPR45 WPT45 WPV45 WPX45 WPZ45 WQB45 WQD45 WQF45 WQH45 WQJ45 WQL45 WQN45 WQP45 WQR45 WQT45 WQV45 WQX45 WQZ45 WRB45 WRD45 WRF45 WRH45 WRJ45 WRL45 WRN45 WRP45 WRR45 WRT45 WRV45 WRX45 WRZ45 WSB45 WSD45 WSF45 WSH45 WSJ45 WSL45 WSN45 WSP45 WSR45 WST45 WSV45 WSX45 WSZ45 WTB45 WTD45 WTF45 WTH45 WTJ45 WTL45 WTN45 WTP45 WTR45 WTT45 WTV45 WTX45 WTZ45 WUB45 WUD45 WUF45 WUH45 WUJ45 WUL45 WUN45 WUP45 WUR45 WUT45 WUV45 WUX45 WUZ45 WVB45 WVD45 WVF45 WVH45 WVJ45 WVL45 WVN45 WVP45 WVR45 WVT45 WVV45 WVX45 WVZ45 WWB45 WWD45 WWF45 WWH45 WWJ45 WWL45 WWN45 WWP45 WWR45 WWT45 WWV45 WWX45 WWZ45 WXB45 WXD45 WXF45 WXH45 WXJ45 WXL45 WXN45 WXP45 WXR45 WXT45 WXV45 WXX45 WXZ45 WYB45 WYD45 WYF45 WYH45 WYJ45 WYL45 WYN45 WYP45 WYR45 WYT45 WYV45 WYX45 WYZ45 WZB45 WZD45 WZF45 WZH45 WZJ45 WZL45 WZN45 WZP45 WZR45 WZT45 WZV45 WZX45 WZZ45 XAB45 XAD45 XAF45 XAH45 XAJ45 XAL45 XAN45 XAP45 XAR45 XAT45 XAV45 XAX45 XAZ45 XBB45 XBD45 XBF45 XBH45 XBJ45 XBL45 XBN45 XBP45 XBR45 XBT45 XBV45 XBX45 XBZ45 XCB45 XCD45 XCF45 XCH45 XCJ45 XCL45 XCN45 XCP45 XCR45 XCT45 XCV45 XCX45 XCZ45 XDB45 XDD45 XDF45 XDH45 XDJ45 XDL45 XDN45 XDP45 XDR45 XDT45 XDV45 XDX45 XDZ45 XEB45 XED45 XEF45 XEH45 XEJ45 XEL45 XEN45 XEP45 XER45 XET45 XEV45 XEX45 XEZ45 XFB45 XFD45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b7ac723-39fb-4191-8fd9-97408325626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8FC96DE43D14840BDA2F807217746A5" ma:contentTypeVersion="9" ma:contentTypeDescription="Create a new document." ma:contentTypeScope="" ma:versionID="3c94d7bd9506d1703f07778e51046ef6">
  <xsd:schema xmlns:xsd="http://www.w3.org/2001/XMLSchema" xmlns:xs="http://www.w3.org/2001/XMLSchema" xmlns:p="http://schemas.microsoft.com/office/2006/metadata/properties" xmlns:ns3="eb7ac723-39fb-4191-8fd9-97408325626b" xmlns:ns4="e9d6acde-3a8c-4a3a-a48d-c8ce1d3cb95f" targetNamespace="http://schemas.microsoft.com/office/2006/metadata/properties" ma:root="true" ma:fieldsID="66c181a275f79a109180a5100d64bd45" ns3:_="" ns4:_="">
    <xsd:import namespace="eb7ac723-39fb-4191-8fd9-97408325626b"/>
    <xsd:import namespace="e9d6acde-3a8c-4a3a-a48d-c8ce1d3cb95f"/>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7ac723-39fb-4191-8fd9-9740832562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d6acde-3a8c-4a3a-a48d-c8ce1d3cb95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7F5BB5-5890-4A76-BDEB-744894F2BFD3}">
  <ds:schemaRefs>
    <ds:schemaRef ds:uri="http://purl.org/dc/terms/"/>
    <ds:schemaRef ds:uri="http://purl.org/dc/dcmitype/"/>
    <ds:schemaRef ds:uri="http://www.w3.org/XML/1998/namespac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e9d6acde-3a8c-4a3a-a48d-c8ce1d3cb95f"/>
    <ds:schemaRef ds:uri="eb7ac723-39fb-4191-8fd9-97408325626b"/>
  </ds:schemaRefs>
</ds:datastoreItem>
</file>

<file path=customXml/itemProps2.xml><?xml version="1.0" encoding="utf-8"?>
<ds:datastoreItem xmlns:ds="http://schemas.openxmlformats.org/officeDocument/2006/customXml" ds:itemID="{436B6ECE-CD01-4EB8-B89E-2AE963E595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7ac723-39fb-4191-8fd9-97408325626b"/>
    <ds:schemaRef ds:uri="e9d6acde-3a8c-4a3a-a48d-c8ce1d3cb9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BF5250-89ED-4D5A-A407-D939438940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HRH Timesheets Tracker (JTP)</vt:lpstr>
      <vt:lpstr>All</vt:lpstr>
      <vt:lpstr>Embu</vt:lpstr>
      <vt:lpstr>Meru</vt:lpstr>
      <vt:lpstr>Sheet2</vt:lpstr>
      <vt:lpstr>Nyandarua</vt:lpstr>
      <vt:lpstr>Tharaka Nithi</vt:lpstr>
      <vt:lpstr>Layworkers</vt:lpstr>
      <vt:lpstr>Sheet5</vt:lpstr>
      <vt:lpstr>Summary</vt:lpstr>
      <vt:lpstr>Analytics May 26</vt:lpstr>
      <vt:lpstr>Analytics</vt:lpstr>
      <vt:lpstr>Program </vt:lpstr>
      <vt:lpstr>All!Print_Titles</vt:lpstr>
      <vt:lpstr>Embu!Print_Titles</vt:lpstr>
      <vt:lpstr>'HRH Timesheets Tracker (JTP)'!Print_Titles</vt:lpstr>
      <vt:lpstr>Meru!Print_Titles</vt:lpstr>
      <vt:lpstr>Nyandarua!Print_Titles</vt:lpstr>
      <vt:lpstr>'Tharaka Nithi'!Print_Titles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Patrick Kyalo Mutua</cp:lastModifiedBy>
  <cp:lastPrinted>2025-11-27T05:48:37Z</cp:lastPrinted>
  <dcterms:created xsi:type="dcterms:W3CDTF">2021-05-20T08:11:00Z</dcterms:created>
  <dcterms:modified xsi:type="dcterms:W3CDTF">2026-07-28T06:25:07Z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55A155F37C9646AC826A71AEDFC9AF2E_12</vt:lpwstr>
  </property>
  <property fmtid="{D5CDD505-2E9C-101B-9397-08002B2CF9AE}" pid="3" name="KSOProductBuildVer">
    <vt:lpwstr>1033-12.2.0.13201</vt:lpwstr>
  </property>
  <property fmtid="{D5CDD505-2E9C-101B-9397-08002B2CF9AE}" pid="4" name="ContentTypeId">
    <vt:lpwstr>0x010100E8FC96DE43D14840BDA2F807217746A5</vt:lpwstr>
  </property>
</Properties>
</file>